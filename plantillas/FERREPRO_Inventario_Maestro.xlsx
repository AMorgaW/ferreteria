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CATALOGOS" sheetId="3" state="visible" r:id="rId3"/>
    <sheet name="RESUMEN" sheetId="4" state="visible" r:id="rId4"/>
    <sheet name="MAPEO_FERREPRO" sheetId="5" state="visible" r:id="rId5"/>
    <sheet name="BARCODES_PENDIENTES" sheetId="6" state="visible" r:id="rId6"/>
  </sheets>
  <definedNames>
    <definedName name="CategoriasLista">'CATALOGOS'!$A$5:$A$26</definedName>
    <definedName name="UnidadesLista">'CATALOGOS'!$E$5:$E$14</definedName>
    <definedName name="ProveedoresLista">'CATALOGOS'!$H$5:$H$14</definedName>
    <definedName name="_xlnm._FilterDatabase" localSheetId="1" hidden="1">'PRODUCTOS'!$A$4:$AK$445</definedName>
    <definedName name="_xlnm._FilterDatabase" localSheetId="5" hidden="1">'BARCODES_PENDIENTES'!$A$4:$G$445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"/>
    <numFmt numFmtId="166" formatCode="0.0%"/>
    <numFmt numFmtId="167" formatCode="#,##0.00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color rgb="00243447"/>
      <sz val="10"/>
    </font>
    <font>
      <name val="Aptos"/>
      <b val="1"/>
      <color rgb="00FFFFFF"/>
      <sz val="13"/>
    </font>
    <font>
      <name val="Aptos"/>
      <color rgb="00243447"/>
      <sz val="11"/>
    </font>
    <font>
      <b val="1"/>
      <color rgb="00FFFFFF"/>
      <sz val="13"/>
    </font>
    <font>
      <b val="1"/>
      <color rgb="00243447"/>
    </font>
    <font>
      <b val="1"/>
      <color rgb="00FFFFFF"/>
    </font>
    <font>
      <name val="Aptos"/>
      <b val="1"/>
      <color rgb="00FFFFFF"/>
      <sz val="9"/>
    </font>
    <font>
      <b val="1"/>
      <color rgb="0017324D"/>
      <sz val="14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F1F5"/>
      </patternFill>
    </fill>
    <fill>
      <patternFill patternType="solid">
        <fgColor rgb="00177E89"/>
      </patternFill>
    </fill>
    <fill>
      <patternFill patternType="solid">
        <fgColor rgb="00FFF4CC"/>
      </patternFill>
    </fill>
    <fill>
      <patternFill patternType="solid">
        <fgColor rgb="00FFFFFF"/>
      </patternFill>
    </fill>
    <fill>
      <patternFill patternType="solid">
        <fgColor rgb="00EEF1F4"/>
      </patternFill>
    </fill>
    <fill>
      <patternFill patternType="solid">
        <fgColor rgb="00F1E8FF"/>
      </patternFill>
    </fill>
    <fill>
      <patternFill patternType="solid">
        <fgColor rgb="004D7C8A"/>
      </patternFill>
    </fill>
    <fill>
      <patternFill patternType="solid">
        <fgColor rgb="00637083"/>
      </patternFill>
    </fill>
    <fill>
      <patternFill patternType="solid">
        <fgColor rgb="007353A6"/>
      </patternFill>
    </fill>
    <fill>
      <patternFill patternType="solid">
        <fgColor rgb="008A6D3B"/>
      </patternFill>
    </fill>
  </fills>
  <borders count="3">
    <border>
      <left/>
      <right/>
      <top/>
      <bottom/>
      <diagonal/>
    </border>
    <border>
      <bottom style="thin">
        <color rgb="00D4DCE3"/>
      </bottom>
    </border>
    <border>
      <bottom style="hair">
        <color rgb="00E3E8E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7" fillId="2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2" fillId="7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/>
    </xf>
    <xf numFmtId="0" fontId="2" fillId="5" borderId="2" applyAlignment="1" applyProtection="1" pivotButton="0" quotePrefix="0" xfId="0">
      <alignment vertical="top" wrapText="1"/>
      <protection locked="0" hidden="0"/>
    </xf>
    <xf numFmtId="0" fontId="2" fillId="0" borderId="2" applyAlignment="1" applyProtection="1" pivotButton="0" quotePrefix="0" xfId="0">
      <alignment vertical="top"/>
      <protection locked="0" hidden="0"/>
    </xf>
    <xf numFmtId="0" fontId="2" fillId="0" borderId="2" applyAlignment="1" applyProtection="1" pivotButton="0" quotePrefix="0" xfId="0">
      <alignment vertical="top" wrapText="1"/>
      <protection locked="0" hidden="0"/>
    </xf>
    <xf numFmtId="164" fontId="2" fillId="5" borderId="2" applyAlignment="1" applyProtection="1" pivotButton="0" quotePrefix="0" xfId="0">
      <alignment vertical="top"/>
      <protection locked="0" hidden="0"/>
    </xf>
    <xf numFmtId="1" fontId="2" fillId="5" borderId="2" applyAlignment="1" applyProtection="1" pivotButton="0" quotePrefix="0" xfId="0">
      <alignment vertical="top"/>
      <protection locked="0" hidden="0"/>
    </xf>
    <xf numFmtId="0" fontId="2" fillId="5" borderId="2" applyAlignment="1" applyProtection="1" pivotButton="0" quotePrefix="0" xfId="0">
      <alignment vertical="top"/>
      <protection locked="0" hidden="0"/>
    </xf>
    <xf numFmtId="1" fontId="2" fillId="0" borderId="2" applyAlignment="1" applyProtection="1" pivotButton="0" quotePrefix="0" xfId="0">
      <alignment vertical="top"/>
      <protection locked="0" hidden="0"/>
    </xf>
    <xf numFmtId="165" fontId="2" fillId="7" borderId="2" applyAlignment="1" pivotButton="0" quotePrefix="0" xfId="0">
      <alignment vertical="top"/>
    </xf>
    <xf numFmtId="165" fontId="2" fillId="5" borderId="2" applyAlignment="1" applyProtection="1" pivotButton="0" quotePrefix="0" xfId="0">
      <alignment vertical="top"/>
      <protection locked="0" hidden="0"/>
    </xf>
    <xf numFmtId="164" fontId="2" fillId="7" borderId="2" applyAlignment="1" pivotButton="0" quotePrefix="0" xfId="0">
      <alignment vertical="top"/>
    </xf>
    <xf numFmtId="166" fontId="2" fillId="7" borderId="2" applyAlignment="1" pivotButton="0" quotePrefix="0" xfId="0">
      <alignment vertical="top"/>
    </xf>
    <xf numFmtId="0" fontId="2" fillId="8" borderId="2" applyAlignment="1" applyProtection="1" pivotButton="0" quotePrefix="0" xfId="0">
      <alignment vertical="top"/>
      <protection locked="0" hidden="0"/>
    </xf>
    <xf numFmtId="0" fontId="7" fillId="4" borderId="0" pivotButton="0" quotePrefix="0" xfId="0"/>
    <xf numFmtId="0" fontId="6" fillId="3" borderId="1" pivotButton="0" quotePrefix="0" xfId="0"/>
    <xf numFmtId="3" fontId="9" fillId="6" borderId="1" pivotButton="0" quotePrefix="0" xfId="0"/>
    <xf numFmtId="167" fontId="9" fillId="6" borderId="1" pivotButton="0" quotePrefix="0" xfId="0"/>
    <xf numFmtId="164" fontId="9" fillId="6" borderId="1" pivotButton="0" quotePrefix="0" xfId="0"/>
    <xf numFmtId="0" fontId="7" fillId="2" borderId="0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7" fillId="11" borderId="0" applyAlignment="1" pivotButton="0" quotePrefix="0" xfId="0">
      <alignment wrapText="1"/>
    </xf>
    <xf numFmtId="0" fontId="0" fillId="6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roductosInventario" displayName="ProductosInventario" ref="A4:AK445" headerRowCount="1">
  <autoFilter ref="A4:AK445"/>
  <tableColumns count="37">
    <tableColumn id="1" name="registro_inventario_id"/>
    <tableColumn id="2" name="tipo_registro"/>
    <tableColumn id="3" name="activo_sistema"/>
    <tableColumn id="4" name="producto_id_sistema"/>
    <tableColumn id="5" name="producto_local_id"/>
    <tableColumn id="6" name="codigo_sistema_actual"/>
    <tableColumn id="7" name="nombre"/>
    <tableColumn id="8" name="categoria"/>
    <tableColumn id="9" name="marca"/>
    <tableColumn id="10" name="presentacion"/>
    <tableColumn id="11" name="proveedor"/>
    <tableColumn id="12" name="proveedor_id"/>
    <tableColumn id="13" name="precio_compra"/>
    <tableColumn id="14" name="precio_venta"/>
    <tableColumn id="15" name="stock_minimo"/>
    <tableColumn id="16" name="unidad_medida"/>
    <tableColumn id="17" name="permite_decimales"/>
    <tableColumn id="18" name="viene_en_caja"/>
    <tableColumn id="19" name="unidades_por_caja"/>
    <tableColumn id="20" name="vende_por_empaque"/>
    <tableColumn id="21" name="ubicacion"/>
    <tableColumn id="22" name="descripcion"/>
    <tableColumn id="23" name="stock_sistema_actual"/>
    <tableColumn id="24" name="cantidad_contada"/>
    <tableColumn id="25" name="pasillo"/>
    <tableColumn id="26" name="estante"/>
    <tableColumn id="27" name="diferencia_unidades"/>
    <tableColumn id="28" name="valor_inventario_costo"/>
    <tableColumn id="29" name="valor_potencial_venta"/>
    <tableColumn id="30" name="margen_unitario"/>
    <tableColumn id="31" name="margen_porcentaje"/>
    <tableColumn id="32" name="codigo_barras"/>
    <tableColumn id="33" name="estado_barcode"/>
    <tableColumn id="34" name="estado_registro"/>
    <tableColumn id="35" name="errores_validacion"/>
    <tableColumn id="36" name="observaciones_inventario"/>
    <tableColumn id="37" name="posible_duplic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peoFerrepro" displayName="MapeoFerrepro" ref="A4:I50" headerRowCount="1">
  <autoFilter ref="A4:I50"/>
  <tableColumns count="9">
    <tableColumn id="1" name="Excel"/>
    <tableColumn id="2" name="Campo FERREPRO"/>
    <tableColumn id="3" name="Tabla"/>
    <tableColumn id="4" name="Columna DB"/>
    <tableColumn id="5" name="Required"/>
    <tableColumn id="6" name="Tipo"/>
    <tableColumn id="7" name="Default"/>
    <tableColumn id="8" name="Transformación"/>
    <tableColumn id="9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FERREPRO · Inventario físico maestro</t>
        </is>
      </c>
    </row>
    <row r="2" ht="28" customHeight="1">
      <c r="A2" s="2" t="inlineStr">
        <is>
          <t>Complete primero el catálogo y conteo. El barcode puede escanearse en una fase posterior.</t>
        </is>
      </c>
    </row>
    <row r="4">
      <c r="A4" s="3" t="inlineStr">
        <is>
          <t>Cómo trabajar</t>
        </is>
      </c>
    </row>
    <row r="5" ht="28" customHeight="1">
      <c r="A5" s="4" t="inlineStr">
        <is>
          <t>• Una fila representa un producto/SKU. No fusione variantes distintas.</t>
        </is>
      </c>
    </row>
    <row r="6" ht="28" customHeight="1">
      <c r="A6" s="4" t="inlineStr">
        <is>
          <t>• No cambie encabezados ni borre registro_inventario_id o IDs técnicos.</t>
        </is>
      </c>
    </row>
    <row r="7" ht="28" customHeight="1">
      <c r="A7" s="4" t="inlineStr">
        <is>
          <t>• Escriba el conteo físico en cantidad_contada; stock_sistema_actual es solo referencia.</t>
        </is>
      </c>
    </row>
    <row r="8" ht="28" customHeight="1">
      <c r="A8" s="4" t="inlineStr">
        <is>
          <t>• Los precios y cantidades deben ser celdas numéricas, no texto.</t>
        </is>
      </c>
    </row>
    <row r="9" ht="28" customHeight="1">
      <c r="A9" s="4" t="inlineStr">
        <is>
          <t>• cantidad_contada admite hasta 3 decimales; active permite_decimales para fracciones.</t>
        </is>
      </c>
    </row>
    <row r="10" ht="28" customHeight="1">
      <c r="A10" s="4" t="inlineStr">
        <is>
          <t>• codigo_barras puede quedar vacío y estado_barcode debe permanecer PENDIENTE.</t>
        </is>
      </c>
    </row>
    <row r="11" ht="28" customHeight="1">
      <c r="A11" s="4" t="inlineStr">
        <is>
          <t>• No duplique una fila porque un SKU tenga varios barcodes; códigos adicionales se modelarán después.</t>
        </is>
      </c>
    </row>
    <row r="12" ht="28" customHeight="1">
      <c r="A12" s="4" t="inlineStr">
        <is>
          <t>• Use observaciones_inventario para presentaciones, ubicación o dudas.</t>
        </is>
      </c>
    </row>
    <row r="15">
      <c r="A15" s="3" t="inlineStr">
        <is>
          <t>Flujo posterior</t>
        </is>
      </c>
    </row>
    <row r="16" ht="28" customHeight="1">
      <c r="A16" s="4" t="inlineStr">
        <is>
          <t>• Excel completo → LISTO_SIN_BARCODE → fase de escaneo → asociar scan al registro → LISTO_COMPLETO → importación controlada.</t>
        </is>
      </c>
    </row>
    <row r="17" ht="28" customHeight="1">
      <c r="A17" s="4" t="inlineStr">
        <is>
          <t>• Este archivo no importa productos, no modifica stock y no genera códigos FRP/EAN.</t>
        </is>
      </c>
    </row>
    <row r="20">
      <c r="A20" s="5" t="inlineStr">
        <is>
          <t>Leyenda</t>
        </is>
      </c>
    </row>
    <row r="21">
      <c r="A21" s="6" t="inlineStr">
        <is>
          <t>OBLIGATORIO</t>
        </is>
      </c>
      <c r="B21" t="inlineStr">
        <is>
          <t>Debe existir para LISTO_SIN_BARCODE</t>
        </is>
      </c>
    </row>
    <row r="22">
      <c r="A22" s="7" t="inlineStr">
        <is>
          <t>OPCIONAL</t>
        </is>
      </c>
      <c r="B22" t="inlineStr">
        <is>
          <t>Mejora la ficha pero no bloquea</t>
        </is>
      </c>
    </row>
    <row r="23">
      <c r="A23" s="8" t="inlineStr">
        <is>
          <t>AUTOMÁTICO</t>
        </is>
      </c>
      <c r="B23" t="inlineStr">
        <is>
          <t>Fórmula o identidad técnica; no editar</t>
        </is>
      </c>
    </row>
    <row r="24">
      <c r="A24" s="9" t="inlineStr">
        <is>
          <t>PENDIENTE BARCODE</t>
        </is>
      </c>
      <c r="B24" t="inlineStr">
        <is>
          <t>Se completa al escanear físicamente</t>
        </is>
      </c>
    </row>
  </sheetData>
  <mergeCells count="19">
    <mergeCell ref="A9:H9"/>
    <mergeCell ref="A15:H15"/>
    <mergeCell ref="B24:H24"/>
    <mergeCell ref="A11:H11"/>
    <mergeCell ref="A1:H1"/>
    <mergeCell ref="A6:H6"/>
    <mergeCell ref="A7:H7"/>
    <mergeCell ref="A16:H16"/>
    <mergeCell ref="A12:H12"/>
    <mergeCell ref="B22:H22"/>
    <mergeCell ref="B21:H21"/>
    <mergeCell ref="A2:H2"/>
    <mergeCell ref="A5:H5"/>
    <mergeCell ref="A8:H8"/>
    <mergeCell ref="B23:H23"/>
    <mergeCell ref="A17:H17"/>
    <mergeCell ref="A4:H4"/>
    <mergeCell ref="A20:H20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K445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8" customWidth="1" min="4" max="4"/>
    <col width="38" customWidth="1" min="5" max="5"/>
    <col width="25" customWidth="1" min="6" max="6"/>
    <col width="32" customWidth="1" min="7" max="7"/>
    <col width="25" customWidth="1" min="8" max="8"/>
    <col width="22" customWidth="1" min="9" max="9"/>
    <col width="24" customWidth="1" min="10" max="10"/>
    <col width="28" customWidth="1" min="11" max="11"/>
    <col width="14" customWidth="1" min="12" max="12"/>
    <col width="17" customWidth="1" min="13" max="13"/>
    <col width="17" customWidth="1" min="14" max="14"/>
    <col width="14" customWidth="1" min="15" max="15"/>
    <col width="18" customWidth="1" min="16" max="16"/>
    <col width="19" customWidth="1" min="17" max="17"/>
    <col width="16" customWidth="1" min="18" max="18"/>
    <col width="19" customWidth="1" min="19" max="19"/>
    <col width="19" customWidth="1" min="20" max="20"/>
    <col width="20" customWidth="1" min="21" max="21"/>
    <col width="30" customWidth="1" min="22" max="22"/>
    <col width="20" customWidth="1" min="23" max="23"/>
    <col width="19" customWidth="1" min="24" max="24"/>
    <col width="14" customWidth="1" min="25" max="25"/>
    <col width="14" customWidth="1" min="26" max="26"/>
    <col width="19" customWidth="1" min="27" max="27"/>
    <col width="23" customWidth="1" min="28" max="28"/>
    <col width="23" customWidth="1" min="29" max="29"/>
    <col width="18" customWidth="1" min="30" max="30"/>
    <col width="20" customWidth="1" min="31" max="31"/>
    <col width="24" customWidth="1" min="32" max="32"/>
    <col width="18" customWidth="1" min="33" max="33"/>
    <col width="22" customWidth="1" min="34" max="34"/>
    <col width="45" customWidth="1" min="35" max="35"/>
    <col width="38" customWidth="1" min="36" max="36"/>
    <col width="30" customWidth="1" min="37" max="37"/>
  </cols>
  <sheetData>
    <row r="1" ht="34" customHeight="1">
      <c r="A1" s="1" t="inlineStr">
        <is>
          <t>PRODUCTOS · captura maestra</t>
        </is>
      </c>
    </row>
    <row r="2" ht="28" customHeight="1">
      <c r="A2" s="2" t="inlineStr">
        <is>
          <t>Amarillo = obligatorio · gris = automático · morado = barcode posterior. cantidad_contada nunca se prellena desde stock.</t>
        </is>
      </c>
    </row>
    <row r="3" ht="23" customHeight="1">
      <c r="A3" s="10" t="inlineStr">
        <is>
          <t>IDENTIFICACIÓN</t>
        </is>
      </c>
      <c r="M3" s="11" t="inlineStr">
        <is>
          <t>INFORMACIÓN COMERCIAL</t>
        </is>
      </c>
      <c r="U3" s="12" t="inlineStr">
        <is>
          <t>INVENTARIO FÍSICO</t>
        </is>
      </c>
      <c r="AA3" s="13" t="inlineStr">
        <is>
          <t>CÁLCULOS</t>
        </is>
      </c>
      <c r="AF3" s="14" t="inlineStr">
        <is>
          <t>BARCODE</t>
        </is>
      </c>
      <c r="AH3" s="15" t="inlineStr">
        <is>
          <t>CONTROL</t>
        </is>
      </c>
    </row>
    <row r="4" ht="42" customHeight="1">
      <c r="A4" s="16" t="inlineStr">
        <is>
          <t>registro_inventario_id</t>
        </is>
      </c>
      <c r="B4" s="16" t="inlineStr">
        <is>
          <t>tipo_registro</t>
        </is>
      </c>
      <c r="C4" s="16" t="inlineStr">
        <is>
          <t>activo_sistema</t>
        </is>
      </c>
      <c r="D4" s="16" t="inlineStr">
        <is>
          <t>producto_id_sistema</t>
        </is>
      </c>
      <c r="E4" s="16" t="inlineStr">
        <is>
          <t>producto_local_id</t>
        </is>
      </c>
      <c r="F4" s="16" t="inlineStr">
        <is>
          <t>codigo_sistema_actual</t>
        </is>
      </c>
      <c r="G4" s="16" t="inlineStr">
        <is>
          <t>nombre</t>
        </is>
      </c>
      <c r="H4" s="16" t="inlineStr">
        <is>
          <t>categoria</t>
        </is>
      </c>
      <c r="I4" s="16" t="inlineStr">
        <is>
          <t>marca</t>
        </is>
      </c>
      <c r="J4" s="16" t="inlineStr">
        <is>
          <t>presentacion</t>
        </is>
      </c>
      <c r="K4" s="16" t="inlineStr">
        <is>
          <t>proveedor</t>
        </is>
      </c>
      <c r="L4" s="16" t="inlineStr">
        <is>
          <t>proveedor_id</t>
        </is>
      </c>
      <c r="M4" s="16" t="inlineStr">
        <is>
          <t>precio_compra</t>
        </is>
      </c>
      <c r="N4" s="16" t="inlineStr">
        <is>
          <t>precio_venta</t>
        </is>
      </c>
      <c r="O4" s="16" t="inlineStr">
        <is>
          <t>stock_minimo</t>
        </is>
      </c>
      <c r="P4" s="16" t="inlineStr">
        <is>
          <t>unidad_medida</t>
        </is>
      </c>
      <c r="Q4" s="16" t="inlineStr">
        <is>
          <t>permite_decimales</t>
        </is>
      </c>
      <c r="R4" s="16" t="inlineStr">
        <is>
          <t>viene_en_caja</t>
        </is>
      </c>
      <c r="S4" s="16" t="inlineStr">
        <is>
          <t>unidades_por_caja</t>
        </is>
      </c>
      <c r="T4" s="16" t="inlineStr">
        <is>
          <t>vende_por_empaque</t>
        </is>
      </c>
      <c r="U4" s="16" t="inlineStr">
        <is>
          <t>ubicacion</t>
        </is>
      </c>
      <c r="V4" s="16" t="inlineStr">
        <is>
          <t>descripcion</t>
        </is>
      </c>
      <c r="W4" s="16" t="inlineStr">
        <is>
          <t>stock_sistema_actual</t>
        </is>
      </c>
      <c r="X4" s="16" t="inlineStr">
        <is>
          <t>cantidad_contada</t>
        </is>
      </c>
      <c r="Y4" s="16" t="inlineStr">
        <is>
          <t>pasillo</t>
        </is>
      </c>
      <c r="Z4" s="16" t="inlineStr">
        <is>
          <t>estante</t>
        </is>
      </c>
      <c r="AA4" s="16" t="inlineStr">
        <is>
          <t>diferencia_unidades</t>
        </is>
      </c>
      <c r="AB4" s="16" t="inlineStr">
        <is>
          <t>valor_inventario_costo</t>
        </is>
      </c>
      <c r="AC4" s="16" t="inlineStr">
        <is>
          <t>valor_potencial_venta</t>
        </is>
      </c>
      <c r="AD4" s="16" t="inlineStr">
        <is>
          <t>margen_unitario</t>
        </is>
      </c>
      <c r="AE4" s="16" t="inlineStr">
        <is>
          <t>margen_porcentaje</t>
        </is>
      </c>
      <c r="AF4" s="16" t="inlineStr">
        <is>
          <t>codigo_barras</t>
        </is>
      </c>
      <c r="AG4" s="16" t="inlineStr">
        <is>
          <t>estado_barcode</t>
        </is>
      </c>
      <c r="AH4" s="16" t="inlineStr">
        <is>
          <t>estado_registro</t>
        </is>
      </c>
      <c r="AI4" s="16" t="inlineStr">
        <is>
          <t>errores_validacion</t>
        </is>
      </c>
      <c r="AJ4" s="16" t="inlineStr">
        <is>
          <t>observaciones_inventario</t>
        </is>
      </c>
      <c r="AK4" s="16" t="inlineStr">
        <is>
          <t>posible_duplicado</t>
        </is>
      </c>
    </row>
    <row r="5">
      <c r="A5" s="17" t="inlineStr">
        <is>
          <t>408d9794-eb9f-596a-91c2-04a55adc3295</t>
        </is>
      </c>
      <c r="B5" s="18" t="inlineStr">
        <is>
          <t>EXISTENTE</t>
        </is>
      </c>
      <c r="C5" s="18" t="inlineStr">
        <is>
          <t>INACTIVO</t>
        </is>
      </c>
      <c r="D5" s="18" t="n">
        <v>1</v>
      </c>
      <c r="E5" s="17" t="inlineStr">
        <is>
          <t>94c73223-e48e-48c3-a9c5-478abbc7e1c6</t>
        </is>
      </c>
      <c r="F5" s="17" t="n"/>
      <c r="G5" s="19" t="inlineStr">
        <is>
          <t>Rodillo de pintura</t>
        </is>
      </c>
      <c r="H5" s="19" t="inlineStr">
        <is>
          <t>Pinturas y Acabados</t>
        </is>
      </c>
      <c r="I5" s="20" t="inlineStr">
        <is>
          <t>marca 1</t>
        </is>
      </c>
      <c r="J5" s="20" t="n"/>
      <c r="K5" s="21" t="inlineStr">
        <is>
          <t>alexander</t>
        </is>
      </c>
      <c r="L5" s="18" t="n">
        <v>1</v>
      </c>
      <c r="M5" s="22" t="n">
        <v>12000</v>
      </c>
      <c r="N5" s="22" t="n">
        <v>77777</v>
      </c>
      <c r="O5" s="23" t="n">
        <v>10</v>
      </c>
      <c r="P5" s="24" t="inlineStr">
        <is>
          <t>UNIDAD</t>
        </is>
      </c>
      <c r="Q5" s="20" t="inlineStr">
        <is>
          <t>NO</t>
        </is>
      </c>
      <c r="R5" s="20" t="inlineStr">
        <is>
          <t>NO</t>
        </is>
      </c>
      <c r="S5" s="25" t="n">
        <v>1</v>
      </c>
      <c r="T5" s="20" t="inlineStr">
        <is>
          <t>NO</t>
        </is>
      </c>
      <c r="U5" s="20" t="n"/>
      <c r="V5" s="21" t="n"/>
      <c r="W5" s="26" t="n">
        <v>31</v>
      </c>
      <c r="X5" s="27" t="n"/>
      <c r="Y5" s="20" t="n"/>
      <c r="Z5" s="20" t="n"/>
      <c r="AA5" s="26">
        <f>IF(X5="","",X5-IF(W5="",0,W5))</f>
        <v/>
      </c>
      <c r="AB5" s="28">
        <f>IF(OR(X5="",M5=""),"",X5*M5)</f>
        <v/>
      </c>
      <c r="AC5" s="28">
        <f>IF(OR(X5="",N5=""),"",X5*N5)</f>
        <v/>
      </c>
      <c r="AD5" s="28">
        <f>IF(OR(M5="",N5=""),"",N5-M5)</f>
        <v/>
      </c>
      <c r="AE5" s="29">
        <f>IFERROR(IF(M5&gt;0,(N5-M5)/M5,""),"")</f>
        <v/>
      </c>
      <c r="AF5" s="30" t="n"/>
      <c r="AG5" s="30" t="inlineStr">
        <is>
          <t>PENDIENTE</t>
        </is>
      </c>
      <c r="AH5" s="18">
        <f>IF(NOT(OR(B5="EXISTENTE",COUNTA(G5,H5,I5,J5,K5,M5,N5,U5,V5,X5,Y5,Z5,AF5,AJ5)&gt;0)),"",IF(AK5&lt;&gt;"","REVISAR",IF(OR(G5="",H5="",M5="",N5="",O5="",P5="",X5=""),"INCOMPLETO",IF(AI5&lt;&gt;"","REVISAR",IF(AND(AF5&lt;&gt;"",AG5="ESCANEADO"),"LISTO_COMPLETO","LISTO_SIN_BARCODE")))))</f>
        <v/>
      </c>
      <c r="AI5" s="17">
        <f>IF(NOT(OR(B5="EXISTENTE",COUNTA(G5,H5,I5,J5,K5,M5,N5,U5,V5,X5,Y5,Z5,AF5,AJ5)&gt;0)),"",TEXTJOIN(" | ",TRUE,IF(A5="","Falta ID staging",""),IF(COUNTIF($A$5:$A$445,A5)&gt;1,"ID staging duplicado",""),IF(G5="","Falta nombre",""),IF(LEN(G5)&gt;150,"Nombre &gt;150 caracteres",""),IF(H5="","Falta categoría",IF(COUNTIF(CategoriasLista,H5)=0,"Categoría inválida","")),IF(M5="","Falta precio compra",IF(OR(NOT(ISNUMBER(M5)),M5&lt;0),"Precio compra inválido","")),IF(N5="","Falta precio venta",IF(OR(NOT(ISNUMBER(N5)),N5&lt;=0,N5&lt;M5),"Precio venta inválido","")),IF(O5="","Falta stock mínimo",IF(OR(NOT(ISNUMBER(O5)),O5&lt;0,MOD(O5,1)&lt;&gt;0),"Stock mínimo inválido","")),IF(P5="","Falta unidad",IF(COUNTIF(UnidadesLista,P5)=0,"Unidad inválida","")),IF(AND(K5&lt;&gt;"",COUNTIF(ProveedoresLista,K5)=0),"Proveedor no catalogado",""),IF(X5="","Falta cantidad contada",IF(OR(NOT(ISNUMBER(X5)),X5&lt;0,ABS(X5*1000-ROUND(X5*1000,0))&gt;0.0000001),"Cantidad inválida",IF(AND(Q5="NO",MOD(X5,1)&lt;&gt;0),"Cantidad fraccionaria no permitida",""))),IF(AND(R5="SI",OR(NOT(ISNUMBER(S5)),S5&lt;1,MOD(S5,1)&lt;&gt;0)),"Empaque inválido",""),IF(OR(AND(AF5="",AG5="ESCANEADO"),AND(AF5&lt;&gt;"",AG5&lt;&gt;"ESCANEADO")),"Barcode/estado inconsistente",""),IF(AK5&lt;&gt;"",AK5,"")))</f>
        <v/>
      </c>
      <c r="AJ5" s="21" t="n"/>
      <c r="AK5" s="17">
        <f>IF(G5="","",IF(OR(COUNTIFS($G$5:$G$445,G5,$I$5:$I$445,I5,$J$5:$J$445,J5,$P$5:$P$445,P5)&gt;1,AND(AF5&lt;&gt;"",COUNTIF($AF$5:$AF$445,AF5)&gt;1)),"REVISAR_POSIBLE_DUPLICADO",""))</f>
        <v/>
      </c>
    </row>
    <row r="6">
      <c r="A6" s="17" t="inlineStr">
        <is>
          <t>25abc981-b644-5de8-8c18-0d9c68a254d6</t>
        </is>
      </c>
      <c r="B6" s="18" t="inlineStr">
        <is>
          <t>EXISTENTE</t>
        </is>
      </c>
      <c r="C6" s="18" t="inlineStr">
        <is>
          <t>ACTIVO</t>
        </is>
      </c>
      <c r="D6" s="18" t="n">
        <v>2</v>
      </c>
      <c r="E6" s="17" t="inlineStr">
        <is>
          <t>83f17ae0-d41e-4c5d-8cf5-aca39aa41723</t>
        </is>
      </c>
      <c r="F6" s="17" t="n"/>
      <c r="G6" s="19" t="inlineStr">
        <is>
          <t>martillo</t>
        </is>
      </c>
      <c r="H6" s="19" t="inlineStr">
        <is>
          <t>herramientas manuales</t>
        </is>
      </c>
      <c r="I6" s="20" t="inlineStr">
        <is>
          <t>tolima</t>
        </is>
      </c>
      <c r="J6" s="20" t="n"/>
      <c r="K6" s="21" t="inlineStr">
        <is>
          <t>alexander</t>
        </is>
      </c>
      <c r="L6" s="18" t="n">
        <v>1</v>
      </c>
      <c r="M6" s="22" t="n">
        <v>5000</v>
      </c>
      <c r="N6" s="22" t="n">
        <v>12000</v>
      </c>
      <c r="O6" s="23" t="n">
        <v>10</v>
      </c>
      <c r="P6" s="24" t="inlineStr">
        <is>
          <t>CAJA</t>
        </is>
      </c>
      <c r="Q6" s="20" t="inlineStr">
        <is>
          <t>NO</t>
        </is>
      </c>
      <c r="R6" s="20" t="inlineStr">
        <is>
          <t>SI</t>
        </is>
      </c>
      <c r="S6" s="25" t="n">
        <v>24</v>
      </c>
      <c r="T6" s="20" t="inlineStr">
        <is>
          <t>NO</t>
        </is>
      </c>
      <c r="U6" s="20" t="n"/>
      <c r="V6" s="21" t="n"/>
      <c r="W6" s="26" t="n">
        <v>77</v>
      </c>
      <c r="X6" s="27" t="n"/>
      <c r="Y6" s="20" t="n"/>
      <c r="Z6" s="20" t="n"/>
      <c r="AA6" s="26">
        <f>IF(X6="","",X6-IF(W6="",0,W6))</f>
        <v/>
      </c>
      <c r="AB6" s="28">
        <f>IF(OR(X6="",M6=""),"",X6*M6)</f>
        <v/>
      </c>
      <c r="AC6" s="28">
        <f>IF(OR(X6="",N6=""),"",X6*N6)</f>
        <v/>
      </c>
      <c r="AD6" s="28">
        <f>IF(OR(M6="",N6=""),"",N6-M6)</f>
        <v/>
      </c>
      <c r="AE6" s="29">
        <f>IFERROR(IF(M6&gt;0,(N6-M6)/M6,""),"")</f>
        <v/>
      </c>
      <c r="AF6" s="30" t="n"/>
      <c r="AG6" s="30" t="inlineStr">
        <is>
          <t>PENDIENTE</t>
        </is>
      </c>
      <c r="AH6" s="18">
        <f>IF(NOT(OR(B6="EXISTENTE",COUNTA(G6,H6,I6,J6,K6,M6,N6,U6,V6,X6,Y6,Z6,AF6,AJ6)&gt;0)),"",IF(AK6&lt;&gt;"","REVISAR",IF(OR(G6="",H6="",M6="",N6="",O6="",P6="",X6=""),"INCOMPLETO",IF(AI6&lt;&gt;"","REVISAR",IF(AND(AF6&lt;&gt;"",AG6="ESCANEADO"),"LISTO_COMPLETO","LISTO_SIN_BARCODE")))))</f>
        <v/>
      </c>
      <c r="AI6" s="17">
        <f>IF(NOT(OR(B6="EXISTENTE",COUNTA(G6,H6,I6,J6,K6,M6,N6,U6,V6,X6,Y6,Z6,AF6,AJ6)&gt;0)),"",TEXTJOIN(" | ",TRUE,IF(A6="","Falta ID staging",""),IF(COUNTIF($A$5:$A$445,A6)&gt;1,"ID staging duplicado",""),IF(G6="","Falta nombre",""),IF(LEN(G6)&gt;150,"Nombre &gt;150 caracteres",""),IF(H6="","Falta categoría",IF(COUNTIF(CategoriasLista,H6)=0,"Categoría inválida","")),IF(M6="","Falta precio compra",IF(OR(NOT(ISNUMBER(M6)),M6&lt;0),"Precio compra inválido","")),IF(N6="","Falta precio venta",IF(OR(NOT(ISNUMBER(N6)),N6&lt;=0,N6&lt;M6),"Precio venta inválido","")),IF(O6="","Falta stock mínimo",IF(OR(NOT(ISNUMBER(O6)),O6&lt;0,MOD(O6,1)&lt;&gt;0),"Stock mínimo inválido","")),IF(P6="","Falta unidad",IF(COUNTIF(UnidadesLista,P6)=0,"Unidad inválida","")),IF(AND(K6&lt;&gt;"",COUNTIF(ProveedoresLista,K6)=0),"Proveedor no catalogado",""),IF(X6="","Falta cantidad contada",IF(OR(NOT(ISNUMBER(X6)),X6&lt;0,ABS(X6*1000-ROUND(X6*1000,0))&gt;0.0000001),"Cantidad inválida",IF(AND(Q6="NO",MOD(X6,1)&lt;&gt;0),"Cantidad fraccionaria no permitida",""))),IF(AND(R6="SI",OR(NOT(ISNUMBER(S6)),S6&lt;1,MOD(S6,1)&lt;&gt;0)),"Empaque inválido",""),IF(OR(AND(AF6="",AG6="ESCANEADO"),AND(AF6&lt;&gt;"",AG6&lt;&gt;"ESCANEADO")),"Barcode/estado inconsistente",""),IF(AK6&lt;&gt;"",AK6,"")))</f>
        <v/>
      </c>
      <c r="AJ6" s="21" t="n"/>
      <c r="AK6" s="17">
        <f>IF(G6="","",IF(OR(COUNTIFS($G$5:$G$445,G6,$I$5:$I$445,I6,$J$5:$J$445,J6,$P$5:$P$445,P6)&gt;1,AND(AF6&lt;&gt;"",COUNTIF($AF$5:$AF$445,AF6)&gt;1)),"REVISAR_POSIBLE_DUPLICADO",""))</f>
        <v/>
      </c>
    </row>
    <row r="7">
      <c r="A7" s="17" t="inlineStr">
        <is>
          <t>3abdaba8-410e-596e-a979-91b84038ce4f</t>
        </is>
      </c>
      <c r="B7" s="18" t="inlineStr">
        <is>
          <t>EXISTENTE</t>
        </is>
      </c>
      <c r="C7" s="18" t="inlineStr">
        <is>
          <t>ACTIVO</t>
        </is>
      </c>
      <c r="D7" s="18" t="n">
        <v>3</v>
      </c>
      <c r="E7" s="17" t="inlineStr">
        <is>
          <t>9afd3836-b303-4aba-8960-3a3e38ff04bd</t>
        </is>
      </c>
      <c r="F7" s="17" t="n"/>
      <c r="G7" s="19" t="inlineStr">
        <is>
          <t>cincele</t>
        </is>
      </c>
      <c r="H7" s="19" t="inlineStr">
        <is>
          <t>herramientas manuales</t>
        </is>
      </c>
      <c r="I7" s="20" t="inlineStr">
        <is>
          <t>tolima</t>
        </is>
      </c>
      <c r="J7" s="20" t="n"/>
      <c r="K7" s="21" t="inlineStr">
        <is>
          <t>alexander</t>
        </is>
      </c>
      <c r="L7" s="18" t="n">
        <v>1</v>
      </c>
      <c r="M7" s="22" t="n">
        <v>10000</v>
      </c>
      <c r="N7" s="22" t="n">
        <v>15000</v>
      </c>
      <c r="O7" s="23" t="n">
        <v>10</v>
      </c>
      <c r="P7" s="24" t="inlineStr">
        <is>
          <t>CAJA</t>
        </is>
      </c>
      <c r="Q7" s="20" t="inlineStr">
        <is>
          <t>NO</t>
        </is>
      </c>
      <c r="R7" s="20" t="inlineStr">
        <is>
          <t>SI</t>
        </is>
      </c>
      <c r="S7" s="25" t="n">
        <v>10</v>
      </c>
      <c r="T7" s="20" t="inlineStr">
        <is>
          <t>NO</t>
        </is>
      </c>
      <c r="U7" s="20" t="n"/>
      <c r="V7" s="21" t="n"/>
      <c r="W7" s="26" t="n">
        <v>153</v>
      </c>
      <c r="X7" s="27" t="n"/>
      <c r="Y7" s="20" t="n"/>
      <c r="Z7" s="20" t="n"/>
      <c r="AA7" s="26">
        <f>IF(X7="","",X7-IF(W7="",0,W7))</f>
        <v/>
      </c>
      <c r="AB7" s="28">
        <f>IF(OR(X7="",M7=""),"",X7*M7)</f>
        <v/>
      </c>
      <c r="AC7" s="28">
        <f>IF(OR(X7="",N7=""),"",X7*N7)</f>
        <v/>
      </c>
      <c r="AD7" s="28">
        <f>IF(OR(M7="",N7=""),"",N7-M7)</f>
        <v/>
      </c>
      <c r="AE7" s="29">
        <f>IFERROR(IF(M7&gt;0,(N7-M7)/M7,""),"")</f>
        <v/>
      </c>
      <c r="AF7" s="30" t="n"/>
      <c r="AG7" s="30" t="inlineStr">
        <is>
          <t>PENDIENTE</t>
        </is>
      </c>
      <c r="AH7" s="18">
        <f>IF(NOT(OR(B7="EXISTENTE",COUNTA(G7,H7,I7,J7,K7,M7,N7,U7,V7,X7,Y7,Z7,AF7,AJ7)&gt;0)),"",IF(AK7&lt;&gt;"","REVISAR",IF(OR(G7="",H7="",M7="",N7="",O7="",P7="",X7=""),"INCOMPLETO",IF(AI7&lt;&gt;"","REVISAR",IF(AND(AF7&lt;&gt;"",AG7="ESCANEADO"),"LISTO_COMPLETO","LISTO_SIN_BARCODE")))))</f>
        <v/>
      </c>
      <c r="AI7" s="17">
        <f>IF(NOT(OR(B7="EXISTENTE",COUNTA(G7,H7,I7,J7,K7,M7,N7,U7,V7,X7,Y7,Z7,AF7,AJ7)&gt;0)),"",TEXTJOIN(" | ",TRUE,IF(A7="","Falta ID staging",""),IF(COUNTIF($A$5:$A$445,A7)&gt;1,"ID staging duplicado",""),IF(G7="","Falta nombre",""),IF(LEN(G7)&gt;150,"Nombre &gt;150 caracteres",""),IF(H7="","Falta categoría",IF(COUNTIF(CategoriasLista,H7)=0,"Categoría inválida","")),IF(M7="","Falta precio compra",IF(OR(NOT(ISNUMBER(M7)),M7&lt;0),"Precio compra inválido","")),IF(N7="","Falta precio venta",IF(OR(NOT(ISNUMBER(N7)),N7&lt;=0,N7&lt;M7),"Precio venta inválido","")),IF(O7="","Falta stock mínimo",IF(OR(NOT(ISNUMBER(O7)),O7&lt;0,MOD(O7,1)&lt;&gt;0),"Stock mínimo inválido","")),IF(P7="","Falta unidad",IF(COUNTIF(UnidadesLista,P7)=0,"Unidad inválida","")),IF(AND(K7&lt;&gt;"",COUNTIF(ProveedoresLista,K7)=0),"Proveedor no catalogado",""),IF(X7="","Falta cantidad contada",IF(OR(NOT(ISNUMBER(X7)),X7&lt;0,ABS(X7*1000-ROUND(X7*1000,0))&gt;0.0000001),"Cantidad inválida",IF(AND(Q7="NO",MOD(X7,1)&lt;&gt;0),"Cantidad fraccionaria no permitida",""))),IF(AND(R7="SI",OR(NOT(ISNUMBER(S7)),S7&lt;1,MOD(S7,1)&lt;&gt;0)),"Empaque inválido",""),IF(OR(AND(AF7="",AG7="ESCANEADO"),AND(AF7&lt;&gt;"",AG7&lt;&gt;"ESCANEADO")),"Barcode/estado inconsistente",""),IF(AK7&lt;&gt;"",AK7,"")))</f>
        <v/>
      </c>
      <c r="AJ7" s="21" t="n"/>
      <c r="AK7" s="17">
        <f>IF(G7="","",IF(OR(COUNTIFS($G$5:$G$445,G7,$I$5:$I$445,I7,$J$5:$J$445,J7,$P$5:$P$445,P7)&gt;1,AND(AF7&lt;&gt;"",COUNTIF($AF$5:$AF$445,AF7)&gt;1)),"REVISAR_POSIBLE_DUPLICADO",""))</f>
        <v/>
      </c>
    </row>
    <row r="8">
      <c r="A8" s="17" t="inlineStr">
        <is>
          <t>237c1b6c-8006-5863-8778-978fbaa9202c</t>
        </is>
      </c>
      <c r="B8" s="18" t="inlineStr">
        <is>
          <t>EXISTENTE</t>
        </is>
      </c>
      <c r="C8" s="18" t="inlineStr">
        <is>
          <t>ACTIVO</t>
        </is>
      </c>
      <c r="D8" s="18" t="n">
        <v>4</v>
      </c>
      <c r="E8" s="17" t="inlineStr">
        <is>
          <t>a0c5f90d-9b36-42a3-bb1a-257c19b9411d</t>
        </is>
      </c>
      <c r="F8" s="17" t="n"/>
      <c r="G8" s="19" t="inlineStr">
        <is>
          <t>rodillo de pintura 4''</t>
        </is>
      </c>
      <c r="H8" s="19" t="inlineStr">
        <is>
          <t>Pinturas y Acabados</t>
        </is>
      </c>
      <c r="I8" s="20" t="inlineStr">
        <is>
          <t>marca 1</t>
        </is>
      </c>
      <c r="J8" s="20" t="n"/>
      <c r="K8" s="21" t="inlineStr">
        <is>
          <t>alexander</t>
        </is>
      </c>
      <c r="L8" s="18" t="n">
        <v>1</v>
      </c>
      <c r="M8" s="22" t="n">
        <v>3500</v>
      </c>
      <c r="N8" s="22" t="n">
        <v>7000</v>
      </c>
      <c r="O8" s="23" t="n">
        <v>10</v>
      </c>
      <c r="P8" s="24" t="inlineStr">
        <is>
          <t>UNIDAD</t>
        </is>
      </c>
      <c r="Q8" s="20" t="inlineStr">
        <is>
          <t>NO</t>
        </is>
      </c>
      <c r="R8" s="20" t="inlineStr">
        <is>
          <t>SI</t>
        </is>
      </c>
      <c r="S8" s="25" t="n">
        <v>2</v>
      </c>
      <c r="T8" s="20" t="inlineStr">
        <is>
          <t>NO</t>
        </is>
      </c>
      <c r="U8" s="20" t="n"/>
      <c r="V8" s="21" t="n"/>
      <c r="W8" s="26" t="n">
        <v>12</v>
      </c>
      <c r="X8" s="27" t="n"/>
      <c r="Y8" s="20" t="n"/>
      <c r="Z8" s="20" t="n"/>
      <c r="AA8" s="26">
        <f>IF(X8="","",X8-IF(W8="",0,W8))</f>
        <v/>
      </c>
      <c r="AB8" s="28">
        <f>IF(OR(X8="",M8=""),"",X8*M8)</f>
        <v/>
      </c>
      <c r="AC8" s="28">
        <f>IF(OR(X8="",N8=""),"",X8*N8)</f>
        <v/>
      </c>
      <c r="AD8" s="28">
        <f>IF(OR(M8="",N8=""),"",N8-M8)</f>
        <v/>
      </c>
      <c r="AE8" s="29">
        <f>IFERROR(IF(M8&gt;0,(N8-M8)/M8,""),"")</f>
        <v/>
      </c>
      <c r="AF8" s="30" t="n"/>
      <c r="AG8" s="30" t="inlineStr">
        <is>
          <t>PENDIENTE</t>
        </is>
      </c>
      <c r="AH8" s="18">
        <f>IF(NOT(OR(B8="EXISTENTE",COUNTA(G8,H8,I8,J8,K8,M8,N8,U8,V8,X8,Y8,Z8,AF8,AJ8)&gt;0)),"",IF(AK8&lt;&gt;"","REVISAR",IF(OR(G8="",H8="",M8="",N8="",O8="",P8="",X8=""),"INCOMPLETO",IF(AI8&lt;&gt;"","REVISAR",IF(AND(AF8&lt;&gt;"",AG8="ESCANEADO"),"LISTO_COMPLETO","LISTO_SIN_BARCODE")))))</f>
        <v/>
      </c>
      <c r="AI8" s="17">
        <f>IF(NOT(OR(B8="EXISTENTE",COUNTA(G8,H8,I8,J8,K8,M8,N8,U8,V8,X8,Y8,Z8,AF8,AJ8)&gt;0)),"",TEXTJOIN(" | ",TRUE,IF(A8="","Falta ID staging",""),IF(COUNTIF($A$5:$A$445,A8)&gt;1,"ID staging duplicado",""),IF(G8="","Falta nombre",""),IF(LEN(G8)&gt;150,"Nombre &gt;150 caracteres",""),IF(H8="","Falta categoría",IF(COUNTIF(CategoriasLista,H8)=0,"Categoría inválida","")),IF(M8="","Falta precio compra",IF(OR(NOT(ISNUMBER(M8)),M8&lt;0),"Precio compra inválido","")),IF(N8="","Falta precio venta",IF(OR(NOT(ISNUMBER(N8)),N8&lt;=0,N8&lt;M8),"Precio venta inválido","")),IF(O8="","Falta stock mínimo",IF(OR(NOT(ISNUMBER(O8)),O8&lt;0,MOD(O8,1)&lt;&gt;0),"Stock mínimo inválido","")),IF(P8="","Falta unidad",IF(COUNTIF(UnidadesLista,P8)=0,"Unidad inválida","")),IF(AND(K8&lt;&gt;"",COUNTIF(ProveedoresLista,K8)=0),"Proveedor no catalogado",""),IF(X8="","Falta cantidad contada",IF(OR(NOT(ISNUMBER(X8)),X8&lt;0,ABS(X8*1000-ROUND(X8*1000,0))&gt;0.0000001),"Cantidad inválida",IF(AND(Q8="NO",MOD(X8,1)&lt;&gt;0),"Cantidad fraccionaria no permitida",""))),IF(AND(R8="SI",OR(NOT(ISNUMBER(S8)),S8&lt;1,MOD(S8,1)&lt;&gt;0)),"Empaque inválido",""),IF(OR(AND(AF8="",AG8="ESCANEADO"),AND(AF8&lt;&gt;"",AG8&lt;&gt;"ESCANEADO")),"Barcode/estado inconsistente",""),IF(AK8&lt;&gt;"",AK8,"")))</f>
        <v/>
      </c>
      <c r="AJ8" s="21" t="n"/>
      <c r="AK8" s="17">
        <f>IF(G8="","",IF(OR(COUNTIFS($G$5:$G$445,G8,$I$5:$I$445,I8,$J$5:$J$445,J8,$P$5:$P$445,P8)&gt;1,AND(AF8&lt;&gt;"",COUNTIF($AF$5:$AF$445,AF8)&gt;1)),"REVISAR_POSIBLE_DUPLICADO",""))</f>
        <v/>
      </c>
    </row>
    <row r="9">
      <c r="A9" s="17" t="inlineStr">
        <is>
          <t>7b460357-613a-502d-969d-98bc62fd3a34</t>
        </is>
      </c>
      <c r="B9" s="18" t="inlineStr">
        <is>
          <t>EXISTENTE</t>
        </is>
      </c>
      <c r="C9" s="18" t="inlineStr">
        <is>
          <t>ACTIVO</t>
        </is>
      </c>
      <c r="D9" s="18" t="n">
        <v>5</v>
      </c>
      <c r="E9" s="17" t="inlineStr">
        <is>
          <t>55ccca74-53f2-43e4-bc6a-b742f5c81cb7</t>
        </is>
      </c>
      <c r="F9" s="17" t="inlineStr">
        <is>
          <t>CLV3P001</t>
        </is>
      </c>
      <c r="G9" s="19" t="inlineStr">
        <is>
          <t>Clavos 3 pulgadas</t>
        </is>
      </c>
      <c r="H9" s="19" t="inlineStr">
        <is>
          <t>Ferretería</t>
        </is>
      </c>
      <c r="I9" s="20" t="inlineStr">
        <is>
          <t>Generic</t>
        </is>
      </c>
      <c r="J9" s="20" t="n"/>
      <c r="K9" s="21" t="inlineStr"/>
      <c r="L9" s="18" t="n"/>
      <c r="M9" s="22" t="n">
        <v>100</v>
      </c>
      <c r="N9" s="22" t="n">
        <v>350</v>
      </c>
      <c r="O9" s="23" t="n">
        <v>100</v>
      </c>
      <c r="P9" s="24" t="inlineStr">
        <is>
          <t>UNIDAD</t>
        </is>
      </c>
      <c r="Q9" s="20" t="inlineStr">
        <is>
          <t>NO</t>
        </is>
      </c>
      <c r="R9" s="20" t="inlineStr">
        <is>
          <t>SI</t>
        </is>
      </c>
      <c r="S9" s="25" t="n">
        <v>50</v>
      </c>
      <c r="T9" s="20" t="inlineStr">
        <is>
          <t>SI</t>
        </is>
      </c>
      <c r="U9" s="20" t="n"/>
      <c r="V9" s="21" t="n"/>
      <c r="W9" s="26" t="n">
        <v>12</v>
      </c>
      <c r="X9" s="27" t="n"/>
      <c r="Y9" s="20" t="n"/>
      <c r="Z9" s="20" t="n"/>
      <c r="AA9" s="26">
        <f>IF(X9="","",X9-IF(W9="",0,W9))</f>
        <v/>
      </c>
      <c r="AB9" s="28">
        <f>IF(OR(X9="",M9=""),"",X9*M9)</f>
        <v/>
      </c>
      <c r="AC9" s="28">
        <f>IF(OR(X9="",N9=""),"",X9*N9)</f>
        <v/>
      </c>
      <c r="AD9" s="28">
        <f>IF(OR(M9="",N9=""),"",N9-M9)</f>
        <v/>
      </c>
      <c r="AE9" s="29">
        <f>IFERROR(IF(M9&gt;0,(N9-M9)/M9,""),"")</f>
        <v/>
      </c>
      <c r="AF9" s="30" t="n"/>
      <c r="AG9" s="30" t="inlineStr">
        <is>
          <t>PENDIENTE</t>
        </is>
      </c>
      <c r="AH9" s="18">
        <f>IF(NOT(OR(B9="EXISTENTE",COUNTA(G9,H9,I9,J9,K9,M9,N9,U9,V9,X9,Y9,Z9,AF9,AJ9)&gt;0)),"",IF(AK9&lt;&gt;"","REVISAR",IF(OR(G9="",H9="",M9="",N9="",O9="",P9="",X9=""),"INCOMPLETO",IF(AI9&lt;&gt;"","REVISAR",IF(AND(AF9&lt;&gt;"",AG9="ESCANEADO"),"LISTO_COMPLETO","LISTO_SIN_BARCODE")))))</f>
        <v/>
      </c>
      <c r="AI9" s="17">
        <f>IF(NOT(OR(B9="EXISTENTE",COUNTA(G9,H9,I9,J9,K9,M9,N9,U9,V9,X9,Y9,Z9,AF9,AJ9)&gt;0)),"",TEXTJOIN(" | ",TRUE,IF(A9="","Falta ID staging",""),IF(COUNTIF($A$5:$A$445,A9)&gt;1,"ID staging duplicado",""),IF(G9="","Falta nombre",""),IF(LEN(G9)&gt;150,"Nombre &gt;150 caracteres",""),IF(H9="","Falta categoría",IF(COUNTIF(CategoriasLista,H9)=0,"Categoría inválida","")),IF(M9="","Falta precio compra",IF(OR(NOT(ISNUMBER(M9)),M9&lt;0),"Precio compra inválido","")),IF(N9="","Falta precio venta",IF(OR(NOT(ISNUMBER(N9)),N9&lt;=0,N9&lt;M9),"Precio venta inválido","")),IF(O9="","Falta stock mínimo",IF(OR(NOT(ISNUMBER(O9)),O9&lt;0,MOD(O9,1)&lt;&gt;0),"Stock mínimo inválido","")),IF(P9="","Falta unidad",IF(COUNTIF(UnidadesLista,P9)=0,"Unidad inválida","")),IF(AND(K9&lt;&gt;"",COUNTIF(ProveedoresLista,K9)=0),"Proveedor no catalogado",""),IF(X9="","Falta cantidad contada",IF(OR(NOT(ISNUMBER(X9)),X9&lt;0,ABS(X9*1000-ROUND(X9*1000,0))&gt;0.0000001),"Cantidad inválida",IF(AND(Q9="NO",MOD(X9,1)&lt;&gt;0),"Cantidad fraccionaria no permitida",""))),IF(AND(R9="SI",OR(NOT(ISNUMBER(S9)),S9&lt;1,MOD(S9,1)&lt;&gt;0)),"Empaque inválido",""),IF(OR(AND(AF9="",AG9="ESCANEADO"),AND(AF9&lt;&gt;"",AG9&lt;&gt;"ESCANEADO")),"Barcode/estado inconsistente",""),IF(AK9&lt;&gt;"",AK9,"")))</f>
        <v/>
      </c>
      <c r="AJ9" s="21" t="n"/>
      <c r="AK9" s="17">
        <f>IF(G9="","",IF(OR(COUNTIFS($G$5:$G$445,G9,$I$5:$I$445,I9,$J$5:$J$445,J9,$P$5:$P$445,P9)&gt;1,AND(AF9&lt;&gt;"",COUNTIF($AF$5:$AF$445,AF9)&gt;1)),"REVISAR_POSIBLE_DUPLICADO",""))</f>
        <v/>
      </c>
    </row>
    <row r="10">
      <c r="A10" s="17" t="inlineStr">
        <is>
          <t>d1e45b75-e5e8-5d83-9fce-e83086892f19</t>
        </is>
      </c>
      <c r="B10" s="18" t="inlineStr">
        <is>
          <t>EXISTENTE</t>
        </is>
      </c>
      <c r="C10" s="18" t="inlineStr">
        <is>
          <t>ACTIVO</t>
        </is>
      </c>
      <c r="D10" s="18" t="n">
        <v>6</v>
      </c>
      <c r="E10" s="17" t="inlineStr">
        <is>
          <t>e66f381c-adab-4d12-befc-0ab28b5f27a6</t>
        </is>
      </c>
      <c r="F10" s="17" t="n"/>
      <c r="G10" s="19" t="inlineStr">
        <is>
          <t>pintura T1 Blanca</t>
        </is>
      </c>
      <c r="H10" s="19" t="inlineStr">
        <is>
          <t>Pinturas</t>
        </is>
      </c>
      <c r="I10" s="20" t="inlineStr">
        <is>
          <t>getics</t>
        </is>
      </c>
      <c r="J10" s="20" t="n"/>
      <c r="K10" s="21" t="inlineStr">
        <is>
          <t>juan</t>
        </is>
      </c>
      <c r="L10" s="18" t="n">
        <v>2</v>
      </c>
      <c r="M10" s="22" t="n">
        <v>40000</v>
      </c>
      <c r="N10" s="22" t="n">
        <v>65000</v>
      </c>
      <c r="O10" s="23" t="n">
        <v>4</v>
      </c>
      <c r="P10" s="24" t="inlineStr">
        <is>
          <t>UNIDAD</t>
        </is>
      </c>
      <c r="Q10" s="20" t="inlineStr">
        <is>
          <t>SI</t>
        </is>
      </c>
      <c r="R10" s="20" t="inlineStr">
        <is>
          <t>NO</t>
        </is>
      </c>
      <c r="S10" s="25" t="n">
        <v>1</v>
      </c>
      <c r="T10" s="20" t="inlineStr">
        <is>
          <t>NO</t>
        </is>
      </c>
      <c r="U10" s="20" t="n"/>
      <c r="V10" s="21" t="n"/>
      <c r="W10" s="26" t="n">
        <v>3</v>
      </c>
      <c r="X10" s="27" t="n"/>
      <c r="Y10" s="20" t="n"/>
      <c r="Z10" s="20" t="n"/>
      <c r="AA10" s="26">
        <f>IF(X10="","",X10-IF(W10="",0,W10))</f>
        <v/>
      </c>
      <c r="AB10" s="28">
        <f>IF(OR(X10="",M10=""),"",X10*M10)</f>
        <v/>
      </c>
      <c r="AC10" s="28">
        <f>IF(OR(X10="",N10=""),"",X10*N10)</f>
        <v/>
      </c>
      <c r="AD10" s="28">
        <f>IF(OR(M10="",N10=""),"",N10-M10)</f>
        <v/>
      </c>
      <c r="AE10" s="29">
        <f>IFERROR(IF(M10&gt;0,(N10-M10)/M10,""),"")</f>
        <v/>
      </c>
      <c r="AF10" s="30" t="n"/>
      <c r="AG10" s="30" t="inlineStr">
        <is>
          <t>PENDIENTE</t>
        </is>
      </c>
      <c r="AH10" s="18">
        <f>IF(NOT(OR(B10="EXISTENTE",COUNTA(G10,H10,I10,J10,K10,M10,N10,U10,V10,X10,Y10,Z10,AF10,AJ10)&gt;0)),"",IF(AK10&lt;&gt;"","REVISAR",IF(OR(G10="",H10="",M10="",N10="",O10="",P10="",X10=""),"INCOMPLETO",IF(AI10&lt;&gt;"","REVISAR",IF(AND(AF10&lt;&gt;"",AG10="ESCANEADO"),"LISTO_COMPLETO","LISTO_SIN_BARCODE")))))</f>
        <v/>
      </c>
      <c r="AI10" s="17">
        <f>IF(NOT(OR(B10="EXISTENTE",COUNTA(G10,H10,I10,J10,K10,M10,N10,U10,V10,X10,Y10,Z10,AF10,AJ10)&gt;0)),"",TEXTJOIN(" | ",TRUE,IF(A10="","Falta ID staging",""),IF(COUNTIF($A$5:$A$445,A10)&gt;1,"ID staging duplicado",""),IF(G10="","Falta nombre",""),IF(LEN(G10)&gt;150,"Nombre &gt;150 caracteres",""),IF(H10="","Falta categoría",IF(COUNTIF(CategoriasLista,H10)=0,"Categoría inválida","")),IF(M10="","Falta precio compra",IF(OR(NOT(ISNUMBER(M10)),M10&lt;0),"Precio compra inválido","")),IF(N10="","Falta precio venta",IF(OR(NOT(ISNUMBER(N10)),N10&lt;=0,N10&lt;M10),"Precio venta inválido","")),IF(O10="","Falta stock mínimo",IF(OR(NOT(ISNUMBER(O10)),O10&lt;0,MOD(O10,1)&lt;&gt;0),"Stock mínimo inválido","")),IF(P10="","Falta unidad",IF(COUNTIF(UnidadesLista,P10)=0,"Unidad inválida","")),IF(AND(K10&lt;&gt;"",COUNTIF(ProveedoresLista,K10)=0),"Proveedor no catalogado",""),IF(X10="","Falta cantidad contada",IF(OR(NOT(ISNUMBER(X10)),X10&lt;0,ABS(X10*1000-ROUND(X10*1000,0))&gt;0.0000001),"Cantidad inválida",IF(AND(Q10="NO",MOD(X10,1)&lt;&gt;0),"Cantidad fraccionaria no permitida",""))),IF(AND(R10="SI",OR(NOT(ISNUMBER(S10)),S10&lt;1,MOD(S10,1)&lt;&gt;0)),"Empaque inválido",""),IF(OR(AND(AF10="",AG10="ESCANEADO"),AND(AF10&lt;&gt;"",AG10&lt;&gt;"ESCANEADO")),"Barcode/estado inconsistente",""),IF(AK10&lt;&gt;"",AK10,"")))</f>
        <v/>
      </c>
      <c r="AJ10" s="21" t="n"/>
      <c r="AK10" s="17">
        <f>IF(G10="","",IF(OR(COUNTIFS($G$5:$G$445,G10,$I$5:$I$445,I10,$J$5:$J$445,J10,$P$5:$P$445,P10)&gt;1,AND(AF10&lt;&gt;"",COUNTIF($AF$5:$AF$445,AF10)&gt;1)),"REVISAR_POSIBLE_DUPLICADO",""))</f>
        <v/>
      </c>
    </row>
    <row r="11">
      <c r="A11" s="17" t="inlineStr">
        <is>
          <t>4ef6bcdb-77b3-542d-86ca-7cb0b96fc4af</t>
        </is>
      </c>
      <c r="B11" s="18" t="inlineStr">
        <is>
          <t>EXISTENTE</t>
        </is>
      </c>
      <c r="C11" s="18" t="inlineStr">
        <is>
          <t>ACTIVO</t>
        </is>
      </c>
      <c r="D11" s="18" t="n">
        <v>7</v>
      </c>
      <c r="E11" s="17" t="inlineStr">
        <is>
          <t>511cc3eb-753d-4667-b5e7-2c471208d127</t>
        </is>
      </c>
      <c r="F11" s="17" t="n"/>
      <c r="G11" s="19" t="inlineStr">
        <is>
          <t>Rodillo de pintura</t>
        </is>
      </c>
      <c r="H11" s="19" t="inlineStr">
        <is>
          <t>Herramientas Manuales</t>
        </is>
      </c>
      <c r="I11" s="20" t="inlineStr">
        <is>
          <t>getics</t>
        </is>
      </c>
      <c r="J11" s="20" t="n"/>
      <c r="K11" s="21" t="inlineStr">
        <is>
          <t>alexander</t>
        </is>
      </c>
      <c r="L11" s="18" t="n">
        <v>1</v>
      </c>
      <c r="M11" s="22" t="n">
        <v>10000</v>
      </c>
      <c r="N11" s="22" t="n">
        <v>17000</v>
      </c>
      <c r="O11" s="23" t="n">
        <v>6</v>
      </c>
      <c r="P11" s="24" t="inlineStr">
        <is>
          <t>UNIDAD</t>
        </is>
      </c>
      <c r="Q11" s="20" t="inlineStr">
        <is>
          <t>NO</t>
        </is>
      </c>
      <c r="R11" s="20" t="inlineStr">
        <is>
          <t>SI</t>
        </is>
      </c>
      <c r="S11" s="25" t="n">
        <v>2</v>
      </c>
      <c r="T11" s="20" t="inlineStr">
        <is>
          <t>NO</t>
        </is>
      </c>
      <c r="U11" s="20" t="n"/>
      <c r="V11" s="21" t="n"/>
      <c r="W11" s="26" t="n">
        <v>0</v>
      </c>
      <c r="X11" s="27" t="n"/>
      <c r="Y11" s="20" t="n"/>
      <c r="Z11" s="20" t="n"/>
      <c r="AA11" s="26">
        <f>IF(X11="","",X11-IF(W11="",0,W11))</f>
        <v/>
      </c>
      <c r="AB11" s="28">
        <f>IF(OR(X11="",M11=""),"",X11*M11)</f>
        <v/>
      </c>
      <c r="AC11" s="28">
        <f>IF(OR(X11="",N11=""),"",X11*N11)</f>
        <v/>
      </c>
      <c r="AD11" s="28">
        <f>IF(OR(M11="",N11=""),"",N11-M11)</f>
        <v/>
      </c>
      <c r="AE11" s="29">
        <f>IFERROR(IF(M11&gt;0,(N11-M11)/M11,""),"")</f>
        <v/>
      </c>
      <c r="AF11" s="30" t="n"/>
      <c r="AG11" s="30" t="inlineStr">
        <is>
          <t>PENDIENTE</t>
        </is>
      </c>
      <c r="AH11" s="18">
        <f>IF(NOT(OR(B11="EXISTENTE",COUNTA(G11,H11,I11,J11,K11,M11,N11,U11,V11,X11,Y11,Z11,AF11,AJ11)&gt;0)),"",IF(AK11&lt;&gt;"","REVISAR",IF(OR(G11="",H11="",M11="",N11="",O11="",P11="",X11=""),"INCOMPLETO",IF(AI11&lt;&gt;"","REVISAR",IF(AND(AF11&lt;&gt;"",AG11="ESCANEADO"),"LISTO_COMPLETO","LISTO_SIN_BARCODE")))))</f>
        <v/>
      </c>
      <c r="AI11" s="17">
        <f>IF(NOT(OR(B11="EXISTENTE",COUNTA(G11,H11,I11,J11,K11,M11,N11,U11,V11,X11,Y11,Z11,AF11,AJ11)&gt;0)),"",TEXTJOIN(" | ",TRUE,IF(A11="","Falta ID staging",""),IF(COUNTIF($A$5:$A$445,A11)&gt;1,"ID staging duplicado",""),IF(G11="","Falta nombre",""),IF(LEN(G11)&gt;150,"Nombre &gt;150 caracteres",""),IF(H11="","Falta categoría",IF(COUNTIF(CategoriasLista,H11)=0,"Categoría inválida","")),IF(M11="","Falta precio compra",IF(OR(NOT(ISNUMBER(M11)),M11&lt;0),"Precio compra inválido","")),IF(N11="","Falta precio venta",IF(OR(NOT(ISNUMBER(N11)),N11&lt;=0,N11&lt;M11),"Precio venta inválido","")),IF(O11="","Falta stock mínimo",IF(OR(NOT(ISNUMBER(O11)),O11&lt;0,MOD(O11,1)&lt;&gt;0),"Stock mínimo inválido","")),IF(P11="","Falta unidad",IF(COUNTIF(UnidadesLista,P11)=0,"Unidad inválida","")),IF(AND(K11&lt;&gt;"",COUNTIF(ProveedoresLista,K11)=0),"Proveedor no catalogado",""),IF(X11="","Falta cantidad contada",IF(OR(NOT(ISNUMBER(X11)),X11&lt;0,ABS(X11*1000-ROUND(X11*1000,0))&gt;0.0000001),"Cantidad inválida",IF(AND(Q11="NO",MOD(X11,1)&lt;&gt;0),"Cantidad fraccionaria no permitida",""))),IF(AND(R11="SI",OR(NOT(ISNUMBER(S11)),S11&lt;1,MOD(S11,1)&lt;&gt;0)),"Empaque inválido",""),IF(OR(AND(AF11="",AG11="ESCANEADO"),AND(AF11&lt;&gt;"",AG11&lt;&gt;"ESCANEADO")),"Barcode/estado inconsistente",""),IF(AK11&lt;&gt;"",AK11,"")))</f>
        <v/>
      </c>
      <c r="AJ11" s="21" t="n"/>
      <c r="AK11" s="17">
        <f>IF(G11="","",IF(OR(COUNTIFS($G$5:$G$445,G11,$I$5:$I$445,I11,$J$5:$J$445,J11,$P$5:$P$445,P11)&gt;1,AND(AF11&lt;&gt;"",COUNTIF($AF$5:$AF$445,AF11)&gt;1)),"REVISAR_POSIBLE_DUPLICADO",""))</f>
        <v/>
      </c>
    </row>
    <row r="12">
      <c r="A12" s="17" t="inlineStr">
        <is>
          <t>a12c1f93-8429-503d-9b72-5ef545c0c555</t>
        </is>
      </c>
      <c r="B12" s="18" t="inlineStr">
        <is>
          <t>EXISTENTE</t>
        </is>
      </c>
      <c r="C12" s="18" t="inlineStr">
        <is>
          <t>ACTIVO</t>
        </is>
      </c>
      <c r="D12" s="18" t="n">
        <v>8</v>
      </c>
      <c r="E12" s="17" t="inlineStr">
        <is>
          <t>2a822014-df43-4342-9116-3c8fcac40f73</t>
        </is>
      </c>
      <c r="F12" s="17" t="n"/>
      <c r="G12" s="19" t="inlineStr">
        <is>
          <t>clavos 4 pulgadas</t>
        </is>
      </c>
      <c r="H12" s="19" t="inlineStr">
        <is>
          <t>Herrajes</t>
        </is>
      </c>
      <c r="I12" s="20" t="inlineStr">
        <is>
          <t>marca 1</t>
        </is>
      </c>
      <c r="J12" s="20" t="n"/>
      <c r="K12" s="21" t="inlineStr">
        <is>
          <t>alexander</t>
        </is>
      </c>
      <c r="L12" s="18" t="n">
        <v>1</v>
      </c>
      <c r="M12" s="22" t="n">
        <v>250</v>
      </c>
      <c r="N12" s="22" t="n">
        <v>400</v>
      </c>
      <c r="O12" s="23" t="n">
        <v>20</v>
      </c>
      <c r="P12" s="24" t="inlineStr">
        <is>
          <t>UNIDAD</t>
        </is>
      </c>
      <c r="Q12" s="20" t="inlineStr">
        <is>
          <t>NO</t>
        </is>
      </c>
      <c r="R12" s="20" t="inlineStr">
        <is>
          <t>SI</t>
        </is>
      </c>
      <c r="S12" s="25" t="n">
        <v>50</v>
      </c>
      <c r="T12" s="20" t="inlineStr">
        <is>
          <t>SI</t>
        </is>
      </c>
      <c r="U12" s="20" t="n"/>
      <c r="V12" s="21" t="n"/>
      <c r="W12" s="26" t="n">
        <v>1050</v>
      </c>
      <c r="X12" s="27" t="n"/>
      <c r="Y12" s="20" t="n"/>
      <c r="Z12" s="20" t="n"/>
      <c r="AA12" s="26">
        <f>IF(X12="","",X12-IF(W12="",0,W12))</f>
        <v/>
      </c>
      <c r="AB12" s="28">
        <f>IF(OR(X12="",M12=""),"",X12*M12)</f>
        <v/>
      </c>
      <c r="AC12" s="28">
        <f>IF(OR(X12="",N12=""),"",X12*N12)</f>
        <v/>
      </c>
      <c r="AD12" s="28">
        <f>IF(OR(M12="",N12=""),"",N12-M12)</f>
        <v/>
      </c>
      <c r="AE12" s="29">
        <f>IFERROR(IF(M12&gt;0,(N12-M12)/M12,""),"")</f>
        <v/>
      </c>
      <c r="AF12" s="30" t="n"/>
      <c r="AG12" s="30" t="inlineStr">
        <is>
          <t>PENDIENTE</t>
        </is>
      </c>
      <c r="AH12" s="18">
        <f>IF(NOT(OR(B12="EXISTENTE",COUNTA(G12,H12,I12,J12,K12,M12,N12,U12,V12,X12,Y12,Z12,AF12,AJ12)&gt;0)),"",IF(AK12&lt;&gt;"","REVISAR",IF(OR(G12="",H12="",M12="",N12="",O12="",P12="",X12=""),"INCOMPLETO",IF(AI12&lt;&gt;"","REVISAR",IF(AND(AF12&lt;&gt;"",AG12="ESCANEADO"),"LISTO_COMPLETO","LISTO_SIN_BARCODE")))))</f>
        <v/>
      </c>
      <c r="AI12" s="17">
        <f>IF(NOT(OR(B12="EXISTENTE",COUNTA(G12,H12,I12,J12,K12,M12,N12,U12,V12,X12,Y12,Z12,AF12,AJ12)&gt;0)),"",TEXTJOIN(" | ",TRUE,IF(A12="","Falta ID staging",""),IF(COUNTIF($A$5:$A$445,A12)&gt;1,"ID staging duplicado",""),IF(G12="","Falta nombre",""),IF(LEN(G12)&gt;150,"Nombre &gt;150 caracteres",""),IF(H12="","Falta categoría",IF(COUNTIF(CategoriasLista,H12)=0,"Categoría inválida","")),IF(M12="","Falta precio compra",IF(OR(NOT(ISNUMBER(M12)),M12&lt;0),"Precio compra inválido","")),IF(N12="","Falta precio venta",IF(OR(NOT(ISNUMBER(N12)),N12&lt;=0,N12&lt;M12),"Precio venta inválido","")),IF(O12="","Falta stock mínimo",IF(OR(NOT(ISNUMBER(O12)),O12&lt;0,MOD(O12,1)&lt;&gt;0),"Stock mínimo inválido","")),IF(P12="","Falta unidad",IF(COUNTIF(UnidadesLista,P12)=0,"Unidad inválida","")),IF(AND(K12&lt;&gt;"",COUNTIF(ProveedoresLista,K12)=0),"Proveedor no catalogado",""),IF(X12="","Falta cantidad contada",IF(OR(NOT(ISNUMBER(X12)),X12&lt;0,ABS(X12*1000-ROUND(X12*1000,0))&gt;0.0000001),"Cantidad inválida",IF(AND(Q12="NO",MOD(X12,1)&lt;&gt;0),"Cantidad fraccionaria no permitida",""))),IF(AND(R12="SI",OR(NOT(ISNUMBER(S12)),S12&lt;1,MOD(S12,1)&lt;&gt;0)),"Empaque inválido",""),IF(OR(AND(AF12="",AG12="ESCANEADO"),AND(AF12&lt;&gt;"",AG12&lt;&gt;"ESCANEADO")),"Barcode/estado inconsistente",""),IF(AK12&lt;&gt;"",AK12,"")))</f>
        <v/>
      </c>
      <c r="AJ12" s="21" t="n"/>
      <c r="AK12" s="17">
        <f>IF(G12="","",IF(OR(COUNTIFS($G$5:$G$445,G12,$I$5:$I$445,I12,$J$5:$J$445,J12,$P$5:$P$445,P12)&gt;1,AND(AF12&lt;&gt;"",COUNTIF($AF$5:$AF$445,AF12)&gt;1)),"REVISAR_POSIBLE_DUPLICADO",""))</f>
        <v/>
      </c>
    </row>
    <row r="13">
      <c r="A13" s="17" t="inlineStr">
        <is>
          <t>01418194-bf88-5dc6-9566-08a5c627bc33</t>
        </is>
      </c>
      <c r="B13" s="18" t="inlineStr">
        <is>
          <t>EXISTENTE</t>
        </is>
      </c>
      <c r="C13" s="18" t="inlineStr">
        <is>
          <t>ACTIVO</t>
        </is>
      </c>
      <c r="D13" s="18" t="n">
        <v>9</v>
      </c>
      <c r="E13" s="17" t="inlineStr">
        <is>
          <t>f637e98a-5418-42e9-b53b-fe73649b303f</t>
        </is>
      </c>
      <c r="F13" s="17" t="n"/>
      <c r="G13" s="19" t="inlineStr">
        <is>
          <t>pintura blanca</t>
        </is>
      </c>
      <c r="H13" s="19" t="inlineStr">
        <is>
          <t>Pinturas</t>
        </is>
      </c>
      <c r="I13" s="20" t="inlineStr">
        <is>
          <t>onef</t>
        </is>
      </c>
      <c r="J13" s="20" t="n"/>
      <c r="K13" s="21" t="inlineStr">
        <is>
          <t>alexander</t>
        </is>
      </c>
      <c r="L13" s="18" t="n">
        <v>1</v>
      </c>
      <c r="M13" s="22" t="n">
        <v>50000</v>
      </c>
      <c r="N13" s="22" t="n">
        <v>65000</v>
      </c>
      <c r="O13" s="23" t="n">
        <v>10</v>
      </c>
      <c r="P13" s="24" t="inlineStr">
        <is>
          <t>UNIDAD</t>
        </is>
      </c>
      <c r="Q13" s="20" t="inlineStr">
        <is>
          <t>NO</t>
        </is>
      </c>
      <c r="R13" s="20" t="inlineStr">
        <is>
          <t>SI</t>
        </is>
      </c>
      <c r="S13" s="25" t="n">
        <v>4</v>
      </c>
      <c r="T13" s="20" t="inlineStr">
        <is>
          <t>NO</t>
        </is>
      </c>
      <c r="U13" s="20" t="n"/>
      <c r="V13" s="21" t="n"/>
      <c r="W13" s="26" t="n">
        <v>18</v>
      </c>
      <c r="X13" s="27" t="n"/>
      <c r="Y13" s="20" t="n"/>
      <c r="Z13" s="20" t="n"/>
      <c r="AA13" s="26">
        <f>IF(X13="","",X13-IF(W13="",0,W13))</f>
        <v/>
      </c>
      <c r="AB13" s="28">
        <f>IF(OR(X13="",M13=""),"",X13*M13)</f>
        <v/>
      </c>
      <c r="AC13" s="28">
        <f>IF(OR(X13="",N13=""),"",X13*N13)</f>
        <v/>
      </c>
      <c r="AD13" s="28">
        <f>IF(OR(M13="",N13=""),"",N13-M13)</f>
        <v/>
      </c>
      <c r="AE13" s="29">
        <f>IFERROR(IF(M13&gt;0,(N13-M13)/M13,""),"")</f>
        <v/>
      </c>
      <c r="AF13" s="30" t="n"/>
      <c r="AG13" s="30" t="inlineStr">
        <is>
          <t>PENDIENTE</t>
        </is>
      </c>
      <c r="AH13" s="18">
        <f>IF(NOT(OR(B13="EXISTENTE",COUNTA(G13,H13,I13,J13,K13,M13,N13,U13,V13,X13,Y13,Z13,AF13,AJ13)&gt;0)),"",IF(AK13&lt;&gt;"","REVISAR",IF(OR(G13="",H13="",M13="",N13="",O13="",P13="",X13=""),"INCOMPLETO",IF(AI13&lt;&gt;"","REVISAR",IF(AND(AF13&lt;&gt;"",AG13="ESCANEADO"),"LISTO_COMPLETO","LISTO_SIN_BARCODE")))))</f>
        <v/>
      </c>
      <c r="AI13" s="17">
        <f>IF(NOT(OR(B13="EXISTENTE",COUNTA(G13,H13,I13,J13,K13,M13,N13,U13,V13,X13,Y13,Z13,AF13,AJ13)&gt;0)),"",TEXTJOIN(" | ",TRUE,IF(A13="","Falta ID staging",""),IF(COUNTIF($A$5:$A$445,A13)&gt;1,"ID staging duplicado",""),IF(G13="","Falta nombre",""),IF(LEN(G13)&gt;150,"Nombre &gt;150 caracteres",""),IF(H13="","Falta categoría",IF(COUNTIF(CategoriasLista,H13)=0,"Categoría inválida","")),IF(M13="","Falta precio compra",IF(OR(NOT(ISNUMBER(M13)),M13&lt;0),"Precio compra inválido","")),IF(N13="","Falta precio venta",IF(OR(NOT(ISNUMBER(N13)),N13&lt;=0,N13&lt;M13),"Precio venta inválido","")),IF(O13="","Falta stock mínimo",IF(OR(NOT(ISNUMBER(O13)),O13&lt;0,MOD(O13,1)&lt;&gt;0),"Stock mínimo inválido","")),IF(P13="","Falta unidad",IF(COUNTIF(UnidadesLista,P13)=0,"Unidad inválida","")),IF(AND(K13&lt;&gt;"",COUNTIF(ProveedoresLista,K13)=0),"Proveedor no catalogado",""),IF(X13="","Falta cantidad contada",IF(OR(NOT(ISNUMBER(X13)),X13&lt;0,ABS(X13*1000-ROUND(X13*1000,0))&gt;0.0000001),"Cantidad inválida",IF(AND(Q13="NO",MOD(X13,1)&lt;&gt;0),"Cantidad fraccionaria no permitida",""))),IF(AND(R13="SI",OR(NOT(ISNUMBER(S13)),S13&lt;1,MOD(S13,1)&lt;&gt;0)),"Empaque inválido",""),IF(OR(AND(AF13="",AG13="ESCANEADO"),AND(AF13&lt;&gt;"",AG13&lt;&gt;"ESCANEADO")),"Barcode/estado inconsistente",""),IF(AK13&lt;&gt;"",AK13,"")))</f>
        <v/>
      </c>
      <c r="AJ13" s="21" t="n"/>
      <c r="AK13" s="17">
        <f>IF(G13="","",IF(OR(COUNTIFS($G$5:$G$445,G13,$I$5:$I$445,I13,$J$5:$J$445,J13,$P$5:$P$445,P13)&gt;1,AND(AF13&lt;&gt;"",COUNTIF($AF$5:$AF$445,AF13)&gt;1)),"REVISAR_POSIBLE_DUPLICADO",""))</f>
        <v/>
      </c>
    </row>
    <row r="14">
      <c r="A14" s="17" t="inlineStr">
        <is>
          <t>0b3087a9-709c-5aea-9780-98b264231626</t>
        </is>
      </c>
      <c r="B14" s="18" t="inlineStr">
        <is>
          <t>EXISTENTE</t>
        </is>
      </c>
      <c r="C14" s="18" t="inlineStr">
        <is>
          <t>ACTIVO</t>
        </is>
      </c>
      <c r="D14" s="18" t="n">
        <v>10</v>
      </c>
      <c r="E14" s="17" t="inlineStr">
        <is>
          <t>0593b78c-d651-4e36-8e51-ddebc0dadd10</t>
        </is>
      </c>
      <c r="F14" s="17" t="n"/>
      <c r="G14" s="19" t="inlineStr">
        <is>
          <t>pintura roja</t>
        </is>
      </c>
      <c r="H14" s="19" t="inlineStr">
        <is>
          <t>Pinturas</t>
        </is>
      </c>
      <c r="I14" s="20" t="inlineStr">
        <is>
          <t>onef</t>
        </is>
      </c>
      <c r="J14" s="20" t="n"/>
      <c r="K14" s="21" t="inlineStr">
        <is>
          <t>juan</t>
        </is>
      </c>
      <c r="L14" s="18" t="n">
        <v>2</v>
      </c>
      <c r="M14" s="22" t="n">
        <v>50000</v>
      </c>
      <c r="N14" s="22" t="n">
        <v>65000</v>
      </c>
      <c r="O14" s="23" t="n">
        <v>10</v>
      </c>
      <c r="P14" s="24" t="inlineStr">
        <is>
          <t>UNIDAD</t>
        </is>
      </c>
      <c r="Q14" s="20" t="inlineStr">
        <is>
          <t>NO</t>
        </is>
      </c>
      <c r="R14" s="20" t="inlineStr">
        <is>
          <t>SI</t>
        </is>
      </c>
      <c r="S14" s="25" t="n">
        <v>4</v>
      </c>
      <c r="T14" s="20" t="inlineStr">
        <is>
          <t>NO</t>
        </is>
      </c>
      <c r="U14" s="20" t="n"/>
      <c r="V14" s="21" t="n"/>
      <c r="W14" s="26" t="n">
        <v>17</v>
      </c>
      <c r="X14" s="27" t="n"/>
      <c r="Y14" s="20" t="n"/>
      <c r="Z14" s="20" t="n"/>
      <c r="AA14" s="26">
        <f>IF(X14="","",X14-IF(W14="",0,W14))</f>
        <v/>
      </c>
      <c r="AB14" s="28">
        <f>IF(OR(X14="",M14=""),"",X14*M14)</f>
        <v/>
      </c>
      <c r="AC14" s="28">
        <f>IF(OR(X14="",N14=""),"",X14*N14)</f>
        <v/>
      </c>
      <c r="AD14" s="28">
        <f>IF(OR(M14="",N14=""),"",N14-M14)</f>
        <v/>
      </c>
      <c r="AE14" s="29">
        <f>IFERROR(IF(M14&gt;0,(N14-M14)/M14,""),"")</f>
        <v/>
      </c>
      <c r="AF14" s="30" t="n"/>
      <c r="AG14" s="30" t="inlineStr">
        <is>
          <t>PENDIENTE</t>
        </is>
      </c>
      <c r="AH14" s="18">
        <f>IF(NOT(OR(B14="EXISTENTE",COUNTA(G14,H14,I14,J14,K14,M14,N14,U14,V14,X14,Y14,Z14,AF14,AJ14)&gt;0)),"",IF(AK14&lt;&gt;"","REVISAR",IF(OR(G14="",H14="",M14="",N14="",O14="",P14="",X14=""),"INCOMPLETO",IF(AI14&lt;&gt;"","REVISAR",IF(AND(AF14&lt;&gt;"",AG14="ESCANEADO"),"LISTO_COMPLETO","LISTO_SIN_BARCODE")))))</f>
        <v/>
      </c>
      <c r="AI14" s="17">
        <f>IF(NOT(OR(B14="EXISTENTE",COUNTA(G14,H14,I14,J14,K14,M14,N14,U14,V14,X14,Y14,Z14,AF14,AJ14)&gt;0)),"",TEXTJOIN(" | ",TRUE,IF(A14="","Falta ID staging",""),IF(COUNTIF($A$5:$A$445,A14)&gt;1,"ID staging duplicado",""),IF(G14="","Falta nombre",""),IF(LEN(G14)&gt;150,"Nombre &gt;150 caracteres",""),IF(H14="","Falta categoría",IF(COUNTIF(CategoriasLista,H14)=0,"Categoría inválida","")),IF(M14="","Falta precio compra",IF(OR(NOT(ISNUMBER(M14)),M14&lt;0),"Precio compra inválido","")),IF(N14="","Falta precio venta",IF(OR(NOT(ISNUMBER(N14)),N14&lt;=0,N14&lt;M14),"Precio venta inválido","")),IF(O14="","Falta stock mínimo",IF(OR(NOT(ISNUMBER(O14)),O14&lt;0,MOD(O14,1)&lt;&gt;0),"Stock mínimo inválido","")),IF(P14="","Falta unidad",IF(COUNTIF(UnidadesLista,P14)=0,"Unidad inválida","")),IF(AND(K14&lt;&gt;"",COUNTIF(ProveedoresLista,K14)=0),"Proveedor no catalogado",""),IF(X14="","Falta cantidad contada",IF(OR(NOT(ISNUMBER(X14)),X14&lt;0,ABS(X14*1000-ROUND(X14*1000,0))&gt;0.0000001),"Cantidad inválida",IF(AND(Q14="NO",MOD(X14,1)&lt;&gt;0),"Cantidad fraccionaria no permitida",""))),IF(AND(R14="SI",OR(NOT(ISNUMBER(S14)),S14&lt;1,MOD(S14,1)&lt;&gt;0)),"Empaque inválido",""),IF(OR(AND(AF14="",AG14="ESCANEADO"),AND(AF14&lt;&gt;"",AG14&lt;&gt;"ESCANEADO")),"Barcode/estado inconsistente",""),IF(AK14&lt;&gt;"",AK14,"")))</f>
        <v/>
      </c>
      <c r="AJ14" s="21" t="n"/>
      <c r="AK14" s="17">
        <f>IF(G14="","",IF(OR(COUNTIFS($G$5:$G$445,G14,$I$5:$I$445,I14,$J$5:$J$445,J14,$P$5:$P$445,P14)&gt;1,AND(AF14&lt;&gt;"",COUNTIF($AF$5:$AF$445,AF14)&gt;1)),"REVISAR_POSIBLE_DUPLICADO",""))</f>
        <v/>
      </c>
    </row>
    <row r="15">
      <c r="A15" s="17" t="inlineStr">
        <is>
          <t>29b0886c-2bbf-59e1-be07-7f7b05edb66e</t>
        </is>
      </c>
      <c r="B15" s="18" t="inlineStr">
        <is>
          <t>EXISTENTE</t>
        </is>
      </c>
      <c r="C15" s="18" t="inlineStr">
        <is>
          <t>ACTIVO</t>
        </is>
      </c>
      <c r="D15" s="18" t="n">
        <v>11</v>
      </c>
      <c r="E15" s="17" t="inlineStr">
        <is>
          <t>c86bcfac-0916-4ce0-ad7f-8603815dc68c</t>
        </is>
      </c>
      <c r="F15" s="17" t="n"/>
      <c r="G15" s="19" t="inlineStr">
        <is>
          <t>Pintura T1 blanca</t>
        </is>
      </c>
      <c r="H15" s="19" t="inlineStr">
        <is>
          <t>Pinturas</t>
        </is>
      </c>
      <c r="I15" s="20" t="inlineStr">
        <is>
          <t>onef</t>
        </is>
      </c>
      <c r="J15" s="20" t="n"/>
      <c r="K15" s="21" t="inlineStr">
        <is>
          <t>alexander</t>
        </is>
      </c>
      <c r="L15" s="18" t="n">
        <v>1</v>
      </c>
      <c r="M15" s="22" t="n">
        <v>40000</v>
      </c>
      <c r="N15" s="22" t="n">
        <v>60000</v>
      </c>
      <c r="O15" s="23" t="n">
        <v>4</v>
      </c>
      <c r="P15" s="24" t="inlineStr">
        <is>
          <t>LITRO</t>
        </is>
      </c>
      <c r="Q15" s="20" t="inlineStr">
        <is>
          <t>SI</t>
        </is>
      </c>
      <c r="R15" s="20" t="inlineStr">
        <is>
          <t>SI</t>
        </is>
      </c>
      <c r="S15" s="25" t="n">
        <v>1</v>
      </c>
      <c r="T15" s="20" t="inlineStr">
        <is>
          <t>NO</t>
        </is>
      </c>
      <c r="U15" s="20" t="n"/>
      <c r="V15" s="21" t="n"/>
      <c r="W15" s="26" t="n">
        <v>24</v>
      </c>
      <c r="X15" s="27" t="n"/>
      <c r="Y15" s="20" t="n"/>
      <c r="Z15" s="20" t="n"/>
      <c r="AA15" s="26">
        <f>IF(X15="","",X15-IF(W15="",0,W15))</f>
        <v/>
      </c>
      <c r="AB15" s="28">
        <f>IF(OR(X15="",M15=""),"",X15*M15)</f>
        <v/>
      </c>
      <c r="AC15" s="28">
        <f>IF(OR(X15="",N15=""),"",X15*N15)</f>
        <v/>
      </c>
      <c r="AD15" s="28">
        <f>IF(OR(M15="",N15=""),"",N15-M15)</f>
        <v/>
      </c>
      <c r="AE15" s="29">
        <f>IFERROR(IF(M15&gt;0,(N15-M15)/M15,""),"")</f>
        <v/>
      </c>
      <c r="AF15" s="30" t="n"/>
      <c r="AG15" s="30" t="inlineStr">
        <is>
          <t>PENDIENTE</t>
        </is>
      </c>
      <c r="AH15" s="18">
        <f>IF(NOT(OR(B15="EXISTENTE",COUNTA(G15,H15,I15,J15,K15,M15,N15,U15,V15,X15,Y15,Z15,AF15,AJ15)&gt;0)),"",IF(AK15&lt;&gt;"","REVISAR",IF(OR(G15="",H15="",M15="",N15="",O15="",P15="",X15=""),"INCOMPLETO",IF(AI15&lt;&gt;"","REVISAR",IF(AND(AF15&lt;&gt;"",AG15="ESCANEADO"),"LISTO_COMPLETO","LISTO_SIN_BARCODE")))))</f>
        <v/>
      </c>
      <c r="AI15" s="17">
        <f>IF(NOT(OR(B15="EXISTENTE",COUNTA(G15,H15,I15,J15,K15,M15,N15,U15,V15,X15,Y15,Z15,AF15,AJ15)&gt;0)),"",TEXTJOIN(" | ",TRUE,IF(A15="","Falta ID staging",""),IF(COUNTIF($A$5:$A$445,A15)&gt;1,"ID staging duplicado",""),IF(G15="","Falta nombre",""),IF(LEN(G15)&gt;150,"Nombre &gt;150 caracteres",""),IF(H15="","Falta categoría",IF(COUNTIF(CategoriasLista,H15)=0,"Categoría inválida","")),IF(M15="","Falta precio compra",IF(OR(NOT(ISNUMBER(M15)),M15&lt;0),"Precio compra inválido","")),IF(N15="","Falta precio venta",IF(OR(NOT(ISNUMBER(N15)),N15&lt;=0,N15&lt;M15),"Precio venta inválido","")),IF(O15="","Falta stock mínimo",IF(OR(NOT(ISNUMBER(O15)),O15&lt;0,MOD(O15,1)&lt;&gt;0),"Stock mínimo inválido","")),IF(P15="","Falta unidad",IF(COUNTIF(UnidadesLista,P15)=0,"Unidad inválida","")),IF(AND(K15&lt;&gt;"",COUNTIF(ProveedoresLista,K15)=0),"Proveedor no catalogado",""),IF(X15="","Falta cantidad contada",IF(OR(NOT(ISNUMBER(X15)),X15&lt;0,ABS(X15*1000-ROUND(X15*1000,0))&gt;0.0000001),"Cantidad inválida",IF(AND(Q15="NO",MOD(X15,1)&lt;&gt;0),"Cantidad fraccionaria no permitida",""))),IF(AND(R15="SI",OR(NOT(ISNUMBER(S15)),S15&lt;1,MOD(S15,1)&lt;&gt;0)),"Empaque inválido",""),IF(OR(AND(AF15="",AG15="ESCANEADO"),AND(AF15&lt;&gt;"",AG15&lt;&gt;"ESCANEADO")),"Barcode/estado inconsistente",""),IF(AK15&lt;&gt;"",AK15,"")))</f>
        <v/>
      </c>
      <c r="AJ15" s="21" t="n"/>
      <c r="AK15" s="17">
        <f>IF(G15="","",IF(OR(COUNTIFS($G$5:$G$445,G15,$I$5:$I$445,I15,$J$5:$J$445,J15,$P$5:$P$445,P15)&gt;1,AND(AF15&lt;&gt;"",COUNTIF($AF$5:$AF$445,AF15)&gt;1)),"REVISAR_POSIBLE_DUPLICADO",""))</f>
        <v/>
      </c>
    </row>
    <row r="16">
      <c r="A16" s="17" t="inlineStr">
        <is>
          <t>234750bc-da4a-5b03-89be-515cd9598dc9</t>
        </is>
      </c>
      <c r="B16" s="18" t="inlineStr">
        <is>
          <t>EXISTENTE</t>
        </is>
      </c>
      <c r="C16" s="18" t="inlineStr">
        <is>
          <t>ACTIVO</t>
        </is>
      </c>
      <c r="D16" s="18" t="n">
        <v>12</v>
      </c>
      <c r="E16" s="17" t="inlineStr">
        <is>
          <t>4cc7b324-7f48-4eeb-b54d-6ced7e7f14f1</t>
        </is>
      </c>
      <c r="F16" s="17" t="n"/>
      <c r="G16" s="19" t="inlineStr">
        <is>
          <t>destornillador</t>
        </is>
      </c>
      <c r="H16" s="19" t="inlineStr">
        <is>
          <t>Herramientas Manuales</t>
        </is>
      </c>
      <c r="I16" s="20" t="inlineStr">
        <is>
          <t>Generic</t>
        </is>
      </c>
      <c r="J16" s="20" t="n"/>
      <c r="K16" s="21" t="inlineStr">
        <is>
          <t>alexander</t>
        </is>
      </c>
      <c r="L16" s="18" t="n">
        <v>1</v>
      </c>
      <c r="M16" s="22" t="n">
        <v>7000</v>
      </c>
      <c r="N16" s="22" t="n">
        <v>10000</v>
      </c>
      <c r="O16" s="23" t="n">
        <v>10</v>
      </c>
      <c r="P16" s="24" t="inlineStr">
        <is>
          <t>UNIDAD</t>
        </is>
      </c>
      <c r="Q16" s="20" t="inlineStr">
        <is>
          <t>NO</t>
        </is>
      </c>
      <c r="R16" s="20" t="inlineStr">
        <is>
          <t>SI</t>
        </is>
      </c>
      <c r="S16" s="25" t="n">
        <v>10</v>
      </c>
      <c r="T16" s="20" t="inlineStr">
        <is>
          <t>NO</t>
        </is>
      </c>
      <c r="U16" s="20" t="n"/>
      <c r="V16" s="21" t="n"/>
      <c r="W16" s="26" t="n">
        <v>29</v>
      </c>
      <c r="X16" s="27" t="n"/>
      <c r="Y16" s="20" t="n"/>
      <c r="Z16" s="20" t="n"/>
      <c r="AA16" s="26">
        <f>IF(X16="","",X16-IF(W16="",0,W16))</f>
        <v/>
      </c>
      <c r="AB16" s="28">
        <f>IF(OR(X16="",M16=""),"",X16*M16)</f>
        <v/>
      </c>
      <c r="AC16" s="28">
        <f>IF(OR(X16="",N16=""),"",X16*N16)</f>
        <v/>
      </c>
      <c r="AD16" s="28">
        <f>IF(OR(M16="",N16=""),"",N16-M16)</f>
        <v/>
      </c>
      <c r="AE16" s="29">
        <f>IFERROR(IF(M16&gt;0,(N16-M16)/M16,""),"")</f>
        <v/>
      </c>
      <c r="AF16" s="30" t="n"/>
      <c r="AG16" s="30" t="inlineStr">
        <is>
          <t>PENDIENTE</t>
        </is>
      </c>
      <c r="AH16" s="18">
        <f>IF(NOT(OR(B16="EXISTENTE",COUNTA(G16,H16,I16,J16,K16,M16,N16,U16,V16,X16,Y16,Z16,AF16,AJ16)&gt;0)),"",IF(AK16&lt;&gt;"","REVISAR",IF(OR(G16="",H16="",M16="",N16="",O16="",P16="",X16=""),"INCOMPLETO",IF(AI16&lt;&gt;"","REVISAR",IF(AND(AF16&lt;&gt;"",AG16="ESCANEADO"),"LISTO_COMPLETO","LISTO_SIN_BARCODE")))))</f>
        <v/>
      </c>
      <c r="AI16" s="17">
        <f>IF(NOT(OR(B16="EXISTENTE",COUNTA(G16,H16,I16,J16,K16,M16,N16,U16,V16,X16,Y16,Z16,AF16,AJ16)&gt;0)),"",TEXTJOIN(" | ",TRUE,IF(A16="","Falta ID staging",""),IF(COUNTIF($A$5:$A$445,A16)&gt;1,"ID staging duplicado",""),IF(G16="","Falta nombre",""),IF(LEN(G16)&gt;150,"Nombre &gt;150 caracteres",""),IF(H16="","Falta categoría",IF(COUNTIF(CategoriasLista,H16)=0,"Categoría inválida","")),IF(M16="","Falta precio compra",IF(OR(NOT(ISNUMBER(M16)),M16&lt;0),"Precio compra inválido","")),IF(N16="","Falta precio venta",IF(OR(NOT(ISNUMBER(N16)),N16&lt;=0,N16&lt;M16),"Precio venta inválido","")),IF(O16="","Falta stock mínimo",IF(OR(NOT(ISNUMBER(O16)),O16&lt;0,MOD(O16,1)&lt;&gt;0),"Stock mínimo inválido","")),IF(P16="","Falta unidad",IF(COUNTIF(UnidadesLista,P16)=0,"Unidad inválida","")),IF(AND(K16&lt;&gt;"",COUNTIF(ProveedoresLista,K16)=0),"Proveedor no catalogado",""),IF(X16="","Falta cantidad contada",IF(OR(NOT(ISNUMBER(X16)),X16&lt;0,ABS(X16*1000-ROUND(X16*1000,0))&gt;0.0000001),"Cantidad inválida",IF(AND(Q16="NO",MOD(X16,1)&lt;&gt;0),"Cantidad fraccionaria no permitida",""))),IF(AND(R16="SI",OR(NOT(ISNUMBER(S16)),S16&lt;1,MOD(S16,1)&lt;&gt;0)),"Empaque inválido",""),IF(OR(AND(AF16="",AG16="ESCANEADO"),AND(AF16&lt;&gt;"",AG16&lt;&gt;"ESCANEADO")),"Barcode/estado inconsistente",""),IF(AK16&lt;&gt;"",AK16,"")))</f>
        <v/>
      </c>
      <c r="AJ16" s="21" t="n"/>
      <c r="AK16" s="17">
        <f>IF(G16="","",IF(OR(COUNTIFS($G$5:$G$445,G16,$I$5:$I$445,I16,$J$5:$J$445,J16,$P$5:$P$445,P16)&gt;1,AND(AF16&lt;&gt;"",COUNTIF($AF$5:$AF$445,AF16)&gt;1)),"REVISAR_POSIBLE_DUPLICADO",""))</f>
        <v/>
      </c>
    </row>
    <row r="17">
      <c r="A17" s="17" t="inlineStr">
        <is>
          <t>6a0b3614-9eb5-5a78-9c9c-f6c7e9722810</t>
        </is>
      </c>
      <c r="B17" s="18" t="inlineStr">
        <is>
          <t>EXISTENTE</t>
        </is>
      </c>
      <c r="C17" s="18" t="inlineStr">
        <is>
          <t>ACTIVO</t>
        </is>
      </c>
      <c r="D17" s="18" t="n">
        <v>13</v>
      </c>
      <c r="E17" s="17" t="inlineStr">
        <is>
          <t>2d24ecb3-c7cd-4dee-9eaf-db968e844b8c</t>
        </is>
      </c>
      <c r="F17" s="17" t="inlineStr">
        <is>
          <t>TES-00013</t>
        </is>
      </c>
      <c r="G17" s="19" t="inlineStr">
        <is>
          <t>ZZ_MULTIPC_8affe5</t>
        </is>
      </c>
      <c r="H17" s="19" t="inlineStr">
        <is>
          <t>Test</t>
        </is>
      </c>
      <c r="I17" s="20" t="n"/>
      <c r="J17" s="20" t="n"/>
      <c r="K17" s="21" t="inlineStr"/>
      <c r="L17" s="18" t="n"/>
      <c r="M17" s="22" t="n">
        <v>100</v>
      </c>
      <c r="N17" s="22" t="n">
        <v>200</v>
      </c>
      <c r="O17" s="23" t="n">
        <v>1</v>
      </c>
      <c r="P17" s="24" t="inlineStr">
        <is>
          <t>UNIDAD</t>
        </is>
      </c>
      <c r="Q17" s="20" t="inlineStr">
        <is>
          <t>NO</t>
        </is>
      </c>
      <c r="R17" s="20" t="inlineStr">
        <is>
          <t>NO</t>
        </is>
      </c>
      <c r="S17" s="25" t="n">
        <v>1</v>
      </c>
      <c r="T17" s="20" t="inlineStr">
        <is>
          <t>NO</t>
        </is>
      </c>
      <c r="U17" s="20" t="n"/>
      <c r="V17" s="21" t="n"/>
      <c r="W17" s="26" t="n">
        <v>7</v>
      </c>
      <c r="X17" s="27" t="n"/>
      <c r="Y17" s="20" t="n"/>
      <c r="Z17" s="20" t="n"/>
      <c r="AA17" s="26">
        <f>IF(X17="","",X17-IF(W17="",0,W17))</f>
        <v/>
      </c>
      <c r="AB17" s="28">
        <f>IF(OR(X17="",M17=""),"",X17*M17)</f>
        <v/>
      </c>
      <c r="AC17" s="28">
        <f>IF(OR(X17="",N17=""),"",X17*N17)</f>
        <v/>
      </c>
      <c r="AD17" s="28">
        <f>IF(OR(M17="",N17=""),"",N17-M17)</f>
        <v/>
      </c>
      <c r="AE17" s="29">
        <f>IFERROR(IF(M17&gt;0,(N17-M17)/M17,""),"")</f>
        <v/>
      </c>
      <c r="AF17" s="30" t="n"/>
      <c r="AG17" s="30" t="inlineStr">
        <is>
          <t>PENDIENTE</t>
        </is>
      </c>
      <c r="AH17" s="18">
        <f>IF(NOT(OR(B17="EXISTENTE",COUNTA(G17,H17,I17,J17,K17,M17,N17,U17,V17,X17,Y17,Z17,AF17,AJ17)&gt;0)),"",IF(AK17&lt;&gt;"","REVISAR",IF(OR(G17="",H17="",M17="",N17="",O17="",P17="",X17=""),"INCOMPLETO",IF(AI17&lt;&gt;"","REVISAR",IF(AND(AF17&lt;&gt;"",AG17="ESCANEADO"),"LISTO_COMPLETO","LISTO_SIN_BARCODE")))))</f>
        <v/>
      </c>
      <c r="AI17" s="17">
        <f>IF(NOT(OR(B17="EXISTENTE",COUNTA(G17,H17,I17,J17,K17,M17,N17,U17,V17,X17,Y17,Z17,AF17,AJ17)&gt;0)),"",TEXTJOIN(" | ",TRUE,IF(A17="","Falta ID staging",""),IF(COUNTIF($A$5:$A$445,A17)&gt;1,"ID staging duplicado",""),IF(G17="","Falta nombre",""),IF(LEN(G17)&gt;150,"Nombre &gt;150 caracteres",""),IF(H17="","Falta categoría",IF(COUNTIF(CategoriasLista,H17)=0,"Categoría inválida","")),IF(M17="","Falta precio compra",IF(OR(NOT(ISNUMBER(M17)),M17&lt;0),"Precio compra inválido","")),IF(N17="","Falta precio venta",IF(OR(NOT(ISNUMBER(N17)),N17&lt;=0,N17&lt;M17),"Precio venta inválido","")),IF(O17="","Falta stock mínimo",IF(OR(NOT(ISNUMBER(O17)),O17&lt;0,MOD(O17,1)&lt;&gt;0),"Stock mínimo inválido","")),IF(P17="","Falta unidad",IF(COUNTIF(UnidadesLista,P17)=0,"Unidad inválida","")),IF(AND(K17&lt;&gt;"",COUNTIF(ProveedoresLista,K17)=0),"Proveedor no catalogado",""),IF(X17="","Falta cantidad contada",IF(OR(NOT(ISNUMBER(X17)),X17&lt;0,ABS(X17*1000-ROUND(X17*1000,0))&gt;0.0000001),"Cantidad inválida",IF(AND(Q17="NO",MOD(X17,1)&lt;&gt;0),"Cantidad fraccionaria no permitida",""))),IF(AND(R17="SI",OR(NOT(ISNUMBER(S17)),S17&lt;1,MOD(S17,1)&lt;&gt;0)),"Empaque inválido",""),IF(OR(AND(AF17="",AG17="ESCANEADO"),AND(AF17&lt;&gt;"",AG17&lt;&gt;"ESCANEADO")),"Barcode/estado inconsistente",""),IF(AK17&lt;&gt;"",AK17,"")))</f>
        <v/>
      </c>
      <c r="AJ17" s="21" t="n"/>
      <c r="AK17" s="17">
        <f>IF(G17="","",IF(OR(COUNTIFS($G$5:$G$445,G17,$I$5:$I$445,I17,$J$5:$J$445,J17,$P$5:$P$445,P17)&gt;1,AND(AF17&lt;&gt;"",COUNTIF($AF$5:$AF$445,AF17)&gt;1)),"REVISAR_POSIBLE_DUPLICADO",""))</f>
        <v/>
      </c>
    </row>
    <row r="18">
      <c r="A18" s="17" t="inlineStr">
        <is>
          <t>3465d9a3-3023-5215-b6fa-6387f8712060</t>
        </is>
      </c>
      <c r="B18" s="18" t="inlineStr">
        <is>
          <t>EXISTENTE</t>
        </is>
      </c>
      <c r="C18" s="18" t="inlineStr">
        <is>
          <t>ACTIVO</t>
        </is>
      </c>
      <c r="D18" s="18" t="n">
        <v>53</v>
      </c>
      <c r="E18" s="17" t="inlineStr">
        <is>
          <t>23df1d6a-1f9d-481f-a495-5b803fb4eeca</t>
        </is>
      </c>
      <c r="F18" s="17" t="inlineStr">
        <is>
          <t>PRB-FER-0001</t>
        </is>
      </c>
      <c r="G18" s="19" t="inlineStr">
        <is>
          <t>Tornillo drywall 6 x 1 pulgada</t>
        </is>
      </c>
      <c r="H18" s="19" t="inlineStr">
        <is>
          <t>Tornillería y fijaciones</t>
        </is>
      </c>
      <c r="I18" s="20" t="inlineStr">
        <is>
          <t>FixMaster</t>
        </is>
      </c>
      <c r="J18" s="20" t="inlineStr">
        <is>
          <t>Unidad</t>
        </is>
      </c>
      <c r="K18" s="21" t="inlineStr">
        <is>
          <t>Proveedor Prueba Ferretería Central S.A.S.</t>
        </is>
      </c>
      <c r="L18" s="18" t="n">
        <v>9</v>
      </c>
      <c r="M18" s="22" t="n">
        <v>180</v>
      </c>
      <c r="N18" s="22" t="n">
        <v>250</v>
      </c>
      <c r="O18" s="23" t="n">
        <v>160</v>
      </c>
      <c r="P18" s="24" t="inlineStr">
        <is>
          <t>UNIDAD</t>
        </is>
      </c>
      <c r="Q18" s="20" t="inlineStr">
        <is>
          <t>NO</t>
        </is>
      </c>
      <c r="R18" s="20" t="inlineStr">
        <is>
          <t>SI</t>
        </is>
      </c>
      <c r="S18" s="25" t="n">
        <v>100</v>
      </c>
      <c r="T18" s="20" t="inlineStr">
        <is>
          <t>SI</t>
        </is>
      </c>
      <c r="U18" s="20" t="inlineStr">
        <is>
          <t>Bodega de pruebas</t>
        </is>
      </c>
      <c r="V18" s="21" t="inlineStr">
        <is>
          <t>Producto ficticio de prueba para validacion de busquedas, inventario, ventas y compras en FERREPRO. No corresponde a inventario real.</t>
        </is>
      </c>
      <c r="W18" s="26" t="n">
        <v>800</v>
      </c>
      <c r="X18" s="27" t="n"/>
      <c r="Y18" s="20" t="n"/>
      <c r="Z18" s="20" t="n"/>
      <c r="AA18" s="26">
        <f>IF(X18="","",X18-IF(W18="",0,W18))</f>
        <v/>
      </c>
      <c r="AB18" s="28">
        <f>IF(OR(X18="",M18=""),"",X18*M18)</f>
        <v/>
      </c>
      <c r="AC18" s="28">
        <f>IF(OR(X18="",N18=""),"",X18*N18)</f>
        <v/>
      </c>
      <c r="AD18" s="28">
        <f>IF(OR(M18="",N18=""),"",N18-M18)</f>
        <v/>
      </c>
      <c r="AE18" s="29">
        <f>IFERROR(IF(M18&gt;0,(N18-M18)/M18,""),"")</f>
        <v/>
      </c>
      <c r="AF18" s="30" t="n"/>
      <c r="AG18" s="30" t="inlineStr">
        <is>
          <t>PENDIENTE</t>
        </is>
      </c>
      <c r="AH18" s="18">
        <f>IF(NOT(OR(B18="EXISTENTE",COUNTA(G18,H18,I18,J18,K18,M18,N18,U18,V18,X18,Y18,Z18,AF18,AJ18)&gt;0)),"",IF(AK18&lt;&gt;"","REVISAR",IF(OR(G18="",H18="",M18="",N18="",O18="",P18="",X18=""),"INCOMPLETO",IF(AI18&lt;&gt;"","REVISAR",IF(AND(AF18&lt;&gt;"",AG18="ESCANEADO"),"LISTO_COMPLETO","LISTO_SIN_BARCODE")))))</f>
        <v/>
      </c>
      <c r="AI18" s="17">
        <f>IF(NOT(OR(B18="EXISTENTE",COUNTA(G18,H18,I18,J18,K18,M18,N18,U18,V18,X18,Y18,Z18,AF18,AJ18)&gt;0)),"",TEXTJOIN(" | ",TRUE,IF(A18="","Falta ID staging",""),IF(COUNTIF($A$5:$A$445,A18)&gt;1,"ID staging duplicado",""),IF(G18="","Falta nombre",""),IF(LEN(G18)&gt;150,"Nombre &gt;150 caracteres",""),IF(H18="","Falta categoría",IF(COUNTIF(CategoriasLista,H18)=0,"Categoría inválida","")),IF(M18="","Falta precio compra",IF(OR(NOT(ISNUMBER(M18)),M18&lt;0),"Precio compra inválido","")),IF(N18="","Falta precio venta",IF(OR(NOT(ISNUMBER(N18)),N18&lt;=0,N18&lt;M18),"Precio venta inválido","")),IF(O18="","Falta stock mínimo",IF(OR(NOT(ISNUMBER(O18)),O18&lt;0,MOD(O18,1)&lt;&gt;0),"Stock mínimo inválido","")),IF(P18="","Falta unidad",IF(COUNTIF(UnidadesLista,P18)=0,"Unidad inválida","")),IF(AND(K18&lt;&gt;"",COUNTIF(ProveedoresLista,K18)=0),"Proveedor no catalogado",""),IF(X18="","Falta cantidad contada",IF(OR(NOT(ISNUMBER(X18)),X18&lt;0,ABS(X18*1000-ROUND(X18*1000,0))&gt;0.0000001),"Cantidad inválida",IF(AND(Q18="NO",MOD(X18,1)&lt;&gt;0),"Cantidad fraccionaria no permitida",""))),IF(AND(R18="SI",OR(NOT(ISNUMBER(S18)),S18&lt;1,MOD(S18,1)&lt;&gt;0)),"Empaque inválido",""),IF(OR(AND(AF18="",AG18="ESCANEADO"),AND(AF18&lt;&gt;"",AG18&lt;&gt;"ESCANEADO")),"Barcode/estado inconsistente",""),IF(AK18&lt;&gt;"",AK18,"")))</f>
        <v/>
      </c>
      <c r="AJ18" s="21" t="n"/>
      <c r="AK18" s="17">
        <f>IF(G18="","",IF(OR(COUNTIFS($G$5:$G$445,G18,$I$5:$I$445,I18,$J$5:$J$445,J18,$P$5:$P$445,P18)&gt;1,AND(AF18&lt;&gt;"",COUNTIF($AF$5:$AF$445,AF18)&gt;1)),"REVISAR_POSIBLE_DUPLICADO",""))</f>
        <v/>
      </c>
    </row>
    <row r="19">
      <c r="A19" s="17" t="inlineStr">
        <is>
          <t>5b5e4e7b-c5eb-5a33-9919-0d81784b05a5</t>
        </is>
      </c>
      <c r="B19" s="18" t="inlineStr">
        <is>
          <t>EXISTENTE</t>
        </is>
      </c>
      <c r="C19" s="18" t="inlineStr">
        <is>
          <t>ACTIVO</t>
        </is>
      </c>
      <c r="D19" s="18" t="n">
        <v>54</v>
      </c>
      <c r="E19" s="17" t="inlineStr">
        <is>
          <t>5d4a6a2d-98b2-45bd-b60a-a8d49309e397</t>
        </is>
      </c>
      <c r="F19" s="17" t="inlineStr">
        <is>
          <t>PRB-FER-0002</t>
        </is>
      </c>
      <c r="G19" s="19" t="inlineStr">
        <is>
          <t>Tornillo drywall 6 x 1 1/2 pulgadas</t>
        </is>
      </c>
      <c r="H19" s="19" t="inlineStr">
        <is>
          <t>Tornillería y fijaciones</t>
        </is>
      </c>
      <c r="I19" s="20" t="inlineStr">
        <is>
          <t>FixMaster</t>
        </is>
      </c>
      <c r="J19" s="20" t="inlineStr">
        <is>
          <t>Unidad</t>
        </is>
      </c>
      <c r="K19" s="21" t="inlineStr">
        <is>
          <t>Proveedor Prueba ConstruMateriales del Norte</t>
        </is>
      </c>
      <c r="L19" s="18" t="n">
        <v>10</v>
      </c>
      <c r="M19" s="22" t="n">
        <v>230</v>
      </c>
      <c r="N19" s="22" t="n">
        <v>320</v>
      </c>
      <c r="O19" s="23" t="n">
        <v>150</v>
      </c>
      <c r="P19" s="24" t="inlineStr">
        <is>
          <t>UNIDAD</t>
        </is>
      </c>
      <c r="Q19" s="20" t="inlineStr">
        <is>
          <t>NO</t>
        </is>
      </c>
      <c r="R19" s="20" t="inlineStr">
        <is>
          <t>SI</t>
        </is>
      </c>
      <c r="S19" s="25" t="n">
        <v>100</v>
      </c>
      <c r="T19" s="20" t="inlineStr">
        <is>
          <t>SI</t>
        </is>
      </c>
      <c r="U19" s="20" t="inlineStr">
        <is>
          <t>Bodega de pruebas</t>
        </is>
      </c>
      <c r="V19" s="21" t="inlineStr">
        <is>
          <t>Producto ficticio de prueba para validacion de busquedas, inventario, ventas y compras en FERREPRO. No corresponde a inventario real.</t>
        </is>
      </c>
      <c r="W19" s="26" t="n">
        <v>750</v>
      </c>
      <c r="X19" s="27" t="n"/>
      <c r="Y19" s="20" t="n"/>
      <c r="Z19" s="20" t="n"/>
      <c r="AA19" s="26">
        <f>IF(X19="","",X19-IF(W19="",0,W19))</f>
        <v/>
      </c>
      <c r="AB19" s="28">
        <f>IF(OR(X19="",M19=""),"",X19*M19)</f>
        <v/>
      </c>
      <c r="AC19" s="28">
        <f>IF(OR(X19="",N19=""),"",X19*N19)</f>
        <v/>
      </c>
      <c r="AD19" s="28">
        <f>IF(OR(M19="",N19=""),"",N19-M19)</f>
        <v/>
      </c>
      <c r="AE19" s="29">
        <f>IFERROR(IF(M19&gt;0,(N19-M19)/M19,""),"")</f>
        <v/>
      </c>
      <c r="AF19" s="30" t="n"/>
      <c r="AG19" s="30" t="inlineStr">
        <is>
          <t>PENDIENTE</t>
        </is>
      </c>
      <c r="AH19" s="18">
        <f>IF(NOT(OR(B19="EXISTENTE",COUNTA(G19,H19,I19,J19,K19,M19,N19,U19,V19,X19,Y19,Z19,AF19,AJ19)&gt;0)),"",IF(AK19&lt;&gt;"","REVISAR",IF(OR(G19="",H19="",M19="",N19="",O19="",P19="",X19=""),"INCOMPLETO",IF(AI19&lt;&gt;"","REVISAR",IF(AND(AF19&lt;&gt;"",AG19="ESCANEADO"),"LISTO_COMPLETO","LISTO_SIN_BARCODE")))))</f>
        <v/>
      </c>
      <c r="AI19" s="17">
        <f>IF(NOT(OR(B19="EXISTENTE",COUNTA(G19,H19,I19,J19,K19,M19,N19,U19,V19,X19,Y19,Z19,AF19,AJ19)&gt;0)),"",TEXTJOIN(" | ",TRUE,IF(A19="","Falta ID staging",""),IF(COUNTIF($A$5:$A$445,A19)&gt;1,"ID staging duplicado",""),IF(G19="","Falta nombre",""),IF(LEN(G19)&gt;150,"Nombre &gt;150 caracteres",""),IF(H19="","Falta categoría",IF(COUNTIF(CategoriasLista,H19)=0,"Categoría inválida","")),IF(M19="","Falta precio compra",IF(OR(NOT(ISNUMBER(M19)),M19&lt;0),"Precio compra inválido","")),IF(N19="","Falta precio venta",IF(OR(NOT(ISNUMBER(N19)),N19&lt;=0,N19&lt;M19),"Precio venta inválido","")),IF(O19="","Falta stock mínimo",IF(OR(NOT(ISNUMBER(O19)),O19&lt;0,MOD(O19,1)&lt;&gt;0),"Stock mínimo inválido","")),IF(P19="","Falta unidad",IF(COUNTIF(UnidadesLista,P19)=0,"Unidad inválida","")),IF(AND(K19&lt;&gt;"",COUNTIF(ProveedoresLista,K19)=0),"Proveedor no catalogado",""),IF(X19="","Falta cantidad contada",IF(OR(NOT(ISNUMBER(X19)),X19&lt;0,ABS(X19*1000-ROUND(X19*1000,0))&gt;0.0000001),"Cantidad inválida",IF(AND(Q19="NO",MOD(X19,1)&lt;&gt;0),"Cantidad fraccionaria no permitida",""))),IF(AND(R19="SI",OR(NOT(ISNUMBER(S19)),S19&lt;1,MOD(S19,1)&lt;&gt;0)),"Empaque inválido",""),IF(OR(AND(AF19="",AG19="ESCANEADO"),AND(AF19&lt;&gt;"",AG19&lt;&gt;"ESCANEADO")),"Barcode/estado inconsistente",""),IF(AK19&lt;&gt;"",AK19,"")))</f>
        <v/>
      </c>
      <c r="AJ19" s="21" t="n"/>
      <c r="AK19" s="17">
        <f>IF(G19="","",IF(OR(COUNTIFS($G$5:$G$445,G19,$I$5:$I$445,I19,$J$5:$J$445,J19,$P$5:$P$445,P19)&gt;1,AND(AF19&lt;&gt;"",COUNTIF($AF$5:$AF$445,AF19)&gt;1)),"REVISAR_POSIBLE_DUPLICADO",""))</f>
        <v/>
      </c>
    </row>
    <row r="20">
      <c r="A20" s="17" t="inlineStr">
        <is>
          <t>51b47958-b229-5296-8035-5db99e2e4592</t>
        </is>
      </c>
      <c r="B20" s="18" t="inlineStr">
        <is>
          <t>EXISTENTE</t>
        </is>
      </c>
      <c r="C20" s="18" t="inlineStr">
        <is>
          <t>ACTIVO</t>
        </is>
      </c>
      <c r="D20" s="18" t="n">
        <v>55</v>
      </c>
      <c r="E20" s="17" t="inlineStr">
        <is>
          <t>269534ab-f7b6-47d2-98b4-2302ae462b77</t>
        </is>
      </c>
      <c r="F20" s="17" t="inlineStr">
        <is>
          <t>PRB-FER-0003</t>
        </is>
      </c>
      <c r="G20" s="19" t="inlineStr">
        <is>
          <t>Tornillo autoperforante 8 x 1/2</t>
        </is>
      </c>
      <c r="H20" s="19" t="inlineStr">
        <is>
          <t>Tornillería y fijaciones</t>
        </is>
      </c>
      <c r="I20" s="20" t="inlineStr">
        <is>
          <t>AceroPlus</t>
        </is>
      </c>
      <c r="J20" s="20" t="inlineStr">
        <is>
          <t>Unidad</t>
        </is>
      </c>
      <c r="K20" s="21" t="inlineStr">
        <is>
          <t>Proveedor Prueba Tornillos y Fijaciones Andinas</t>
        </is>
      </c>
      <c r="L20" s="18" t="n">
        <v>11</v>
      </c>
      <c r="M20" s="22" t="n">
        <v>250</v>
      </c>
      <c r="N20" s="22" t="n">
        <v>350</v>
      </c>
      <c r="O20" s="23" t="n">
        <v>130</v>
      </c>
      <c r="P20" s="24" t="inlineStr">
        <is>
          <t>UNIDAD</t>
        </is>
      </c>
      <c r="Q20" s="20" t="inlineStr">
        <is>
          <t>NO</t>
        </is>
      </c>
      <c r="R20" s="20" t="inlineStr">
        <is>
          <t>SI</t>
        </is>
      </c>
      <c r="S20" s="25" t="n">
        <v>100</v>
      </c>
      <c r="T20" s="20" t="inlineStr">
        <is>
          <t>SI</t>
        </is>
      </c>
      <c r="U20" s="20" t="inlineStr">
        <is>
          <t>Bodega de pruebas</t>
        </is>
      </c>
      <c r="V20" s="21" t="inlineStr">
        <is>
          <t>Producto ficticio de prueba para validacion de busquedas, inventario, ventas y compras en FERREPRO. No corresponde a inventario real.</t>
        </is>
      </c>
      <c r="W20" s="26" t="n">
        <v>650</v>
      </c>
      <c r="X20" s="27" t="n"/>
      <c r="Y20" s="20" t="n"/>
      <c r="Z20" s="20" t="n"/>
      <c r="AA20" s="26">
        <f>IF(X20="","",X20-IF(W20="",0,W20))</f>
        <v/>
      </c>
      <c r="AB20" s="28">
        <f>IF(OR(X20="",M20=""),"",X20*M20)</f>
        <v/>
      </c>
      <c r="AC20" s="28">
        <f>IF(OR(X20="",N20=""),"",X20*N20)</f>
        <v/>
      </c>
      <c r="AD20" s="28">
        <f>IF(OR(M20="",N20=""),"",N20-M20)</f>
        <v/>
      </c>
      <c r="AE20" s="29">
        <f>IFERROR(IF(M20&gt;0,(N20-M20)/M20,""),"")</f>
        <v/>
      </c>
      <c r="AF20" s="30" t="n"/>
      <c r="AG20" s="30" t="inlineStr">
        <is>
          <t>PENDIENTE</t>
        </is>
      </c>
      <c r="AH20" s="18">
        <f>IF(NOT(OR(B20="EXISTENTE",COUNTA(G20,H20,I20,J20,K20,M20,N20,U20,V20,X20,Y20,Z20,AF20,AJ20)&gt;0)),"",IF(AK20&lt;&gt;"","REVISAR",IF(OR(G20="",H20="",M20="",N20="",O20="",P20="",X20=""),"INCOMPLETO",IF(AI20&lt;&gt;"","REVISAR",IF(AND(AF20&lt;&gt;"",AG20="ESCANEADO"),"LISTO_COMPLETO","LISTO_SIN_BARCODE")))))</f>
        <v/>
      </c>
      <c r="AI20" s="17">
        <f>IF(NOT(OR(B20="EXISTENTE",COUNTA(G20,H20,I20,J20,K20,M20,N20,U20,V20,X20,Y20,Z20,AF20,AJ20)&gt;0)),"",TEXTJOIN(" | ",TRUE,IF(A20="","Falta ID staging",""),IF(COUNTIF($A$5:$A$445,A20)&gt;1,"ID staging duplicado",""),IF(G20="","Falta nombre",""),IF(LEN(G20)&gt;150,"Nombre &gt;150 caracteres",""),IF(H20="","Falta categoría",IF(COUNTIF(CategoriasLista,H20)=0,"Categoría inválida","")),IF(M20="","Falta precio compra",IF(OR(NOT(ISNUMBER(M20)),M20&lt;0),"Precio compra inválido","")),IF(N20="","Falta precio venta",IF(OR(NOT(ISNUMBER(N20)),N20&lt;=0,N20&lt;M20),"Precio venta inválido","")),IF(O20="","Falta stock mínimo",IF(OR(NOT(ISNUMBER(O20)),O20&lt;0,MOD(O20,1)&lt;&gt;0),"Stock mínimo inválido","")),IF(P20="","Falta unidad",IF(COUNTIF(UnidadesLista,P20)=0,"Unidad inválida","")),IF(AND(K20&lt;&gt;"",COUNTIF(ProveedoresLista,K20)=0),"Proveedor no catalogado",""),IF(X20="","Falta cantidad contada",IF(OR(NOT(ISNUMBER(X20)),X20&lt;0,ABS(X20*1000-ROUND(X20*1000,0))&gt;0.0000001),"Cantidad inválida",IF(AND(Q20="NO",MOD(X20,1)&lt;&gt;0),"Cantidad fraccionaria no permitida",""))),IF(AND(R20="SI",OR(NOT(ISNUMBER(S20)),S20&lt;1,MOD(S20,1)&lt;&gt;0)),"Empaque inválido",""),IF(OR(AND(AF20="",AG20="ESCANEADO"),AND(AF20&lt;&gt;"",AG20&lt;&gt;"ESCANEADO")),"Barcode/estado inconsistente",""),IF(AK20&lt;&gt;"",AK20,"")))</f>
        <v/>
      </c>
      <c r="AJ20" s="21" t="n"/>
      <c r="AK20" s="17">
        <f>IF(G20="","",IF(OR(COUNTIFS($G$5:$G$445,G20,$I$5:$I$445,I20,$J$5:$J$445,J20,$P$5:$P$445,P20)&gt;1,AND(AF20&lt;&gt;"",COUNTIF($AF$5:$AF$445,AF20)&gt;1)),"REVISAR_POSIBLE_DUPLICADO",""))</f>
        <v/>
      </c>
    </row>
    <row r="21">
      <c r="A21" s="17" t="inlineStr">
        <is>
          <t>3e29d457-bc68-5cd9-9446-0960fdf4ca6c</t>
        </is>
      </c>
      <c r="B21" s="18" t="inlineStr">
        <is>
          <t>EXISTENTE</t>
        </is>
      </c>
      <c r="C21" s="18" t="inlineStr">
        <is>
          <t>ACTIVO</t>
        </is>
      </c>
      <c r="D21" s="18" t="n">
        <v>56</v>
      </c>
      <c r="E21" s="17" t="inlineStr">
        <is>
          <t>be1e6ca7-3d30-4412-b96e-a8ff03e933fd</t>
        </is>
      </c>
      <c r="F21" s="17" t="inlineStr">
        <is>
          <t>PRB-FER-0004</t>
        </is>
      </c>
      <c r="G21" s="19" t="inlineStr">
        <is>
          <t>Tornillo madera 8 x 2 pulgadas</t>
        </is>
      </c>
      <c r="H21" s="19" t="inlineStr">
        <is>
          <t>Tornillería y fijaciones</t>
        </is>
      </c>
      <c r="I21" s="20" t="inlineStr">
        <is>
          <t>AceroPlus</t>
        </is>
      </c>
      <c r="J21" s="20" t="inlineStr">
        <is>
          <t>Unidad</t>
        </is>
      </c>
      <c r="K21" s="21" t="inlineStr">
        <is>
          <t>Proveedor Prueba Eléctricos Colombia</t>
        </is>
      </c>
      <c r="L21" s="18" t="n">
        <v>12</v>
      </c>
      <c r="M21" s="22" t="n">
        <v>320</v>
      </c>
      <c r="N21" s="22" t="n">
        <v>450</v>
      </c>
      <c r="O21" s="23" t="n">
        <v>120</v>
      </c>
      <c r="P21" s="24" t="inlineStr">
        <is>
          <t>UNIDAD</t>
        </is>
      </c>
      <c r="Q21" s="20" t="inlineStr">
        <is>
          <t>NO</t>
        </is>
      </c>
      <c r="R21" s="20" t="inlineStr">
        <is>
          <t>SI</t>
        </is>
      </c>
      <c r="S21" s="25" t="n">
        <v>100</v>
      </c>
      <c r="T21" s="20" t="inlineStr">
        <is>
          <t>SI</t>
        </is>
      </c>
      <c r="U21" s="20" t="inlineStr">
        <is>
          <t>Bodega de pruebas</t>
        </is>
      </c>
      <c r="V21" s="21" t="inlineStr">
        <is>
          <t>Producto ficticio de prueba para validacion de busquedas, inventario, ventas y compras en FERREPRO. No corresponde a inventario real.</t>
        </is>
      </c>
      <c r="W21" s="26" t="n">
        <v>600</v>
      </c>
      <c r="X21" s="27" t="n"/>
      <c r="Y21" s="20" t="n"/>
      <c r="Z21" s="20" t="n"/>
      <c r="AA21" s="26">
        <f>IF(X21="","",X21-IF(W21="",0,W21))</f>
        <v/>
      </c>
      <c r="AB21" s="28">
        <f>IF(OR(X21="",M21=""),"",X21*M21)</f>
        <v/>
      </c>
      <c r="AC21" s="28">
        <f>IF(OR(X21="",N21=""),"",X21*N21)</f>
        <v/>
      </c>
      <c r="AD21" s="28">
        <f>IF(OR(M21="",N21=""),"",N21-M21)</f>
        <v/>
      </c>
      <c r="AE21" s="29">
        <f>IFERROR(IF(M21&gt;0,(N21-M21)/M21,""),"")</f>
        <v/>
      </c>
      <c r="AF21" s="30" t="n"/>
      <c r="AG21" s="30" t="inlineStr">
        <is>
          <t>PENDIENTE</t>
        </is>
      </c>
      <c r="AH21" s="18">
        <f>IF(NOT(OR(B21="EXISTENTE",COUNTA(G21,H21,I21,J21,K21,M21,N21,U21,V21,X21,Y21,Z21,AF21,AJ21)&gt;0)),"",IF(AK21&lt;&gt;"","REVISAR",IF(OR(G21="",H21="",M21="",N21="",O21="",P21="",X21=""),"INCOMPLETO",IF(AI21&lt;&gt;"","REVISAR",IF(AND(AF21&lt;&gt;"",AG21="ESCANEADO"),"LISTO_COMPLETO","LISTO_SIN_BARCODE")))))</f>
        <v/>
      </c>
      <c r="AI21" s="17">
        <f>IF(NOT(OR(B21="EXISTENTE",COUNTA(G21,H21,I21,J21,K21,M21,N21,U21,V21,X21,Y21,Z21,AF21,AJ21)&gt;0)),"",TEXTJOIN(" | ",TRUE,IF(A21="","Falta ID staging",""),IF(COUNTIF($A$5:$A$445,A21)&gt;1,"ID staging duplicado",""),IF(G21="","Falta nombre",""),IF(LEN(G21)&gt;150,"Nombre &gt;150 caracteres",""),IF(H21="","Falta categoría",IF(COUNTIF(CategoriasLista,H21)=0,"Categoría inválida","")),IF(M21="","Falta precio compra",IF(OR(NOT(ISNUMBER(M21)),M21&lt;0),"Precio compra inválido","")),IF(N21="","Falta precio venta",IF(OR(NOT(ISNUMBER(N21)),N21&lt;=0,N21&lt;M21),"Precio venta inválido","")),IF(O21="","Falta stock mínimo",IF(OR(NOT(ISNUMBER(O21)),O21&lt;0,MOD(O21,1)&lt;&gt;0),"Stock mínimo inválido","")),IF(P21="","Falta unidad",IF(COUNTIF(UnidadesLista,P21)=0,"Unidad inválida","")),IF(AND(K21&lt;&gt;"",COUNTIF(ProveedoresLista,K21)=0),"Proveedor no catalogado",""),IF(X21="","Falta cantidad contada",IF(OR(NOT(ISNUMBER(X21)),X21&lt;0,ABS(X21*1000-ROUND(X21*1000,0))&gt;0.0000001),"Cantidad inválida",IF(AND(Q21="NO",MOD(X21,1)&lt;&gt;0),"Cantidad fraccionaria no permitida",""))),IF(AND(R21="SI",OR(NOT(ISNUMBER(S21)),S21&lt;1,MOD(S21,1)&lt;&gt;0)),"Empaque inválido",""),IF(OR(AND(AF21="",AG21="ESCANEADO"),AND(AF21&lt;&gt;"",AG21&lt;&gt;"ESCANEADO")),"Barcode/estado inconsistente",""),IF(AK21&lt;&gt;"",AK21,"")))</f>
        <v/>
      </c>
      <c r="AJ21" s="21" t="n"/>
      <c r="AK21" s="17">
        <f>IF(G21="","",IF(OR(COUNTIFS($G$5:$G$445,G21,$I$5:$I$445,I21,$J$5:$J$445,J21,$P$5:$P$445,P21)&gt;1,AND(AF21&lt;&gt;"",COUNTIF($AF$5:$AF$445,AF21)&gt;1)),"REVISAR_POSIBLE_DUPLICADO",""))</f>
        <v/>
      </c>
    </row>
    <row r="22">
      <c r="A22" s="17" t="inlineStr">
        <is>
          <t>e2eae5e7-84f2-523d-aca8-d947da7ca615</t>
        </is>
      </c>
      <c r="B22" s="18" t="inlineStr">
        <is>
          <t>EXISTENTE</t>
        </is>
      </c>
      <c r="C22" s="18" t="inlineStr">
        <is>
          <t>ACTIVO</t>
        </is>
      </c>
      <c r="D22" s="18" t="n">
        <v>57</v>
      </c>
      <c r="E22" s="17" t="inlineStr">
        <is>
          <t>6edfe94b-52ea-40b5-a8ca-86e90e36825e</t>
        </is>
      </c>
      <c r="F22" s="17" t="inlineStr">
        <is>
          <t>PRB-FER-0005</t>
        </is>
      </c>
      <c r="G22" s="19" t="inlineStr">
        <is>
          <t>Tornillo zincado 10 x 1 pulgada</t>
        </is>
      </c>
      <c r="H22" s="19" t="inlineStr">
        <is>
          <t>Tornillería y fijaciones</t>
        </is>
      </c>
      <c r="I22" s="20" t="inlineStr">
        <is>
          <t>FerroMax</t>
        </is>
      </c>
      <c r="J22" s="20" t="inlineStr">
        <is>
          <t>Unidad</t>
        </is>
      </c>
      <c r="K22" s="21" t="inlineStr">
        <is>
          <t>Proveedor Prueba Pinturas y Acabados</t>
        </is>
      </c>
      <c r="L22" s="18" t="n">
        <v>13</v>
      </c>
      <c r="M22" s="22" t="n">
        <v>280</v>
      </c>
      <c r="N22" s="22" t="n">
        <v>400</v>
      </c>
      <c r="O22" s="23" t="n">
        <v>140</v>
      </c>
      <c r="P22" s="24" t="inlineStr">
        <is>
          <t>UNIDAD</t>
        </is>
      </c>
      <c r="Q22" s="20" t="inlineStr">
        <is>
          <t>NO</t>
        </is>
      </c>
      <c r="R22" s="20" t="inlineStr">
        <is>
          <t>SI</t>
        </is>
      </c>
      <c r="S22" s="25" t="n">
        <v>100</v>
      </c>
      <c r="T22" s="20" t="inlineStr">
        <is>
          <t>SI</t>
        </is>
      </c>
      <c r="U22" s="20" t="inlineStr">
        <is>
          <t>Bodega de pruebas</t>
        </is>
      </c>
      <c r="V22" s="21" t="inlineStr">
        <is>
          <t>Producto ficticio de prueba para validacion de busquedas, inventario, ventas y compras en FERREPRO. No corresponde a inventario real.</t>
        </is>
      </c>
      <c r="W22" s="26" t="n">
        <v>700</v>
      </c>
      <c r="X22" s="27" t="n"/>
      <c r="Y22" s="20" t="n"/>
      <c r="Z22" s="20" t="n"/>
      <c r="AA22" s="26">
        <f>IF(X22="","",X22-IF(W22="",0,W22))</f>
        <v/>
      </c>
      <c r="AB22" s="28">
        <f>IF(OR(X22="",M22=""),"",X22*M22)</f>
        <v/>
      </c>
      <c r="AC22" s="28">
        <f>IF(OR(X22="",N22=""),"",X22*N22)</f>
        <v/>
      </c>
      <c r="AD22" s="28">
        <f>IF(OR(M22="",N22=""),"",N22-M22)</f>
        <v/>
      </c>
      <c r="AE22" s="29">
        <f>IFERROR(IF(M22&gt;0,(N22-M22)/M22,""),"")</f>
        <v/>
      </c>
      <c r="AF22" s="30" t="n"/>
      <c r="AG22" s="30" t="inlineStr">
        <is>
          <t>PENDIENTE</t>
        </is>
      </c>
      <c r="AH22" s="18">
        <f>IF(NOT(OR(B22="EXISTENTE",COUNTA(G22,H22,I22,J22,K22,M22,N22,U22,V22,X22,Y22,Z22,AF22,AJ22)&gt;0)),"",IF(AK22&lt;&gt;"","REVISAR",IF(OR(G22="",H22="",M22="",N22="",O22="",P22="",X22=""),"INCOMPLETO",IF(AI22&lt;&gt;"","REVISAR",IF(AND(AF22&lt;&gt;"",AG22="ESCANEADO"),"LISTO_COMPLETO","LISTO_SIN_BARCODE")))))</f>
        <v/>
      </c>
      <c r="AI22" s="17">
        <f>IF(NOT(OR(B22="EXISTENTE",COUNTA(G22,H22,I22,J22,K22,M22,N22,U22,V22,X22,Y22,Z22,AF22,AJ22)&gt;0)),"",TEXTJOIN(" | ",TRUE,IF(A22="","Falta ID staging",""),IF(COUNTIF($A$5:$A$445,A22)&gt;1,"ID staging duplicado",""),IF(G22="","Falta nombre",""),IF(LEN(G22)&gt;150,"Nombre &gt;150 caracteres",""),IF(H22="","Falta categoría",IF(COUNTIF(CategoriasLista,H22)=0,"Categoría inválida","")),IF(M22="","Falta precio compra",IF(OR(NOT(ISNUMBER(M22)),M22&lt;0),"Precio compra inválido","")),IF(N22="","Falta precio venta",IF(OR(NOT(ISNUMBER(N22)),N22&lt;=0,N22&lt;M22),"Precio venta inválido","")),IF(O22="","Falta stock mínimo",IF(OR(NOT(ISNUMBER(O22)),O22&lt;0,MOD(O22,1)&lt;&gt;0),"Stock mínimo inválido","")),IF(P22="","Falta unidad",IF(COUNTIF(UnidadesLista,P22)=0,"Unidad inválida","")),IF(AND(K22&lt;&gt;"",COUNTIF(ProveedoresLista,K22)=0),"Proveedor no catalogado",""),IF(X22="","Falta cantidad contada",IF(OR(NOT(ISNUMBER(X22)),X22&lt;0,ABS(X22*1000-ROUND(X22*1000,0))&gt;0.0000001),"Cantidad inválida",IF(AND(Q22="NO",MOD(X22,1)&lt;&gt;0),"Cantidad fraccionaria no permitida",""))),IF(AND(R22="SI",OR(NOT(ISNUMBER(S22)),S22&lt;1,MOD(S22,1)&lt;&gt;0)),"Empaque inválido",""),IF(OR(AND(AF22="",AG22="ESCANEADO"),AND(AF22&lt;&gt;"",AG22&lt;&gt;"ESCANEADO")),"Barcode/estado inconsistente",""),IF(AK22&lt;&gt;"",AK22,"")))</f>
        <v/>
      </c>
      <c r="AJ22" s="21" t="n"/>
      <c r="AK22" s="17">
        <f>IF(G22="","",IF(OR(COUNTIFS($G$5:$G$445,G22,$I$5:$I$445,I22,$J$5:$J$445,J22,$P$5:$P$445,P22)&gt;1,AND(AF22&lt;&gt;"",COUNTIF($AF$5:$AF$445,AF22)&gt;1)),"REVISAR_POSIBLE_DUPLICADO",""))</f>
        <v/>
      </c>
    </row>
    <row r="23">
      <c r="A23" s="17" t="inlineStr">
        <is>
          <t>9ff18e79-444a-5389-9562-22ac647dd4b6</t>
        </is>
      </c>
      <c r="B23" s="18" t="inlineStr">
        <is>
          <t>EXISTENTE</t>
        </is>
      </c>
      <c r="C23" s="18" t="inlineStr">
        <is>
          <t>ACTIVO</t>
        </is>
      </c>
      <c r="D23" s="18" t="n">
        <v>58</v>
      </c>
      <c r="E23" s="17" t="inlineStr">
        <is>
          <t>e57bdb67-caee-45ca-b0a0-ef5cf8afaf55</t>
        </is>
      </c>
      <c r="F23" s="17" t="inlineStr">
        <is>
          <t>PRB-FER-0006</t>
        </is>
      </c>
      <c r="G23" s="19" t="inlineStr">
        <is>
          <t>Chazo plástico 1/4</t>
        </is>
      </c>
      <c r="H23" s="19" t="inlineStr">
        <is>
          <t>Tornillería y fijaciones</t>
        </is>
      </c>
      <c r="I23" s="20" t="inlineStr">
        <is>
          <t>FixMaster</t>
        </is>
      </c>
      <c r="J23" s="20" t="inlineStr">
        <is>
          <t>Unidad</t>
        </is>
      </c>
      <c r="K23" s="21" t="inlineStr">
        <is>
          <t>Proveedor Prueba Herramientas Industriales</t>
        </is>
      </c>
      <c r="L23" s="18" t="n">
        <v>14</v>
      </c>
      <c r="M23" s="22" t="n">
        <v>120</v>
      </c>
      <c r="N23" s="22" t="n">
        <v>180</v>
      </c>
      <c r="O23" s="23" t="n">
        <v>200</v>
      </c>
      <c r="P23" s="24" t="inlineStr">
        <is>
          <t>UNIDAD</t>
        </is>
      </c>
      <c r="Q23" s="20" t="inlineStr">
        <is>
          <t>NO</t>
        </is>
      </c>
      <c r="R23" s="20" t="inlineStr">
        <is>
          <t>SI</t>
        </is>
      </c>
      <c r="S23" s="25" t="n">
        <v>50</v>
      </c>
      <c r="T23" s="20" t="inlineStr">
        <is>
          <t>SI</t>
        </is>
      </c>
      <c r="U23" s="20" t="inlineStr">
        <is>
          <t>Bodega de pruebas</t>
        </is>
      </c>
      <c r="V23" s="21" t="inlineStr">
        <is>
          <t>Producto ficticio de prueba para validacion de busquedas, inventario, ventas y compras en FERREPRO. No corresponde a inventario real.</t>
        </is>
      </c>
      <c r="W23" s="26" t="n">
        <v>1000</v>
      </c>
      <c r="X23" s="27" t="n"/>
      <c r="Y23" s="20" t="n"/>
      <c r="Z23" s="20" t="n"/>
      <c r="AA23" s="26">
        <f>IF(X23="","",X23-IF(W23="",0,W23))</f>
        <v/>
      </c>
      <c r="AB23" s="28">
        <f>IF(OR(X23="",M23=""),"",X23*M23)</f>
        <v/>
      </c>
      <c r="AC23" s="28">
        <f>IF(OR(X23="",N23=""),"",X23*N23)</f>
        <v/>
      </c>
      <c r="AD23" s="28">
        <f>IF(OR(M23="",N23=""),"",N23-M23)</f>
        <v/>
      </c>
      <c r="AE23" s="29">
        <f>IFERROR(IF(M23&gt;0,(N23-M23)/M23,""),"")</f>
        <v/>
      </c>
      <c r="AF23" s="30" t="n"/>
      <c r="AG23" s="30" t="inlineStr">
        <is>
          <t>PENDIENTE</t>
        </is>
      </c>
      <c r="AH23" s="18">
        <f>IF(NOT(OR(B23="EXISTENTE",COUNTA(G23,H23,I23,J23,K23,M23,N23,U23,V23,X23,Y23,Z23,AF23,AJ23)&gt;0)),"",IF(AK23&lt;&gt;"","REVISAR",IF(OR(G23="",H23="",M23="",N23="",O23="",P23="",X23=""),"INCOMPLETO",IF(AI23&lt;&gt;"","REVISAR",IF(AND(AF23&lt;&gt;"",AG23="ESCANEADO"),"LISTO_COMPLETO","LISTO_SIN_BARCODE")))))</f>
        <v/>
      </c>
      <c r="AI23" s="17">
        <f>IF(NOT(OR(B23="EXISTENTE",COUNTA(G23,H23,I23,J23,K23,M23,N23,U23,V23,X23,Y23,Z23,AF23,AJ23)&gt;0)),"",TEXTJOIN(" | ",TRUE,IF(A23="","Falta ID staging",""),IF(COUNTIF($A$5:$A$445,A23)&gt;1,"ID staging duplicado",""),IF(G23="","Falta nombre",""),IF(LEN(G23)&gt;150,"Nombre &gt;150 caracteres",""),IF(H23="","Falta categoría",IF(COUNTIF(CategoriasLista,H23)=0,"Categoría inválida","")),IF(M23="","Falta precio compra",IF(OR(NOT(ISNUMBER(M23)),M23&lt;0),"Precio compra inválido","")),IF(N23="","Falta precio venta",IF(OR(NOT(ISNUMBER(N23)),N23&lt;=0,N23&lt;M23),"Precio venta inválido","")),IF(O23="","Falta stock mínimo",IF(OR(NOT(ISNUMBER(O23)),O23&lt;0,MOD(O23,1)&lt;&gt;0),"Stock mínimo inválido","")),IF(P23="","Falta unidad",IF(COUNTIF(UnidadesLista,P23)=0,"Unidad inválida","")),IF(AND(K23&lt;&gt;"",COUNTIF(ProveedoresLista,K23)=0),"Proveedor no catalogado",""),IF(X23="","Falta cantidad contada",IF(OR(NOT(ISNUMBER(X23)),X23&lt;0,ABS(X23*1000-ROUND(X23*1000,0))&gt;0.0000001),"Cantidad inválida",IF(AND(Q23="NO",MOD(X23,1)&lt;&gt;0),"Cantidad fraccionaria no permitida",""))),IF(AND(R23="SI",OR(NOT(ISNUMBER(S23)),S23&lt;1,MOD(S23,1)&lt;&gt;0)),"Empaque inválido",""),IF(OR(AND(AF23="",AG23="ESCANEADO"),AND(AF23&lt;&gt;"",AG23&lt;&gt;"ESCANEADO")),"Barcode/estado inconsistente",""),IF(AK23&lt;&gt;"",AK23,"")))</f>
        <v/>
      </c>
      <c r="AJ23" s="21" t="n"/>
      <c r="AK23" s="17">
        <f>IF(G23="","",IF(OR(COUNTIFS($G$5:$G$445,G23,$I$5:$I$445,I23,$J$5:$J$445,J23,$P$5:$P$445,P23)&gt;1,AND(AF23&lt;&gt;"",COUNTIF($AF$5:$AF$445,AF23)&gt;1)),"REVISAR_POSIBLE_DUPLICADO",""))</f>
        <v/>
      </c>
    </row>
    <row r="24">
      <c r="A24" s="17" t="inlineStr">
        <is>
          <t>f48ca19b-0a13-5315-bd28-4cdb3d20af39</t>
        </is>
      </c>
      <c r="B24" s="18" t="inlineStr">
        <is>
          <t>EXISTENTE</t>
        </is>
      </c>
      <c r="C24" s="18" t="inlineStr">
        <is>
          <t>ACTIVO</t>
        </is>
      </c>
      <c r="D24" s="18" t="n">
        <v>59</v>
      </c>
      <c r="E24" s="17" t="inlineStr">
        <is>
          <t>a25b5d2f-c152-40ed-a74d-f07a362f95b5</t>
        </is>
      </c>
      <c r="F24" s="17" t="inlineStr">
        <is>
          <t>PRB-FER-0007</t>
        </is>
      </c>
      <c r="G24" s="19" t="inlineStr">
        <is>
          <t>Chazo plástico 5/16</t>
        </is>
      </c>
      <c r="H24" s="19" t="inlineStr">
        <is>
          <t>Tornillería y fijaciones</t>
        </is>
      </c>
      <c r="I24" s="20" t="inlineStr">
        <is>
          <t>FixMaster</t>
        </is>
      </c>
      <c r="J24" s="20" t="inlineStr">
        <is>
          <t>Unidad</t>
        </is>
      </c>
      <c r="K24" s="21" t="inlineStr">
        <is>
          <t>Proveedor Prueba Plomería Nacional</t>
        </is>
      </c>
      <c r="L24" s="18" t="n">
        <v>15</v>
      </c>
      <c r="M24" s="22" t="n">
        <v>160</v>
      </c>
      <c r="N24" s="22" t="n">
        <v>230</v>
      </c>
      <c r="O24" s="23" t="n">
        <v>180</v>
      </c>
      <c r="P24" s="24" t="inlineStr">
        <is>
          <t>UNIDAD</t>
        </is>
      </c>
      <c r="Q24" s="20" t="inlineStr">
        <is>
          <t>NO</t>
        </is>
      </c>
      <c r="R24" s="20" t="inlineStr">
        <is>
          <t>SI</t>
        </is>
      </c>
      <c r="S24" s="25" t="n">
        <v>50</v>
      </c>
      <c r="T24" s="20" t="inlineStr">
        <is>
          <t>SI</t>
        </is>
      </c>
      <c r="U24" s="20" t="inlineStr">
        <is>
          <t>Bodega de pruebas</t>
        </is>
      </c>
      <c r="V24" s="21" t="inlineStr">
        <is>
          <t>Producto ficticio de prueba para validacion de busquedas, inventario, ventas y compras en FERREPRO. No corresponde a inventario real.</t>
        </is>
      </c>
      <c r="W24" s="26" t="n">
        <v>900</v>
      </c>
      <c r="X24" s="27" t="n"/>
      <c r="Y24" s="20" t="n"/>
      <c r="Z24" s="20" t="n"/>
      <c r="AA24" s="26">
        <f>IF(X24="","",X24-IF(W24="",0,W24))</f>
        <v/>
      </c>
      <c r="AB24" s="28">
        <f>IF(OR(X24="",M24=""),"",X24*M24)</f>
        <v/>
      </c>
      <c r="AC24" s="28">
        <f>IF(OR(X24="",N24=""),"",X24*N24)</f>
        <v/>
      </c>
      <c r="AD24" s="28">
        <f>IF(OR(M24="",N24=""),"",N24-M24)</f>
        <v/>
      </c>
      <c r="AE24" s="29">
        <f>IFERROR(IF(M24&gt;0,(N24-M24)/M24,""),"")</f>
        <v/>
      </c>
      <c r="AF24" s="30" t="n"/>
      <c r="AG24" s="30" t="inlineStr">
        <is>
          <t>PENDIENTE</t>
        </is>
      </c>
      <c r="AH24" s="18">
        <f>IF(NOT(OR(B24="EXISTENTE",COUNTA(G24,H24,I24,J24,K24,M24,N24,U24,V24,X24,Y24,Z24,AF24,AJ24)&gt;0)),"",IF(AK24&lt;&gt;"","REVISAR",IF(OR(G24="",H24="",M24="",N24="",O24="",P24="",X24=""),"INCOMPLETO",IF(AI24&lt;&gt;"","REVISAR",IF(AND(AF24&lt;&gt;"",AG24="ESCANEADO"),"LISTO_COMPLETO","LISTO_SIN_BARCODE")))))</f>
        <v/>
      </c>
      <c r="AI24" s="17">
        <f>IF(NOT(OR(B24="EXISTENTE",COUNTA(G24,H24,I24,J24,K24,M24,N24,U24,V24,X24,Y24,Z24,AF24,AJ24)&gt;0)),"",TEXTJOIN(" | ",TRUE,IF(A24="","Falta ID staging",""),IF(COUNTIF($A$5:$A$445,A24)&gt;1,"ID staging duplicado",""),IF(G24="","Falta nombre",""),IF(LEN(G24)&gt;150,"Nombre &gt;150 caracteres",""),IF(H24="","Falta categoría",IF(COUNTIF(CategoriasLista,H24)=0,"Categoría inválida","")),IF(M24="","Falta precio compra",IF(OR(NOT(ISNUMBER(M24)),M24&lt;0),"Precio compra inválido","")),IF(N24="","Falta precio venta",IF(OR(NOT(ISNUMBER(N24)),N24&lt;=0,N24&lt;M24),"Precio venta inválido","")),IF(O24="","Falta stock mínimo",IF(OR(NOT(ISNUMBER(O24)),O24&lt;0,MOD(O24,1)&lt;&gt;0),"Stock mínimo inválido","")),IF(P24="","Falta unidad",IF(COUNTIF(UnidadesLista,P24)=0,"Unidad inválida","")),IF(AND(K24&lt;&gt;"",COUNTIF(ProveedoresLista,K24)=0),"Proveedor no catalogado",""),IF(X24="","Falta cantidad contada",IF(OR(NOT(ISNUMBER(X24)),X24&lt;0,ABS(X24*1000-ROUND(X24*1000,0))&gt;0.0000001),"Cantidad inválida",IF(AND(Q24="NO",MOD(X24,1)&lt;&gt;0),"Cantidad fraccionaria no permitida",""))),IF(AND(R24="SI",OR(NOT(ISNUMBER(S24)),S24&lt;1,MOD(S24,1)&lt;&gt;0)),"Empaque inválido",""),IF(OR(AND(AF24="",AG24="ESCANEADO"),AND(AF24&lt;&gt;"",AG24&lt;&gt;"ESCANEADO")),"Barcode/estado inconsistente",""),IF(AK24&lt;&gt;"",AK24,"")))</f>
        <v/>
      </c>
      <c r="AJ24" s="21" t="n"/>
      <c r="AK24" s="17">
        <f>IF(G24="","",IF(OR(COUNTIFS($G$5:$G$445,G24,$I$5:$I$445,I24,$J$5:$J$445,J24,$P$5:$P$445,P24)&gt;1,AND(AF24&lt;&gt;"",COUNTIF($AF$5:$AF$445,AF24)&gt;1)),"REVISAR_POSIBLE_DUPLICADO",""))</f>
        <v/>
      </c>
    </row>
    <row r="25">
      <c r="A25" s="17" t="inlineStr">
        <is>
          <t>cb4246bd-5af3-5d72-a090-eaccf0499b5b</t>
        </is>
      </c>
      <c r="B25" s="18" t="inlineStr">
        <is>
          <t>EXISTENTE</t>
        </is>
      </c>
      <c r="C25" s="18" t="inlineStr">
        <is>
          <t>ACTIVO</t>
        </is>
      </c>
      <c r="D25" s="18" t="n">
        <v>60</v>
      </c>
      <c r="E25" s="17" t="inlineStr">
        <is>
          <t>b4ba639d-6cf9-4ee2-8c6e-10d02eceaa23</t>
        </is>
      </c>
      <c r="F25" s="17" t="inlineStr">
        <is>
          <t>PRB-FER-0008</t>
        </is>
      </c>
      <c r="G25" s="19" t="inlineStr">
        <is>
          <t>Chazo expansivo metálico 3/8</t>
        </is>
      </c>
      <c r="H25" s="19" t="inlineStr">
        <is>
          <t>Tornillería y fijaciones</t>
        </is>
      </c>
      <c r="I25" s="20" t="inlineStr">
        <is>
          <t>AceroPlus</t>
        </is>
      </c>
      <c r="J25" s="20" t="inlineStr">
        <is>
          <t>Unidad</t>
        </is>
      </c>
      <c r="K25" s="21" t="inlineStr">
        <is>
          <t>Proveedor Prueba Seguridad y Protección</t>
        </is>
      </c>
      <c r="L25" s="18" t="n">
        <v>16</v>
      </c>
      <c r="M25" s="22" t="n">
        <v>850</v>
      </c>
      <c r="N25" s="22" t="n">
        <v>1200</v>
      </c>
      <c r="O25" s="23" t="n">
        <v>60</v>
      </c>
      <c r="P25" s="24" t="inlineStr">
        <is>
          <t>UNIDAD</t>
        </is>
      </c>
      <c r="Q25" s="20" t="inlineStr">
        <is>
          <t>NO</t>
        </is>
      </c>
      <c r="R25" s="20" t="inlineStr">
        <is>
          <t>SI</t>
        </is>
      </c>
      <c r="S25" s="25" t="n">
        <v>50</v>
      </c>
      <c r="T25" s="20" t="inlineStr">
        <is>
          <t>SI</t>
        </is>
      </c>
      <c r="U25" s="20" t="inlineStr">
        <is>
          <t>Bodega de pruebas</t>
        </is>
      </c>
      <c r="V25" s="21" t="inlineStr">
        <is>
          <t>Producto ficticio de prueba para validacion de busquedas, inventario, ventas y compras en FERREPRO. No corresponde a inventario real.</t>
        </is>
      </c>
      <c r="W25" s="26" t="n">
        <v>300</v>
      </c>
      <c r="X25" s="27" t="n"/>
      <c r="Y25" s="20" t="n"/>
      <c r="Z25" s="20" t="n"/>
      <c r="AA25" s="26">
        <f>IF(X25="","",X25-IF(W25="",0,W25))</f>
        <v/>
      </c>
      <c r="AB25" s="28">
        <f>IF(OR(X25="",M25=""),"",X25*M25)</f>
        <v/>
      </c>
      <c r="AC25" s="28">
        <f>IF(OR(X25="",N25=""),"",X25*N25)</f>
        <v/>
      </c>
      <c r="AD25" s="28">
        <f>IF(OR(M25="",N25=""),"",N25-M25)</f>
        <v/>
      </c>
      <c r="AE25" s="29">
        <f>IFERROR(IF(M25&gt;0,(N25-M25)/M25,""),"")</f>
        <v/>
      </c>
      <c r="AF25" s="30" t="n"/>
      <c r="AG25" s="30" t="inlineStr">
        <is>
          <t>PENDIENTE</t>
        </is>
      </c>
      <c r="AH25" s="18">
        <f>IF(NOT(OR(B25="EXISTENTE",COUNTA(G25,H25,I25,J25,K25,M25,N25,U25,V25,X25,Y25,Z25,AF25,AJ25)&gt;0)),"",IF(AK25&lt;&gt;"","REVISAR",IF(OR(G25="",H25="",M25="",N25="",O25="",P25="",X25=""),"INCOMPLETO",IF(AI25&lt;&gt;"","REVISAR",IF(AND(AF25&lt;&gt;"",AG25="ESCANEADO"),"LISTO_COMPLETO","LISTO_SIN_BARCODE")))))</f>
        <v/>
      </c>
      <c r="AI25" s="17">
        <f>IF(NOT(OR(B25="EXISTENTE",COUNTA(G25,H25,I25,J25,K25,M25,N25,U25,V25,X25,Y25,Z25,AF25,AJ25)&gt;0)),"",TEXTJOIN(" | ",TRUE,IF(A25="","Falta ID staging",""),IF(COUNTIF($A$5:$A$445,A25)&gt;1,"ID staging duplicado",""),IF(G25="","Falta nombre",""),IF(LEN(G25)&gt;150,"Nombre &gt;150 caracteres",""),IF(H25="","Falta categoría",IF(COUNTIF(CategoriasLista,H25)=0,"Categoría inválida","")),IF(M25="","Falta precio compra",IF(OR(NOT(ISNUMBER(M25)),M25&lt;0),"Precio compra inválido","")),IF(N25="","Falta precio venta",IF(OR(NOT(ISNUMBER(N25)),N25&lt;=0,N25&lt;M25),"Precio venta inválido","")),IF(O25="","Falta stock mínimo",IF(OR(NOT(ISNUMBER(O25)),O25&lt;0,MOD(O25,1)&lt;&gt;0),"Stock mínimo inválido","")),IF(P25="","Falta unidad",IF(COUNTIF(UnidadesLista,P25)=0,"Unidad inválida","")),IF(AND(K25&lt;&gt;"",COUNTIF(ProveedoresLista,K25)=0),"Proveedor no catalogado",""),IF(X25="","Falta cantidad contada",IF(OR(NOT(ISNUMBER(X25)),X25&lt;0,ABS(X25*1000-ROUND(X25*1000,0))&gt;0.0000001),"Cantidad inválida",IF(AND(Q25="NO",MOD(X25,1)&lt;&gt;0),"Cantidad fraccionaria no permitida",""))),IF(AND(R25="SI",OR(NOT(ISNUMBER(S25)),S25&lt;1,MOD(S25,1)&lt;&gt;0)),"Empaque inválido",""),IF(OR(AND(AF25="",AG25="ESCANEADO"),AND(AF25&lt;&gt;"",AG25&lt;&gt;"ESCANEADO")),"Barcode/estado inconsistente",""),IF(AK25&lt;&gt;"",AK25,"")))</f>
        <v/>
      </c>
      <c r="AJ25" s="21" t="n"/>
      <c r="AK25" s="17">
        <f>IF(G25="","",IF(OR(COUNTIFS($G$5:$G$445,G25,$I$5:$I$445,I25,$J$5:$J$445,J25,$P$5:$P$445,P25)&gt;1,AND(AF25&lt;&gt;"",COUNTIF($AF$5:$AF$445,AF25)&gt;1)),"REVISAR_POSIBLE_DUPLICADO",""))</f>
        <v/>
      </c>
    </row>
    <row r="26">
      <c r="A26" s="17" t="inlineStr">
        <is>
          <t>65b9f5e5-0b8d-576e-b85a-e4e73217fdfc</t>
        </is>
      </c>
      <c r="B26" s="18" t="inlineStr">
        <is>
          <t>EXISTENTE</t>
        </is>
      </c>
      <c r="C26" s="18" t="inlineStr">
        <is>
          <t>ACTIVO</t>
        </is>
      </c>
      <c r="D26" s="18" t="n">
        <v>61</v>
      </c>
      <c r="E26" s="17" t="inlineStr">
        <is>
          <t>6d627067-0880-47f6-991a-d1fb753a2014</t>
        </is>
      </c>
      <c r="F26" s="17" t="inlineStr">
        <is>
          <t>PRB-FER-0009</t>
        </is>
      </c>
      <c r="G26" s="19" t="inlineStr">
        <is>
          <t>Puntilla con cabeza 1 pulgada</t>
        </is>
      </c>
      <c r="H26" s="19" t="inlineStr">
        <is>
          <t>Tornillería y fijaciones</t>
        </is>
      </c>
      <c r="I26" s="20" t="inlineStr">
        <is>
          <t>FerroMax</t>
        </is>
      </c>
      <c r="J26" s="20" t="inlineStr">
        <is>
          <t>Unidad</t>
        </is>
      </c>
      <c r="K26" s="21" t="inlineStr">
        <is>
          <t>Proveedor Prueba Ferretería Central S.A.S.</t>
        </is>
      </c>
      <c r="L26" s="18" t="n">
        <v>9</v>
      </c>
      <c r="M26" s="22" t="n">
        <v>90</v>
      </c>
      <c r="N26" s="22" t="n">
        <v>130</v>
      </c>
      <c r="O26" s="23" t="n">
        <v>200</v>
      </c>
      <c r="P26" s="24" t="inlineStr">
        <is>
          <t>UNIDAD</t>
        </is>
      </c>
      <c r="Q26" s="20" t="inlineStr">
        <is>
          <t>NO</t>
        </is>
      </c>
      <c r="R26" s="20" t="inlineStr">
        <is>
          <t>SI</t>
        </is>
      </c>
      <c r="S26" s="25" t="n">
        <v>100</v>
      </c>
      <c r="T26" s="20" t="inlineStr">
        <is>
          <t>SI</t>
        </is>
      </c>
      <c r="U26" s="20" t="inlineStr">
        <is>
          <t>Bodega de pruebas</t>
        </is>
      </c>
      <c r="V26" s="21" t="inlineStr">
        <is>
          <t>Producto ficticio de prueba para validacion de busquedas, inventario, ventas y compras en FERREPRO. No corresponde a inventario real.</t>
        </is>
      </c>
      <c r="W26" s="26" t="n">
        <v>1000</v>
      </c>
      <c r="X26" s="27" t="n"/>
      <c r="Y26" s="20" t="n"/>
      <c r="Z26" s="20" t="n"/>
      <c r="AA26" s="26">
        <f>IF(X26="","",X26-IF(W26="",0,W26))</f>
        <v/>
      </c>
      <c r="AB26" s="28">
        <f>IF(OR(X26="",M26=""),"",X26*M26)</f>
        <v/>
      </c>
      <c r="AC26" s="28">
        <f>IF(OR(X26="",N26=""),"",X26*N26)</f>
        <v/>
      </c>
      <c r="AD26" s="28">
        <f>IF(OR(M26="",N26=""),"",N26-M26)</f>
        <v/>
      </c>
      <c r="AE26" s="29">
        <f>IFERROR(IF(M26&gt;0,(N26-M26)/M26,""),"")</f>
        <v/>
      </c>
      <c r="AF26" s="30" t="n"/>
      <c r="AG26" s="30" t="inlineStr">
        <is>
          <t>PENDIENTE</t>
        </is>
      </c>
      <c r="AH26" s="18">
        <f>IF(NOT(OR(B26="EXISTENTE",COUNTA(G26,H26,I26,J26,K26,M26,N26,U26,V26,X26,Y26,Z26,AF26,AJ26)&gt;0)),"",IF(AK26&lt;&gt;"","REVISAR",IF(OR(G26="",H26="",M26="",N26="",O26="",P26="",X26=""),"INCOMPLETO",IF(AI26&lt;&gt;"","REVISAR",IF(AND(AF26&lt;&gt;"",AG26="ESCANEADO"),"LISTO_COMPLETO","LISTO_SIN_BARCODE")))))</f>
        <v/>
      </c>
      <c r="AI26" s="17">
        <f>IF(NOT(OR(B26="EXISTENTE",COUNTA(G26,H26,I26,J26,K26,M26,N26,U26,V26,X26,Y26,Z26,AF26,AJ26)&gt;0)),"",TEXTJOIN(" | ",TRUE,IF(A26="","Falta ID staging",""),IF(COUNTIF($A$5:$A$445,A26)&gt;1,"ID staging duplicado",""),IF(G26="","Falta nombre",""),IF(LEN(G26)&gt;150,"Nombre &gt;150 caracteres",""),IF(H26="","Falta categoría",IF(COUNTIF(CategoriasLista,H26)=0,"Categoría inválida","")),IF(M26="","Falta precio compra",IF(OR(NOT(ISNUMBER(M26)),M26&lt;0),"Precio compra inválido","")),IF(N26="","Falta precio venta",IF(OR(NOT(ISNUMBER(N26)),N26&lt;=0,N26&lt;M26),"Precio venta inválido","")),IF(O26="","Falta stock mínimo",IF(OR(NOT(ISNUMBER(O26)),O26&lt;0,MOD(O26,1)&lt;&gt;0),"Stock mínimo inválido","")),IF(P26="","Falta unidad",IF(COUNTIF(UnidadesLista,P26)=0,"Unidad inválida","")),IF(AND(K26&lt;&gt;"",COUNTIF(ProveedoresLista,K26)=0),"Proveedor no catalogado",""),IF(X26="","Falta cantidad contada",IF(OR(NOT(ISNUMBER(X26)),X26&lt;0,ABS(X26*1000-ROUND(X26*1000,0))&gt;0.0000001),"Cantidad inválida",IF(AND(Q26="NO",MOD(X26,1)&lt;&gt;0),"Cantidad fraccionaria no permitida",""))),IF(AND(R26="SI",OR(NOT(ISNUMBER(S26)),S26&lt;1,MOD(S26,1)&lt;&gt;0)),"Empaque inválido",""),IF(OR(AND(AF26="",AG26="ESCANEADO"),AND(AF26&lt;&gt;"",AG26&lt;&gt;"ESCANEADO")),"Barcode/estado inconsistente",""),IF(AK26&lt;&gt;"",AK26,"")))</f>
        <v/>
      </c>
      <c r="AJ26" s="21" t="n"/>
      <c r="AK26" s="17">
        <f>IF(G26="","",IF(OR(COUNTIFS($G$5:$G$445,G26,$I$5:$I$445,I26,$J$5:$J$445,J26,$P$5:$P$445,P26)&gt;1,AND(AF26&lt;&gt;"",COUNTIF($AF$5:$AF$445,AF26)&gt;1)),"REVISAR_POSIBLE_DUPLICADO",""))</f>
        <v/>
      </c>
    </row>
    <row r="27">
      <c r="A27" s="17" t="inlineStr">
        <is>
          <t>189c5c81-441f-5f78-bbaf-4d2636cf1d1d</t>
        </is>
      </c>
      <c r="B27" s="18" t="inlineStr">
        <is>
          <t>EXISTENTE</t>
        </is>
      </c>
      <c r="C27" s="18" t="inlineStr">
        <is>
          <t>ACTIVO</t>
        </is>
      </c>
      <c r="D27" s="18" t="n">
        <v>62</v>
      </c>
      <c r="E27" s="17" t="inlineStr">
        <is>
          <t>4cb027c1-2c12-4bac-89fd-b5afd383a9ce</t>
        </is>
      </c>
      <c r="F27" s="17" t="inlineStr">
        <is>
          <t>PRB-FER-0010</t>
        </is>
      </c>
      <c r="G27" s="19" t="inlineStr">
        <is>
          <t>Puntilla con cabeza 2 pulgadas</t>
        </is>
      </c>
      <c r="H27" s="19" t="inlineStr">
        <is>
          <t>Tornillería y fijaciones</t>
        </is>
      </c>
      <c r="I27" s="20" t="inlineStr">
        <is>
          <t>FerroMax</t>
        </is>
      </c>
      <c r="J27" s="20" t="inlineStr">
        <is>
          <t>Unidad</t>
        </is>
      </c>
      <c r="K27" s="21" t="inlineStr">
        <is>
          <t>Proveedor Prueba ConstruMateriales del Norte</t>
        </is>
      </c>
      <c r="L27" s="18" t="n">
        <v>10</v>
      </c>
      <c r="M27" s="22" t="n">
        <v>130</v>
      </c>
      <c r="N27" s="22" t="n">
        <v>190</v>
      </c>
      <c r="O27" s="23" t="n">
        <v>190</v>
      </c>
      <c r="P27" s="24" t="inlineStr">
        <is>
          <t>UNIDAD</t>
        </is>
      </c>
      <c r="Q27" s="20" t="inlineStr">
        <is>
          <t>NO</t>
        </is>
      </c>
      <c r="R27" s="20" t="inlineStr">
        <is>
          <t>SI</t>
        </is>
      </c>
      <c r="S27" s="25" t="n">
        <v>100</v>
      </c>
      <c r="T27" s="20" t="inlineStr">
        <is>
          <t>SI</t>
        </is>
      </c>
      <c r="U27" s="20" t="inlineStr">
        <is>
          <t>Bodega de pruebas</t>
        </is>
      </c>
      <c r="V27" s="21" t="inlineStr">
        <is>
          <t>Producto ficticio de prueba para validacion de busquedas, inventario, ventas y compras en FERREPRO. No corresponde a inventario real.</t>
        </is>
      </c>
      <c r="W27" s="26" t="n">
        <v>950</v>
      </c>
      <c r="X27" s="27" t="n"/>
      <c r="Y27" s="20" t="n"/>
      <c r="Z27" s="20" t="n"/>
      <c r="AA27" s="26">
        <f>IF(X27="","",X27-IF(W27="",0,W27))</f>
        <v/>
      </c>
      <c r="AB27" s="28">
        <f>IF(OR(X27="",M27=""),"",X27*M27)</f>
        <v/>
      </c>
      <c r="AC27" s="28">
        <f>IF(OR(X27="",N27=""),"",X27*N27)</f>
        <v/>
      </c>
      <c r="AD27" s="28">
        <f>IF(OR(M27="",N27=""),"",N27-M27)</f>
        <v/>
      </c>
      <c r="AE27" s="29">
        <f>IFERROR(IF(M27&gt;0,(N27-M27)/M27,""),"")</f>
        <v/>
      </c>
      <c r="AF27" s="30" t="n"/>
      <c r="AG27" s="30" t="inlineStr">
        <is>
          <t>PENDIENTE</t>
        </is>
      </c>
      <c r="AH27" s="18">
        <f>IF(NOT(OR(B27="EXISTENTE",COUNTA(G27,H27,I27,J27,K27,M27,N27,U27,V27,X27,Y27,Z27,AF27,AJ27)&gt;0)),"",IF(AK27&lt;&gt;"","REVISAR",IF(OR(G27="",H27="",M27="",N27="",O27="",P27="",X27=""),"INCOMPLETO",IF(AI27&lt;&gt;"","REVISAR",IF(AND(AF27&lt;&gt;"",AG27="ESCANEADO"),"LISTO_COMPLETO","LISTO_SIN_BARCODE")))))</f>
        <v/>
      </c>
      <c r="AI27" s="17">
        <f>IF(NOT(OR(B27="EXISTENTE",COUNTA(G27,H27,I27,J27,K27,M27,N27,U27,V27,X27,Y27,Z27,AF27,AJ27)&gt;0)),"",TEXTJOIN(" | ",TRUE,IF(A27="","Falta ID staging",""),IF(COUNTIF($A$5:$A$445,A27)&gt;1,"ID staging duplicado",""),IF(G27="","Falta nombre",""),IF(LEN(G27)&gt;150,"Nombre &gt;150 caracteres",""),IF(H27="","Falta categoría",IF(COUNTIF(CategoriasLista,H27)=0,"Categoría inválida","")),IF(M27="","Falta precio compra",IF(OR(NOT(ISNUMBER(M27)),M27&lt;0),"Precio compra inválido","")),IF(N27="","Falta precio venta",IF(OR(NOT(ISNUMBER(N27)),N27&lt;=0,N27&lt;M27),"Precio venta inválido","")),IF(O27="","Falta stock mínimo",IF(OR(NOT(ISNUMBER(O27)),O27&lt;0,MOD(O27,1)&lt;&gt;0),"Stock mínimo inválido","")),IF(P27="","Falta unidad",IF(COUNTIF(UnidadesLista,P27)=0,"Unidad inválida","")),IF(AND(K27&lt;&gt;"",COUNTIF(ProveedoresLista,K27)=0),"Proveedor no catalogado",""),IF(X27="","Falta cantidad contada",IF(OR(NOT(ISNUMBER(X27)),X27&lt;0,ABS(X27*1000-ROUND(X27*1000,0))&gt;0.0000001),"Cantidad inválida",IF(AND(Q27="NO",MOD(X27,1)&lt;&gt;0),"Cantidad fraccionaria no permitida",""))),IF(AND(R27="SI",OR(NOT(ISNUMBER(S27)),S27&lt;1,MOD(S27,1)&lt;&gt;0)),"Empaque inválido",""),IF(OR(AND(AF27="",AG27="ESCANEADO"),AND(AF27&lt;&gt;"",AG27&lt;&gt;"ESCANEADO")),"Barcode/estado inconsistente",""),IF(AK27&lt;&gt;"",AK27,"")))</f>
        <v/>
      </c>
      <c r="AJ27" s="21" t="n"/>
      <c r="AK27" s="17">
        <f>IF(G27="","",IF(OR(COUNTIFS($G$5:$G$445,G27,$I$5:$I$445,I27,$J$5:$J$445,J27,$P$5:$P$445,P27)&gt;1,AND(AF27&lt;&gt;"",COUNTIF($AF$5:$AF$445,AF27)&gt;1)),"REVISAR_POSIBLE_DUPLICADO",""))</f>
        <v/>
      </c>
    </row>
    <row r="28">
      <c r="A28" s="17" t="inlineStr">
        <is>
          <t>5dcb9fe2-6923-5eb0-a583-4969bd910c04</t>
        </is>
      </c>
      <c r="B28" s="18" t="inlineStr">
        <is>
          <t>EXISTENTE</t>
        </is>
      </c>
      <c r="C28" s="18" t="inlineStr">
        <is>
          <t>ACTIVO</t>
        </is>
      </c>
      <c r="D28" s="18" t="n">
        <v>63</v>
      </c>
      <c r="E28" s="17" t="inlineStr">
        <is>
          <t>8294c0af-ba38-43af-aa1d-a03a5f4b27fe</t>
        </is>
      </c>
      <c r="F28" s="17" t="inlineStr">
        <is>
          <t>PRB-FER-0011</t>
        </is>
      </c>
      <c r="G28" s="19" t="inlineStr">
        <is>
          <t>Arandela plana 1/4</t>
        </is>
      </c>
      <c r="H28" s="19" t="inlineStr">
        <is>
          <t>Tornillería y fijaciones</t>
        </is>
      </c>
      <c r="I28" s="20" t="inlineStr">
        <is>
          <t>AceroPlus</t>
        </is>
      </c>
      <c r="J28" s="20" t="inlineStr">
        <is>
          <t>Unidad</t>
        </is>
      </c>
      <c r="K28" s="21" t="inlineStr">
        <is>
          <t>Proveedor Prueba Tornillos y Fijaciones Andinas</t>
        </is>
      </c>
      <c r="L28" s="18" t="n">
        <v>11</v>
      </c>
      <c r="M28" s="22" t="n">
        <v>80</v>
      </c>
      <c r="N28" s="22" t="n">
        <v>120</v>
      </c>
      <c r="O28" s="23" t="n">
        <v>180</v>
      </c>
      <c r="P28" s="24" t="inlineStr">
        <is>
          <t>UNIDAD</t>
        </is>
      </c>
      <c r="Q28" s="20" t="inlineStr">
        <is>
          <t>NO</t>
        </is>
      </c>
      <c r="R28" s="20" t="inlineStr">
        <is>
          <t>SI</t>
        </is>
      </c>
      <c r="S28" s="25" t="n">
        <v>50</v>
      </c>
      <c r="T28" s="20" t="inlineStr">
        <is>
          <t>SI</t>
        </is>
      </c>
      <c r="U28" s="20" t="inlineStr">
        <is>
          <t>Bodega de pruebas</t>
        </is>
      </c>
      <c r="V28" s="21" t="inlineStr">
        <is>
          <t>Producto ficticio de prueba para validacion de busquedas, inventario, ventas y compras en FERREPRO. No corresponde a inventario real.</t>
        </is>
      </c>
      <c r="W28" s="26" t="n">
        <v>900</v>
      </c>
      <c r="X28" s="27" t="n"/>
      <c r="Y28" s="20" t="n"/>
      <c r="Z28" s="20" t="n"/>
      <c r="AA28" s="26">
        <f>IF(X28="","",X28-IF(W28="",0,W28))</f>
        <v/>
      </c>
      <c r="AB28" s="28">
        <f>IF(OR(X28="",M28=""),"",X28*M28)</f>
        <v/>
      </c>
      <c r="AC28" s="28">
        <f>IF(OR(X28="",N28=""),"",X28*N28)</f>
        <v/>
      </c>
      <c r="AD28" s="28">
        <f>IF(OR(M28="",N28=""),"",N28-M28)</f>
        <v/>
      </c>
      <c r="AE28" s="29">
        <f>IFERROR(IF(M28&gt;0,(N28-M28)/M28,""),"")</f>
        <v/>
      </c>
      <c r="AF28" s="30" t="n"/>
      <c r="AG28" s="30" t="inlineStr">
        <is>
          <t>PENDIENTE</t>
        </is>
      </c>
      <c r="AH28" s="18">
        <f>IF(NOT(OR(B28="EXISTENTE",COUNTA(G28,H28,I28,J28,K28,M28,N28,U28,V28,X28,Y28,Z28,AF28,AJ28)&gt;0)),"",IF(AK28&lt;&gt;"","REVISAR",IF(OR(G28="",H28="",M28="",N28="",O28="",P28="",X28=""),"INCOMPLETO",IF(AI28&lt;&gt;"","REVISAR",IF(AND(AF28&lt;&gt;"",AG28="ESCANEADO"),"LISTO_COMPLETO","LISTO_SIN_BARCODE")))))</f>
        <v/>
      </c>
      <c r="AI28" s="17">
        <f>IF(NOT(OR(B28="EXISTENTE",COUNTA(G28,H28,I28,J28,K28,M28,N28,U28,V28,X28,Y28,Z28,AF28,AJ28)&gt;0)),"",TEXTJOIN(" | ",TRUE,IF(A28="","Falta ID staging",""),IF(COUNTIF($A$5:$A$445,A28)&gt;1,"ID staging duplicado",""),IF(G28="","Falta nombre",""),IF(LEN(G28)&gt;150,"Nombre &gt;150 caracteres",""),IF(H28="","Falta categoría",IF(COUNTIF(CategoriasLista,H28)=0,"Categoría inválida","")),IF(M28="","Falta precio compra",IF(OR(NOT(ISNUMBER(M28)),M28&lt;0),"Precio compra inválido","")),IF(N28="","Falta precio venta",IF(OR(NOT(ISNUMBER(N28)),N28&lt;=0,N28&lt;M28),"Precio venta inválido","")),IF(O28="","Falta stock mínimo",IF(OR(NOT(ISNUMBER(O28)),O28&lt;0,MOD(O28,1)&lt;&gt;0),"Stock mínimo inválido","")),IF(P28="","Falta unidad",IF(COUNTIF(UnidadesLista,P28)=0,"Unidad inválida","")),IF(AND(K28&lt;&gt;"",COUNTIF(ProveedoresLista,K28)=0),"Proveedor no catalogado",""),IF(X28="","Falta cantidad contada",IF(OR(NOT(ISNUMBER(X28)),X28&lt;0,ABS(X28*1000-ROUND(X28*1000,0))&gt;0.0000001),"Cantidad inválida",IF(AND(Q28="NO",MOD(X28,1)&lt;&gt;0),"Cantidad fraccionaria no permitida",""))),IF(AND(R28="SI",OR(NOT(ISNUMBER(S28)),S28&lt;1,MOD(S28,1)&lt;&gt;0)),"Empaque inválido",""),IF(OR(AND(AF28="",AG28="ESCANEADO"),AND(AF28&lt;&gt;"",AG28&lt;&gt;"ESCANEADO")),"Barcode/estado inconsistente",""),IF(AK28&lt;&gt;"",AK28,"")))</f>
        <v/>
      </c>
      <c r="AJ28" s="21" t="n"/>
      <c r="AK28" s="17">
        <f>IF(G28="","",IF(OR(COUNTIFS($G$5:$G$445,G28,$I$5:$I$445,I28,$J$5:$J$445,J28,$P$5:$P$445,P28)&gt;1,AND(AF28&lt;&gt;"",COUNTIF($AF$5:$AF$445,AF28)&gt;1)),"REVISAR_POSIBLE_DUPLICADO",""))</f>
        <v/>
      </c>
    </row>
    <row r="29">
      <c r="A29" s="17" t="inlineStr">
        <is>
          <t>296b4b0c-be1c-55e9-a000-3a68fe9ffb5b</t>
        </is>
      </c>
      <c r="B29" s="18" t="inlineStr">
        <is>
          <t>EXISTENTE</t>
        </is>
      </c>
      <c r="C29" s="18" t="inlineStr">
        <is>
          <t>ACTIVO</t>
        </is>
      </c>
      <c r="D29" s="18" t="n">
        <v>64</v>
      </c>
      <c r="E29" s="17" t="inlineStr">
        <is>
          <t>2132608a-485e-4969-a552-c909bb284892</t>
        </is>
      </c>
      <c r="F29" s="17" t="inlineStr">
        <is>
          <t>PRB-FER-0012</t>
        </is>
      </c>
      <c r="G29" s="19" t="inlineStr">
        <is>
          <t>Arandela plana 3/8</t>
        </is>
      </c>
      <c r="H29" s="19" t="inlineStr">
        <is>
          <t>Tornillería y fijaciones</t>
        </is>
      </c>
      <c r="I29" s="20" t="inlineStr">
        <is>
          <t>AceroPlus</t>
        </is>
      </c>
      <c r="J29" s="20" t="inlineStr">
        <is>
          <t>Unidad</t>
        </is>
      </c>
      <c r="K29" s="21" t="inlineStr">
        <is>
          <t>Proveedor Prueba Eléctricos Colombia</t>
        </is>
      </c>
      <c r="L29" s="18" t="n">
        <v>12</v>
      </c>
      <c r="M29" s="22" t="n">
        <v>120</v>
      </c>
      <c r="N29" s="22" t="n">
        <v>170</v>
      </c>
      <c r="O29" s="23" t="n">
        <v>170</v>
      </c>
      <c r="P29" s="24" t="inlineStr">
        <is>
          <t>UNIDAD</t>
        </is>
      </c>
      <c r="Q29" s="20" t="inlineStr">
        <is>
          <t>NO</t>
        </is>
      </c>
      <c r="R29" s="20" t="inlineStr">
        <is>
          <t>SI</t>
        </is>
      </c>
      <c r="S29" s="25" t="n">
        <v>50</v>
      </c>
      <c r="T29" s="20" t="inlineStr">
        <is>
          <t>SI</t>
        </is>
      </c>
      <c r="U29" s="20" t="inlineStr">
        <is>
          <t>Bodega de pruebas</t>
        </is>
      </c>
      <c r="V29" s="21" t="inlineStr">
        <is>
          <t>Producto ficticio de prueba para validacion de busquedas, inventario, ventas y compras en FERREPRO. No corresponde a inventario real.</t>
        </is>
      </c>
      <c r="W29" s="26" t="n">
        <v>850</v>
      </c>
      <c r="X29" s="27" t="n"/>
      <c r="Y29" s="20" t="n"/>
      <c r="Z29" s="20" t="n"/>
      <c r="AA29" s="26">
        <f>IF(X29="","",X29-IF(W29="",0,W29))</f>
        <v/>
      </c>
      <c r="AB29" s="28">
        <f>IF(OR(X29="",M29=""),"",X29*M29)</f>
        <v/>
      </c>
      <c r="AC29" s="28">
        <f>IF(OR(X29="",N29=""),"",X29*N29)</f>
        <v/>
      </c>
      <c r="AD29" s="28">
        <f>IF(OR(M29="",N29=""),"",N29-M29)</f>
        <v/>
      </c>
      <c r="AE29" s="29">
        <f>IFERROR(IF(M29&gt;0,(N29-M29)/M29,""),"")</f>
        <v/>
      </c>
      <c r="AF29" s="30" t="n"/>
      <c r="AG29" s="30" t="inlineStr">
        <is>
          <t>PENDIENTE</t>
        </is>
      </c>
      <c r="AH29" s="18">
        <f>IF(NOT(OR(B29="EXISTENTE",COUNTA(G29,H29,I29,J29,K29,M29,N29,U29,V29,X29,Y29,Z29,AF29,AJ29)&gt;0)),"",IF(AK29&lt;&gt;"","REVISAR",IF(OR(G29="",H29="",M29="",N29="",O29="",P29="",X29=""),"INCOMPLETO",IF(AI29&lt;&gt;"","REVISAR",IF(AND(AF29&lt;&gt;"",AG29="ESCANEADO"),"LISTO_COMPLETO","LISTO_SIN_BARCODE")))))</f>
        <v/>
      </c>
      <c r="AI29" s="17">
        <f>IF(NOT(OR(B29="EXISTENTE",COUNTA(G29,H29,I29,J29,K29,M29,N29,U29,V29,X29,Y29,Z29,AF29,AJ29)&gt;0)),"",TEXTJOIN(" | ",TRUE,IF(A29="","Falta ID staging",""),IF(COUNTIF($A$5:$A$445,A29)&gt;1,"ID staging duplicado",""),IF(G29="","Falta nombre",""),IF(LEN(G29)&gt;150,"Nombre &gt;150 caracteres",""),IF(H29="","Falta categoría",IF(COUNTIF(CategoriasLista,H29)=0,"Categoría inválida","")),IF(M29="","Falta precio compra",IF(OR(NOT(ISNUMBER(M29)),M29&lt;0),"Precio compra inválido","")),IF(N29="","Falta precio venta",IF(OR(NOT(ISNUMBER(N29)),N29&lt;=0,N29&lt;M29),"Precio venta inválido","")),IF(O29="","Falta stock mínimo",IF(OR(NOT(ISNUMBER(O29)),O29&lt;0,MOD(O29,1)&lt;&gt;0),"Stock mínimo inválido","")),IF(P29="","Falta unidad",IF(COUNTIF(UnidadesLista,P29)=0,"Unidad inválida","")),IF(AND(K29&lt;&gt;"",COUNTIF(ProveedoresLista,K29)=0),"Proveedor no catalogado",""),IF(X29="","Falta cantidad contada",IF(OR(NOT(ISNUMBER(X29)),X29&lt;0,ABS(X29*1000-ROUND(X29*1000,0))&gt;0.0000001),"Cantidad inválida",IF(AND(Q29="NO",MOD(X29,1)&lt;&gt;0),"Cantidad fraccionaria no permitida",""))),IF(AND(R29="SI",OR(NOT(ISNUMBER(S29)),S29&lt;1,MOD(S29,1)&lt;&gt;0)),"Empaque inválido",""),IF(OR(AND(AF29="",AG29="ESCANEADO"),AND(AF29&lt;&gt;"",AG29&lt;&gt;"ESCANEADO")),"Barcode/estado inconsistente",""),IF(AK29&lt;&gt;"",AK29,"")))</f>
        <v/>
      </c>
      <c r="AJ29" s="21" t="n"/>
      <c r="AK29" s="17">
        <f>IF(G29="","",IF(OR(COUNTIFS($G$5:$G$445,G29,$I$5:$I$445,I29,$J$5:$J$445,J29,$P$5:$P$445,P29)&gt;1,AND(AF29&lt;&gt;"",COUNTIF($AF$5:$AF$445,AF29)&gt;1)),"REVISAR_POSIBLE_DUPLICADO",""))</f>
        <v/>
      </c>
    </row>
    <row r="30">
      <c r="A30" s="17" t="inlineStr">
        <is>
          <t>636b79b4-6c8a-5a48-8ba6-b3a49615ed98</t>
        </is>
      </c>
      <c r="B30" s="18" t="inlineStr">
        <is>
          <t>EXISTENTE</t>
        </is>
      </c>
      <c r="C30" s="18" t="inlineStr">
        <is>
          <t>ACTIVO</t>
        </is>
      </c>
      <c r="D30" s="18" t="n">
        <v>65</v>
      </c>
      <c r="E30" s="17" t="inlineStr">
        <is>
          <t>5b2b57da-2125-4221-8e17-13a524feff80</t>
        </is>
      </c>
      <c r="F30" s="17" t="inlineStr">
        <is>
          <t>PRB-FER-0013</t>
        </is>
      </c>
      <c r="G30" s="19" t="inlineStr">
        <is>
          <t>Tuerca hexagonal 1/4</t>
        </is>
      </c>
      <c r="H30" s="19" t="inlineStr">
        <is>
          <t>Tornillería y fijaciones</t>
        </is>
      </c>
      <c r="I30" s="20" t="inlineStr">
        <is>
          <t>FerroMax</t>
        </is>
      </c>
      <c r="J30" s="20" t="inlineStr">
        <is>
          <t>Unidad</t>
        </is>
      </c>
      <c r="K30" s="21" t="inlineStr">
        <is>
          <t>Proveedor Prueba Pinturas y Acabados</t>
        </is>
      </c>
      <c r="L30" s="18" t="n">
        <v>13</v>
      </c>
      <c r="M30" s="22" t="n">
        <v>100</v>
      </c>
      <c r="N30" s="22" t="n">
        <v>150</v>
      </c>
      <c r="O30" s="23" t="n">
        <v>180</v>
      </c>
      <c r="P30" s="24" t="inlineStr">
        <is>
          <t>UNIDAD</t>
        </is>
      </c>
      <c r="Q30" s="20" t="inlineStr">
        <is>
          <t>NO</t>
        </is>
      </c>
      <c r="R30" s="20" t="inlineStr">
        <is>
          <t>SI</t>
        </is>
      </c>
      <c r="S30" s="25" t="n">
        <v>50</v>
      </c>
      <c r="T30" s="20" t="inlineStr">
        <is>
          <t>SI</t>
        </is>
      </c>
      <c r="U30" s="20" t="inlineStr">
        <is>
          <t>Bodega de pruebas</t>
        </is>
      </c>
      <c r="V30" s="21" t="inlineStr">
        <is>
          <t>Producto ficticio de prueba para validacion de busquedas, inventario, ventas y compras en FERREPRO. No corresponde a inventario real.</t>
        </is>
      </c>
      <c r="W30" s="26" t="n">
        <v>900</v>
      </c>
      <c r="X30" s="27" t="n"/>
      <c r="Y30" s="20" t="n"/>
      <c r="Z30" s="20" t="n"/>
      <c r="AA30" s="26">
        <f>IF(X30="","",X30-IF(W30="",0,W30))</f>
        <v/>
      </c>
      <c r="AB30" s="28">
        <f>IF(OR(X30="",M30=""),"",X30*M30)</f>
        <v/>
      </c>
      <c r="AC30" s="28">
        <f>IF(OR(X30="",N30=""),"",X30*N30)</f>
        <v/>
      </c>
      <c r="AD30" s="28">
        <f>IF(OR(M30="",N30=""),"",N30-M30)</f>
        <v/>
      </c>
      <c r="AE30" s="29">
        <f>IFERROR(IF(M30&gt;0,(N30-M30)/M30,""),"")</f>
        <v/>
      </c>
      <c r="AF30" s="30" t="n"/>
      <c r="AG30" s="30" t="inlineStr">
        <is>
          <t>PENDIENTE</t>
        </is>
      </c>
      <c r="AH30" s="18">
        <f>IF(NOT(OR(B30="EXISTENTE",COUNTA(G30,H30,I30,J30,K30,M30,N30,U30,V30,X30,Y30,Z30,AF30,AJ30)&gt;0)),"",IF(AK30&lt;&gt;"","REVISAR",IF(OR(G30="",H30="",M30="",N30="",O30="",P30="",X30=""),"INCOMPLETO",IF(AI30&lt;&gt;"","REVISAR",IF(AND(AF30&lt;&gt;"",AG30="ESCANEADO"),"LISTO_COMPLETO","LISTO_SIN_BARCODE")))))</f>
        <v/>
      </c>
      <c r="AI30" s="17">
        <f>IF(NOT(OR(B30="EXISTENTE",COUNTA(G30,H30,I30,J30,K30,M30,N30,U30,V30,X30,Y30,Z30,AF30,AJ30)&gt;0)),"",TEXTJOIN(" | ",TRUE,IF(A30="","Falta ID staging",""),IF(COUNTIF($A$5:$A$445,A30)&gt;1,"ID staging duplicado",""),IF(G30="","Falta nombre",""),IF(LEN(G30)&gt;150,"Nombre &gt;150 caracteres",""),IF(H30="","Falta categoría",IF(COUNTIF(CategoriasLista,H30)=0,"Categoría inválida","")),IF(M30="","Falta precio compra",IF(OR(NOT(ISNUMBER(M30)),M30&lt;0),"Precio compra inválido","")),IF(N30="","Falta precio venta",IF(OR(NOT(ISNUMBER(N30)),N30&lt;=0,N30&lt;M30),"Precio venta inválido","")),IF(O30="","Falta stock mínimo",IF(OR(NOT(ISNUMBER(O30)),O30&lt;0,MOD(O30,1)&lt;&gt;0),"Stock mínimo inválido","")),IF(P30="","Falta unidad",IF(COUNTIF(UnidadesLista,P30)=0,"Unidad inválida","")),IF(AND(K30&lt;&gt;"",COUNTIF(ProveedoresLista,K30)=0),"Proveedor no catalogado",""),IF(X30="","Falta cantidad contada",IF(OR(NOT(ISNUMBER(X30)),X30&lt;0,ABS(X30*1000-ROUND(X30*1000,0))&gt;0.0000001),"Cantidad inválida",IF(AND(Q30="NO",MOD(X30,1)&lt;&gt;0),"Cantidad fraccionaria no permitida",""))),IF(AND(R30="SI",OR(NOT(ISNUMBER(S30)),S30&lt;1,MOD(S30,1)&lt;&gt;0)),"Empaque inválido",""),IF(OR(AND(AF30="",AG30="ESCANEADO"),AND(AF30&lt;&gt;"",AG30&lt;&gt;"ESCANEADO")),"Barcode/estado inconsistente",""),IF(AK30&lt;&gt;"",AK30,"")))</f>
        <v/>
      </c>
      <c r="AJ30" s="21" t="n"/>
      <c r="AK30" s="17">
        <f>IF(G30="","",IF(OR(COUNTIFS($G$5:$G$445,G30,$I$5:$I$445,I30,$J$5:$J$445,J30,$P$5:$P$445,P30)&gt;1,AND(AF30&lt;&gt;"",COUNTIF($AF$5:$AF$445,AF30)&gt;1)),"REVISAR_POSIBLE_DUPLICADO",""))</f>
        <v/>
      </c>
    </row>
    <row r="31">
      <c r="A31" s="17" t="inlineStr">
        <is>
          <t>88622cf7-e854-5db1-96e1-6a314c47152b</t>
        </is>
      </c>
      <c r="B31" s="18" t="inlineStr">
        <is>
          <t>EXISTENTE</t>
        </is>
      </c>
      <c r="C31" s="18" t="inlineStr">
        <is>
          <t>ACTIVO</t>
        </is>
      </c>
      <c r="D31" s="18" t="n">
        <v>66</v>
      </c>
      <c r="E31" s="17" t="inlineStr">
        <is>
          <t>3bbea89d-aeb7-434c-8c53-9d7acb48b79e</t>
        </is>
      </c>
      <c r="F31" s="17" t="inlineStr">
        <is>
          <t>PRB-FER-0014</t>
        </is>
      </c>
      <c r="G31" s="19" t="inlineStr">
        <is>
          <t>Tuerca hexagonal 3/8</t>
        </is>
      </c>
      <c r="H31" s="19" t="inlineStr">
        <is>
          <t>Tornillería y fijaciones</t>
        </is>
      </c>
      <c r="I31" s="20" t="inlineStr">
        <is>
          <t>FerroMax</t>
        </is>
      </c>
      <c r="J31" s="20" t="inlineStr">
        <is>
          <t>Unidad</t>
        </is>
      </c>
      <c r="K31" s="21" t="inlineStr">
        <is>
          <t>Proveedor Prueba Herramientas Industriales</t>
        </is>
      </c>
      <c r="L31" s="18" t="n">
        <v>14</v>
      </c>
      <c r="M31" s="22" t="n">
        <v>160</v>
      </c>
      <c r="N31" s="22" t="n">
        <v>230</v>
      </c>
      <c r="O31" s="23" t="n">
        <v>160</v>
      </c>
      <c r="P31" s="24" t="inlineStr">
        <is>
          <t>UNIDAD</t>
        </is>
      </c>
      <c r="Q31" s="20" t="inlineStr">
        <is>
          <t>NO</t>
        </is>
      </c>
      <c r="R31" s="20" t="inlineStr">
        <is>
          <t>SI</t>
        </is>
      </c>
      <c r="S31" s="25" t="n">
        <v>50</v>
      </c>
      <c r="T31" s="20" t="inlineStr">
        <is>
          <t>SI</t>
        </is>
      </c>
      <c r="U31" s="20" t="inlineStr">
        <is>
          <t>Bodega de pruebas</t>
        </is>
      </c>
      <c r="V31" s="21" t="inlineStr">
        <is>
          <t>Producto ficticio de prueba para validacion de busquedas, inventario, ventas y compras en FERREPRO. No corresponde a inventario real.</t>
        </is>
      </c>
      <c r="W31" s="26" t="n">
        <v>800</v>
      </c>
      <c r="X31" s="27" t="n"/>
      <c r="Y31" s="20" t="n"/>
      <c r="Z31" s="20" t="n"/>
      <c r="AA31" s="26">
        <f>IF(X31="","",X31-IF(W31="",0,W31))</f>
        <v/>
      </c>
      <c r="AB31" s="28">
        <f>IF(OR(X31="",M31=""),"",X31*M31)</f>
        <v/>
      </c>
      <c r="AC31" s="28">
        <f>IF(OR(X31="",N31=""),"",X31*N31)</f>
        <v/>
      </c>
      <c r="AD31" s="28">
        <f>IF(OR(M31="",N31=""),"",N31-M31)</f>
        <v/>
      </c>
      <c r="AE31" s="29">
        <f>IFERROR(IF(M31&gt;0,(N31-M31)/M31,""),"")</f>
        <v/>
      </c>
      <c r="AF31" s="30" t="n"/>
      <c r="AG31" s="30" t="inlineStr">
        <is>
          <t>PENDIENTE</t>
        </is>
      </c>
      <c r="AH31" s="18">
        <f>IF(NOT(OR(B31="EXISTENTE",COUNTA(G31,H31,I31,J31,K31,M31,N31,U31,V31,X31,Y31,Z31,AF31,AJ31)&gt;0)),"",IF(AK31&lt;&gt;"","REVISAR",IF(OR(G31="",H31="",M31="",N31="",O31="",P31="",X31=""),"INCOMPLETO",IF(AI31&lt;&gt;"","REVISAR",IF(AND(AF31&lt;&gt;"",AG31="ESCANEADO"),"LISTO_COMPLETO","LISTO_SIN_BARCODE")))))</f>
        <v/>
      </c>
      <c r="AI31" s="17">
        <f>IF(NOT(OR(B31="EXISTENTE",COUNTA(G31,H31,I31,J31,K31,M31,N31,U31,V31,X31,Y31,Z31,AF31,AJ31)&gt;0)),"",TEXTJOIN(" | ",TRUE,IF(A31="","Falta ID staging",""),IF(COUNTIF($A$5:$A$445,A31)&gt;1,"ID staging duplicado",""),IF(G31="","Falta nombre",""),IF(LEN(G31)&gt;150,"Nombre &gt;150 caracteres",""),IF(H31="","Falta categoría",IF(COUNTIF(CategoriasLista,H31)=0,"Categoría inválida","")),IF(M31="","Falta precio compra",IF(OR(NOT(ISNUMBER(M31)),M31&lt;0),"Precio compra inválido","")),IF(N31="","Falta precio venta",IF(OR(NOT(ISNUMBER(N31)),N31&lt;=0,N31&lt;M31),"Precio venta inválido","")),IF(O31="","Falta stock mínimo",IF(OR(NOT(ISNUMBER(O31)),O31&lt;0,MOD(O31,1)&lt;&gt;0),"Stock mínimo inválido","")),IF(P31="","Falta unidad",IF(COUNTIF(UnidadesLista,P31)=0,"Unidad inválida","")),IF(AND(K31&lt;&gt;"",COUNTIF(ProveedoresLista,K31)=0),"Proveedor no catalogado",""),IF(X31="","Falta cantidad contada",IF(OR(NOT(ISNUMBER(X31)),X31&lt;0,ABS(X31*1000-ROUND(X31*1000,0))&gt;0.0000001),"Cantidad inválida",IF(AND(Q31="NO",MOD(X31,1)&lt;&gt;0),"Cantidad fraccionaria no permitida",""))),IF(AND(R31="SI",OR(NOT(ISNUMBER(S31)),S31&lt;1,MOD(S31,1)&lt;&gt;0)),"Empaque inválido",""),IF(OR(AND(AF31="",AG31="ESCANEADO"),AND(AF31&lt;&gt;"",AG31&lt;&gt;"ESCANEADO")),"Barcode/estado inconsistente",""),IF(AK31&lt;&gt;"",AK31,"")))</f>
        <v/>
      </c>
      <c r="AJ31" s="21" t="n"/>
      <c r="AK31" s="17">
        <f>IF(G31="","",IF(OR(COUNTIFS($G$5:$G$445,G31,$I$5:$I$445,I31,$J$5:$J$445,J31,$P$5:$P$445,P31)&gt;1,AND(AF31&lt;&gt;"",COUNTIF($AF$5:$AF$445,AF31)&gt;1)),"REVISAR_POSIBLE_DUPLICADO",""))</f>
        <v/>
      </c>
    </row>
    <row r="32">
      <c r="A32" s="17" t="inlineStr">
        <is>
          <t>135d285f-44e6-5778-9301-d4b1da989f5c</t>
        </is>
      </c>
      <c r="B32" s="18" t="inlineStr">
        <is>
          <t>EXISTENTE</t>
        </is>
      </c>
      <c r="C32" s="18" t="inlineStr">
        <is>
          <t>ACTIVO</t>
        </is>
      </c>
      <c r="D32" s="18" t="n">
        <v>67</v>
      </c>
      <c r="E32" s="17" t="inlineStr">
        <is>
          <t>61bad747-bfe6-4001-8faa-cfd0137812f6</t>
        </is>
      </c>
      <c r="F32" s="17" t="inlineStr">
        <is>
          <t>PRB-FER-0015</t>
        </is>
      </c>
      <c r="G32" s="19" t="inlineStr">
        <is>
          <t>Remache pop 1/8</t>
        </is>
      </c>
      <c r="H32" s="19" t="inlineStr">
        <is>
          <t>Tornillería y fijaciones</t>
        </is>
      </c>
      <c r="I32" s="20" t="inlineStr">
        <is>
          <t>FixMaster</t>
        </is>
      </c>
      <c r="J32" s="20" t="inlineStr">
        <is>
          <t>Unidad</t>
        </is>
      </c>
      <c r="K32" s="21" t="inlineStr">
        <is>
          <t>Proveedor Prueba Plomería Nacional</t>
        </is>
      </c>
      <c r="L32" s="18" t="n">
        <v>15</v>
      </c>
      <c r="M32" s="22" t="n">
        <v>220</v>
      </c>
      <c r="N32" s="22" t="n">
        <v>310</v>
      </c>
      <c r="O32" s="23" t="n">
        <v>120</v>
      </c>
      <c r="P32" s="24" t="inlineStr">
        <is>
          <t>UNIDAD</t>
        </is>
      </c>
      <c r="Q32" s="20" t="inlineStr">
        <is>
          <t>NO</t>
        </is>
      </c>
      <c r="R32" s="20" t="inlineStr">
        <is>
          <t>SI</t>
        </is>
      </c>
      <c r="S32" s="25" t="n">
        <v>50</v>
      </c>
      <c r="T32" s="20" t="inlineStr">
        <is>
          <t>SI</t>
        </is>
      </c>
      <c r="U32" s="20" t="inlineStr">
        <is>
          <t>Bodega de pruebas</t>
        </is>
      </c>
      <c r="V32" s="21" t="inlineStr">
        <is>
          <t>Producto ficticio de prueba para validacion de busquedas, inventario, ventas y compras en FERREPRO. No corresponde a inventario real.</t>
        </is>
      </c>
      <c r="W32" s="26" t="n">
        <v>600</v>
      </c>
      <c r="X32" s="27" t="n"/>
      <c r="Y32" s="20" t="n"/>
      <c r="Z32" s="20" t="n"/>
      <c r="AA32" s="26">
        <f>IF(X32="","",X32-IF(W32="",0,W32))</f>
        <v/>
      </c>
      <c r="AB32" s="28">
        <f>IF(OR(X32="",M32=""),"",X32*M32)</f>
        <v/>
      </c>
      <c r="AC32" s="28">
        <f>IF(OR(X32="",N32=""),"",X32*N32)</f>
        <v/>
      </c>
      <c r="AD32" s="28">
        <f>IF(OR(M32="",N32=""),"",N32-M32)</f>
        <v/>
      </c>
      <c r="AE32" s="29">
        <f>IFERROR(IF(M32&gt;0,(N32-M32)/M32,""),"")</f>
        <v/>
      </c>
      <c r="AF32" s="30" t="n"/>
      <c r="AG32" s="30" t="inlineStr">
        <is>
          <t>PENDIENTE</t>
        </is>
      </c>
      <c r="AH32" s="18">
        <f>IF(NOT(OR(B32="EXISTENTE",COUNTA(G32,H32,I32,J32,K32,M32,N32,U32,V32,X32,Y32,Z32,AF32,AJ32)&gt;0)),"",IF(AK32&lt;&gt;"","REVISAR",IF(OR(G32="",H32="",M32="",N32="",O32="",P32="",X32=""),"INCOMPLETO",IF(AI32&lt;&gt;"","REVISAR",IF(AND(AF32&lt;&gt;"",AG32="ESCANEADO"),"LISTO_COMPLETO","LISTO_SIN_BARCODE")))))</f>
        <v/>
      </c>
      <c r="AI32" s="17">
        <f>IF(NOT(OR(B32="EXISTENTE",COUNTA(G32,H32,I32,J32,K32,M32,N32,U32,V32,X32,Y32,Z32,AF32,AJ32)&gt;0)),"",TEXTJOIN(" | ",TRUE,IF(A32="","Falta ID staging",""),IF(COUNTIF($A$5:$A$445,A32)&gt;1,"ID staging duplicado",""),IF(G32="","Falta nombre",""),IF(LEN(G32)&gt;150,"Nombre &gt;150 caracteres",""),IF(H32="","Falta categoría",IF(COUNTIF(CategoriasLista,H32)=0,"Categoría inválida","")),IF(M32="","Falta precio compra",IF(OR(NOT(ISNUMBER(M32)),M32&lt;0),"Precio compra inválido","")),IF(N32="","Falta precio venta",IF(OR(NOT(ISNUMBER(N32)),N32&lt;=0,N32&lt;M32),"Precio venta inválido","")),IF(O32="","Falta stock mínimo",IF(OR(NOT(ISNUMBER(O32)),O32&lt;0,MOD(O32,1)&lt;&gt;0),"Stock mínimo inválido","")),IF(P32="","Falta unidad",IF(COUNTIF(UnidadesLista,P32)=0,"Unidad inválida","")),IF(AND(K32&lt;&gt;"",COUNTIF(ProveedoresLista,K32)=0),"Proveedor no catalogado",""),IF(X32="","Falta cantidad contada",IF(OR(NOT(ISNUMBER(X32)),X32&lt;0,ABS(X32*1000-ROUND(X32*1000,0))&gt;0.0000001),"Cantidad inválida",IF(AND(Q32="NO",MOD(X32,1)&lt;&gt;0),"Cantidad fraccionaria no permitida",""))),IF(AND(R32="SI",OR(NOT(ISNUMBER(S32)),S32&lt;1,MOD(S32,1)&lt;&gt;0)),"Empaque inválido",""),IF(OR(AND(AF32="",AG32="ESCANEADO"),AND(AF32&lt;&gt;"",AG32&lt;&gt;"ESCANEADO")),"Barcode/estado inconsistente",""),IF(AK32&lt;&gt;"",AK32,"")))</f>
        <v/>
      </c>
      <c r="AJ32" s="21" t="n"/>
      <c r="AK32" s="17">
        <f>IF(G32="","",IF(OR(COUNTIFS($G$5:$G$445,G32,$I$5:$I$445,I32,$J$5:$J$445,J32,$P$5:$P$445,P32)&gt;1,AND(AF32&lt;&gt;"",COUNTIF($AF$5:$AF$445,AF32)&gt;1)),"REVISAR_POSIBLE_DUPLICADO",""))</f>
        <v/>
      </c>
    </row>
    <row r="33">
      <c r="A33" s="17" t="inlineStr">
        <is>
          <t>a058a083-3f32-5728-8c3c-cd70cd338bd6</t>
        </is>
      </c>
      <c r="B33" s="18" t="inlineStr">
        <is>
          <t>EXISTENTE</t>
        </is>
      </c>
      <c r="C33" s="18" t="inlineStr">
        <is>
          <t>ACTIVO</t>
        </is>
      </c>
      <c r="D33" s="18" t="n">
        <v>68</v>
      </c>
      <c r="E33" s="17" t="inlineStr">
        <is>
          <t>63e1aed2-f9c0-415c-9c24-50cd1629446d</t>
        </is>
      </c>
      <c r="F33" s="17" t="inlineStr">
        <is>
          <t>PRB-FER-0016</t>
        </is>
      </c>
      <c r="G33" s="19" t="inlineStr">
        <is>
          <t>Martillo uña 16 oz</t>
        </is>
      </c>
      <c r="H33" s="19" t="inlineStr">
        <is>
          <t>Herramientas Manuales</t>
        </is>
      </c>
      <c r="I33" s="20" t="inlineStr">
        <is>
          <t>Andina Tools</t>
        </is>
      </c>
      <c r="J33" s="20" t="inlineStr">
        <is>
          <t>Unidad</t>
        </is>
      </c>
      <c r="K33" s="21" t="inlineStr">
        <is>
          <t>Proveedor Prueba Seguridad y Protección</t>
        </is>
      </c>
      <c r="L33" s="18" t="n">
        <v>16</v>
      </c>
      <c r="M33" s="22" t="n">
        <v>22000</v>
      </c>
      <c r="N33" s="22" t="n">
        <v>31000</v>
      </c>
      <c r="O33" s="23" t="n">
        <v>5</v>
      </c>
      <c r="P33" s="24" t="inlineStr">
        <is>
          <t>UNIDAD</t>
        </is>
      </c>
      <c r="Q33" s="20" t="inlineStr">
        <is>
          <t>NO</t>
        </is>
      </c>
      <c r="R33" s="20" t="inlineStr">
        <is>
          <t>NO</t>
        </is>
      </c>
      <c r="S33" s="25" t="n">
        <v>1</v>
      </c>
      <c r="T33" s="20" t="inlineStr">
        <is>
          <t>NO</t>
        </is>
      </c>
      <c r="U33" s="20" t="inlineStr">
        <is>
          <t>Bodega de pruebas</t>
        </is>
      </c>
      <c r="V33" s="21" t="inlineStr">
        <is>
          <t>Producto ficticio de prueba para validacion de busquedas, inventario, ventas y compras en FERREPRO. No corresponde a inventario real.</t>
        </is>
      </c>
      <c r="W33" s="26" t="n">
        <v>22</v>
      </c>
      <c r="X33" s="27" t="n"/>
      <c r="Y33" s="20" t="n"/>
      <c r="Z33" s="20" t="n"/>
      <c r="AA33" s="26">
        <f>IF(X33="","",X33-IF(W33="",0,W33))</f>
        <v/>
      </c>
      <c r="AB33" s="28">
        <f>IF(OR(X33="",M33=""),"",X33*M33)</f>
        <v/>
      </c>
      <c r="AC33" s="28">
        <f>IF(OR(X33="",N33=""),"",X33*N33)</f>
        <v/>
      </c>
      <c r="AD33" s="28">
        <f>IF(OR(M33="",N33=""),"",N33-M33)</f>
        <v/>
      </c>
      <c r="AE33" s="29">
        <f>IFERROR(IF(M33&gt;0,(N33-M33)/M33,""),"")</f>
        <v/>
      </c>
      <c r="AF33" s="30" t="n"/>
      <c r="AG33" s="30" t="inlineStr">
        <is>
          <t>PENDIENTE</t>
        </is>
      </c>
      <c r="AH33" s="18">
        <f>IF(NOT(OR(B33="EXISTENTE",COUNTA(G33,H33,I33,J33,K33,M33,N33,U33,V33,X33,Y33,Z33,AF33,AJ33)&gt;0)),"",IF(AK33&lt;&gt;"","REVISAR",IF(OR(G33="",H33="",M33="",N33="",O33="",P33="",X33=""),"INCOMPLETO",IF(AI33&lt;&gt;"","REVISAR",IF(AND(AF33&lt;&gt;"",AG33="ESCANEADO"),"LISTO_COMPLETO","LISTO_SIN_BARCODE")))))</f>
        <v/>
      </c>
      <c r="AI33" s="17">
        <f>IF(NOT(OR(B33="EXISTENTE",COUNTA(G33,H33,I33,J33,K33,M33,N33,U33,V33,X33,Y33,Z33,AF33,AJ33)&gt;0)),"",TEXTJOIN(" | ",TRUE,IF(A33="","Falta ID staging",""),IF(COUNTIF($A$5:$A$445,A33)&gt;1,"ID staging duplicado",""),IF(G33="","Falta nombre",""),IF(LEN(G33)&gt;150,"Nombre &gt;150 caracteres",""),IF(H33="","Falta categoría",IF(COUNTIF(CategoriasLista,H33)=0,"Categoría inválida","")),IF(M33="","Falta precio compra",IF(OR(NOT(ISNUMBER(M33)),M33&lt;0),"Precio compra inválido","")),IF(N33="","Falta precio venta",IF(OR(NOT(ISNUMBER(N33)),N33&lt;=0,N33&lt;M33),"Precio venta inválido","")),IF(O33="","Falta stock mínimo",IF(OR(NOT(ISNUMBER(O33)),O33&lt;0,MOD(O33,1)&lt;&gt;0),"Stock mínimo inválido","")),IF(P33="","Falta unidad",IF(COUNTIF(UnidadesLista,P33)=0,"Unidad inválida","")),IF(AND(K33&lt;&gt;"",COUNTIF(ProveedoresLista,K33)=0),"Proveedor no catalogado",""),IF(X33="","Falta cantidad contada",IF(OR(NOT(ISNUMBER(X33)),X33&lt;0,ABS(X33*1000-ROUND(X33*1000,0))&gt;0.0000001),"Cantidad inválida",IF(AND(Q33="NO",MOD(X33,1)&lt;&gt;0),"Cantidad fraccionaria no permitida",""))),IF(AND(R33="SI",OR(NOT(ISNUMBER(S33)),S33&lt;1,MOD(S33,1)&lt;&gt;0)),"Empaque inválido",""),IF(OR(AND(AF33="",AG33="ESCANEADO"),AND(AF33&lt;&gt;"",AG33&lt;&gt;"ESCANEADO")),"Barcode/estado inconsistente",""),IF(AK33&lt;&gt;"",AK33,"")))</f>
        <v/>
      </c>
      <c r="AJ33" s="21" t="n"/>
      <c r="AK33" s="17">
        <f>IF(G33="","",IF(OR(COUNTIFS($G$5:$G$445,G33,$I$5:$I$445,I33,$J$5:$J$445,J33,$P$5:$P$445,P33)&gt;1,AND(AF33&lt;&gt;"",COUNTIF($AF$5:$AF$445,AF33)&gt;1)),"REVISAR_POSIBLE_DUPLICADO",""))</f>
        <v/>
      </c>
    </row>
    <row r="34">
      <c r="A34" s="17" t="inlineStr">
        <is>
          <t>0fdce510-b1e7-5ddf-866e-bcf5d486edb2</t>
        </is>
      </c>
      <c r="B34" s="18" t="inlineStr">
        <is>
          <t>EXISTENTE</t>
        </is>
      </c>
      <c r="C34" s="18" t="inlineStr">
        <is>
          <t>ACTIVO</t>
        </is>
      </c>
      <c r="D34" s="18" t="n">
        <v>69</v>
      </c>
      <c r="E34" s="17" t="inlineStr">
        <is>
          <t>ba5a0f0e-8c56-4a1f-9fea-9a7e65a0568d</t>
        </is>
      </c>
      <c r="F34" s="17" t="inlineStr">
        <is>
          <t>PRB-FER-0017</t>
        </is>
      </c>
      <c r="G34" s="19" t="inlineStr">
        <is>
          <t>Martillo bola 24 oz</t>
        </is>
      </c>
      <c r="H34" s="19" t="inlineStr">
        <is>
          <t>Herramientas Manuales</t>
        </is>
      </c>
      <c r="I34" s="20" t="inlineStr">
        <is>
          <t>Andina Tools</t>
        </is>
      </c>
      <c r="J34" s="20" t="inlineStr">
        <is>
          <t>Unidad</t>
        </is>
      </c>
      <c r="K34" s="21" t="inlineStr">
        <is>
          <t>Proveedor Prueba Ferretería Central S.A.S.</t>
        </is>
      </c>
      <c r="L34" s="18" t="n">
        <v>9</v>
      </c>
      <c r="M34" s="22" t="n">
        <v>28000</v>
      </c>
      <c r="N34" s="22" t="n">
        <v>39000</v>
      </c>
      <c r="O34" s="23" t="n">
        <v>4</v>
      </c>
      <c r="P34" s="24" t="inlineStr">
        <is>
          <t>UNIDAD</t>
        </is>
      </c>
      <c r="Q34" s="20" t="inlineStr">
        <is>
          <t>NO</t>
        </is>
      </c>
      <c r="R34" s="20" t="inlineStr">
        <is>
          <t>NO</t>
        </is>
      </c>
      <c r="S34" s="25" t="n">
        <v>1</v>
      </c>
      <c r="T34" s="20" t="inlineStr">
        <is>
          <t>NO</t>
        </is>
      </c>
      <c r="U34" s="20" t="inlineStr">
        <is>
          <t>Bodega de pruebas</t>
        </is>
      </c>
      <c r="V34" s="21" t="inlineStr">
        <is>
          <t>Producto ficticio de prueba para validacion de busquedas, inventario, ventas y compras en FERREPRO. No corresponde a inventario real.</t>
        </is>
      </c>
      <c r="W34" s="26" t="n">
        <v>16</v>
      </c>
      <c r="X34" s="27" t="n"/>
      <c r="Y34" s="20" t="n"/>
      <c r="Z34" s="20" t="n"/>
      <c r="AA34" s="26">
        <f>IF(X34="","",X34-IF(W34="",0,W34))</f>
        <v/>
      </c>
      <c r="AB34" s="28">
        <f>IF(OR(X34="",M34=""),"",X34*M34)</f>
        <v/>
      </c>
      <c r="AC34" s="28">
        <f>IF(OR(X34="",N34=""),"",X34*N34)</f>
        <v/>
      </c>
      <c r="AD34" s="28">
        <f>IF(OR(M34="",N34=""),"",N34-M34)</f>
        <v/>
      </c>
      <c r="AE34" s="29">
        <f>IFERROR(IF(M34&gt;0,(N34-M34)/M34,""),"")</f>
        <v/>
      </c>
      <c r="AF34" s="30" t="n"/>
      <c r="AG34" s="30" t="inlineStr">
        <is>
          <t>PENDIENTE</t>
        </is>
      </c>
      <c r="AH34" s="18">
        <f>IF(NOT(OR(B34="EXISTENTE",COUNTA(G34,H34,I34,J34,K34,M34,N34,U34,V34,X34,Y34,Z34,AF34,AJ34)&gt;0)),"",IF(AK34&lt;&gt;"","REVISAR",IF(OR(G34="",H34="",M34="",N34="",O34="",P34="",X34=""),"INCOMPLETO",IF(AI34&lt;&gt;"","REVISAR",IF(AND(AF34&lt;&gt;"",AG34="ESCANEADO"),"LISTO_COMPLETO","LISTO_SIN_BARCODE")))))</f>
        <v/>
      </c>
      <c r="AI34" s="17">
        <f>IF(NOT(OR(B34="EXISTENTE",COUNTA(G34,H34,I34,J34,K34,M34,N34,U34,V34,X34,Y34,Z34,AF34,AJ34)&gt;0)),"",TEXTJOIN(" | ",TRUE,IF(A34="","Falta ID staging",""),IF(COUNTIF($A$5:$A$445,A34)&gt;1,"ID staging duplicado",""),IF(G34="","Falta nombre",""),IF(LEN(G34)&gt;150,"Nombre &gt;150 caracteres",""),IF(H34="","Falta categoría",IF(COUNTIF(CategoriasLista,H34)=0,"Categoría inválida","")),IF(M34="","Falta precio compra",IF(OR(NOT(ISNUMBER(M34)),M34&lt;0),"Precio compra inválido","")),IF(N34="","Falta precio venta",IF(OR(NOT(ISNUMBER(N34)),N34&lt;=0,N34&lt;M34),"Precio venta inválido","")),IF(O34="","Falta stock mínimo",IF(OR(NOT(ISNUMBER(O34)),O34&lt;0,MOD(O34,1)&lt;&gt;0),"Stock mínimo inválido","")),IF(P34="","Falta unidad",IF(COUNTIF(UnidadesLista,P34)=0,"Unidad inválida","")),IF(AND(K34&lt;&gt;"",COUNTIF(ProveedoresLista,K34)=0),"Proveedor no catalogado",""),IF(X34="","Falta cantidad contada",IF(OR(NOT(ISNUMBER(X34)),X34&lt;0,ABS(X34*1000-ROUND(X34*1000,0))&gt;0.0000001),"Cantidad inválida",IF(AND(Q34="NO",MOD(X34,1)&lt;&gt;0),"Cantidad fraccionaria no permitida",""))),IF(AND(R34="SI",OR(NOT(ISNUMBER(S34)),S34&lt;1,MOD(S34,1)&lt;&gt;0)),"Empaque inválido",""),IF(OR(AND(AF34="",AG34="ESCANEADO"),AND(AF34&lt;&gt;"",AG34&lt;&gt;"ESCANEADO")),"Barcode/estado inconsistente",""),IF(AK34&lt;&gt;"",AK34,"")))</f>
        <v/>
      </c>
      <c r="AJ34" s="21" t="n"/>
      <c r="AK34" s="17">
        <f>IF(G34="","",IF(OR(COUNTIFS($G$5:$G$445,G34,$I$5:$I$445,I34,$J$5:$J$445,J34,$P$5:$P$445,P34)&gt;1,AND(AF34&lt;&gt;"",COUNTIF($AF$5:$AF$445,AF34)&gt;1)),"REVISAR_POSIBLE_DUPLICADO",""))</f>
        <v/>
      </c>
    </row>
    <row r="35">
      <c r="A35" s="17" t="inlineStr">
        <is>
          <t>bd2958b0-6b16-5b86-8d05-ad57f71120ca</t>
        </is>
      </c>
      <c r="B35" s="18" t="inlineStr">
        <is>
          <t>EXISTENTE</t>
        </is>
      </c>
      <c r="C35" s="18" t="inlineStr">
        <is>
          <t>ACTIVO</t>
        </is>
      </c>
      <c r="D35" s="18" t="n">
        <v>70</v>
      </c>
      <c r="E35" s="17" t="inlineStr">
        <is>
          <t>9313107a-e59c-4e54-9d0d-7fe61af8121d</t>
        </is>
      </c>
      <c r="F35" s="17" t="inlineStr">
        <is>
          <t>PRB-FER-0018</t>
        </is>
      </c>
      <c r="G35" s="19" t="inlineStr">
        <is>
          <t>Alicate universal 8 pulgadas</t>
        </is>
      </c>
      <c r="H35" s="19" t="inlineStr">
        <is>
          <t>Herramientas Manuales</t>
        </is>
      </c>
      <c r="I35" s="20" t="inlineStr">
        <is>
          <t>FerroMax</t>
        </is>
      </c>
      <c r="J35" s="20" t="inlineStr">
        <is>
          <t>Unidad</t>
        </is>
      </c>
      <c r="K35" s="21" t="inlineStr">
        <is>
          <t>Proveedor Prueba ConstruMateriales del Norte</t>
        </is>
      </c>
      <c r="L35" s="18" t="n">
        <v>10</v>
      </c>
      <c r="M35" s="22" t="n">
        <v>18000</v>
      </c>
      <c r="N35" s="22" t="n">
        <v>26000</v>
      </c>
      <c r="O35" s="23" t="n">
        <v>7</v>
      </c>
      <c r="P35" s="24" t="inlineStr">
        <is>
          <t>UNIDAD</t>
        </is>
      </c>
      <c r="Q35" s="20" t="inlineStr">
        <is>
          <t>NO</t>
        </is>
      </c>
      <c r="R35" s="20" t="inlineStr">
        <is>
          <t>NO</t>
        </is>
      </c>
      <c r="S35" s="25" t="n">
        <v>1</v>
      </c>
      <c r="T35" s="20" t="inlineStr">
        <is>
          <t>NO</t>
        </is>
      </c>
      <c r="U35" s="20" t="inlineStr">
        <is>
          <t>Bodega de pruebas</t>
        </is>
      </c>
      <c r="V35" s="21" t="inlineStr">
        <is>
          <t>Producto ficticio de prueba para validacion de busquedas, inventario, ventas y compras en FERREPRO. No corresponde a inventario real.</t>
        </is>
      </c>
      <c r="W35" s="26" t="n">
        <v>28</v>
      </c>
      <c r="X35" s="27" t="n"/>
      <c r="Y35" s="20" t="n"/>
      <c r="Z35" s="20" t="n"/>
      <c r="AA35" s="26">
        <f>IF(X35="","",X35-IF(W35="",0,W35))</f>
        <v/>
      </c>
      <c r="AB35" s="28">
        <f>IF(OR(X35="",M35=""),"",X35*M35)</f>
        <v/>
      </c>
      <c r="AC35" s="28">
        <f>IF(OR(X35="",N35=""),"",X35*N35)</f>
        <v/>
      </c>
      <c r="AD35" s="28">
        <f>IF(OR(M35="",N35=""),"",N35-M35)</f>
        <v/>
      </c>
      <c r="AE35" s="29">
        <f>IFERROR(IF(M35&gt;0,(N35-M35)/M35,""),"")</f>
        <v/>
      </c>
      <c r="AF35" s="30" t="n"/>
      <c r="AG35" s="30" t="inlineStr">
        <is>
          <t>PENDIENTE</t>
        </is>
      </c>
      <c r="AH35" s="18">
        <f>IF(NOT(OR(B35="EXISTENTE",COUNTA(G35,H35,I35,J35,K35,M35,N35,U35,V35,X35,Y35,Z35,AF35,AJ35)&gt;0)),"",IF(AK35&lt;&gt;"","REVISAR",IF(OR(G35="",H35="",M35="",N35="",O35="",P35="",X35=""),"INCOMPLETO",IF(AI35&lt;&gt;"","REVISAR",IF(AND(AF35&lt;&gt;"",AG35="ESCANEADO"),"LISTO_COMPLETO","LISTO_SIN_BARCODE")))))</f>
        <v/>
      </c>
      <c r="AI35" s="17">
        <f>IF(NOT(OR(B35="EXISTENTE",COUNTA(G35,H35,I35,J35,K35,M35,N35,U35,V35,X35,Y35,Z35,AF35,AJ35)&gt;0)),"",TEXTJOIN(" | ",TRUE,IF(A35="","Falta ID staging",""),IF(COUNTIF($A$5:$A$445,A35)&gt;1,"ID staging duplicado",""),IF(G35="","Falta nombre",""),IF(LEN(G35)&gt;150,"Nombre &gt;150 caracteres",""),IF(H35="","Falta categoría",IF(COUNTIF(CategoriasLista,H35)=0,"Categoría inválida","")),IF(M35="","Falta precio compra",IF(OR(NOT(ISNUMBER(M35)),M35&lt;0),"Precio compra inválido","")),IF(N35="","Falta precio venta",IF(OR(NOT(ISNUMBER(N35)),N35&lt;=0,N35&lt;M35),"Precio venta inválido","")),IF(O35="","Falta stock mínimo",IF(OR(NOT(ISNUMBER(O35)),O35&lt;0,MOD(O35,1)&lt;&gt;0),"Stock mínimo inválido","")),IF(P35="","Falta unidad",IF(COUNTIF(UnidadesLista,P35)=0,"Unidad inválida","")),IF(AND(K35&lt;&gt;"",COUNTIF(ProveedoresLista,K35)=0),"Proveedor no catalogado",""),IF(X35="","Falta cantidad contada",IF(OR(NOT(ISNUMBER(X35)),X35&lt;0,ABS(X35*1000-ROUND(X35*1000,0))&gt;0.0000001),"Cantidad inválida",IF(AND(Q35="NO",MOD(X35,1)&lt;&gt;0),"Cantidad fraccionaria no permitida",""))),IF(AND(R35="SI",OR(NOT(ISNUMBER(S35)),S35&lt;1,MOD(S35,1)&lt;&gt;0)),"Empaque inválido",""),IF(OR(AND(AF35="",AG35="ESCANEADO"),AND(AF35&lt;&gt;"",AG35&lt;&gt;"ESCANEADO")),"Barcode/estado inconsistente",""),IF(AK35&lt;&gt;"",AK35,"")))</f>
        <v/>
      </c>
      <c r="AJ35" s="21" t="n"/>
      <c r="AK35" s="17">
        <f>IF(G35="","",IF(OR(COUNTIFS($G$5:$G$445,G35,$I$5:$I$445,I35,$J$5:$J$445,J35,$P$5:$P$445,P35)&gt;1,AND(AF35&lt;&gt;"",COUNTIF($AF$5:$AF$445,AF35)&gt;1)),"REVISAR_POSIBLE_DUPLICADO",""))</f>
        <v/>
      </c>
    </row>
    <row r="36">
      <c r="A36" s="17" t="inlineStr">
        <is>
          <t>dd9274aa-dcbe-568a-a13f-2cfd59c12abe</t>
        </is>
      </c>
      <c r="B36" s="18" t="inlineStr">
        <is>
          <t>EXISTENTE</t>
        </is>
      </c>
      <c r="C36" s="18" t="inlineStr">
        <is>
          <t>ACTIVO</t>
        </is>
      </c>
      <c r="D36" s="18" t="n">
        <v>71</v>
      </c>
      <c r="E36" s="17" t="inlineStr">
        <is>
          <t>efd6eb6e-b333-410c-9b95-83b25c4e6bdb</t>
        </is>
      </c>
      <c r="F36" s="17" t="inlineStr">
        <is>
          <t>PRB-FER-0019</t>
        </is>
      </c>
      <c r="G36" s="19" t="inlineStr">
        <is>
          <t>Alicate de presión 10 pulgadas</t>
        </is>
      </c>
      <c r="H36" s="19" t="inlineStr">
        <is>
          <t>Herramientas Manuales</t>
        </is>
      </c>
      <c r="I36" s="20" t="inlineStr">
        <is>
          <t>FerroMax</t>
        </is>
      </c>
      <c r="J36" s="20" t="inlineStr">
        <is>
          <t>Unidad</t>
        </is>
      </c>
      <c r="K36" s="21" t="inlineStr">
        <is>
          <t>Proveedor Prueba Tornillos y Fijaciones Andinas</t>
        </is>
      </c>
      <c r="L36" s="18" t="n">
        <v>11</v>
      </c>
      <c r="M36" s="22" t="n">
        <v>26000</v>
      </c>
      <c r="N36" s="22" t="n">
        <v>37000</v>
      </c>
      <c r="O36" s="23" t="n">
        <v>5</v>
      </c>
      <c r="P36" s="24" t="inlineStr">
        <is>
          <t>UNIDAD</t>
        </is>
      </c>
      <c r="Q36" s="20" t="inlineStr">
        <is>
          <t>NO</t>
        </is>
      </c>
      <c r="R36" s="20" t="inlineStr">
        <is>
          <t>NO</t>
        </is>
      </c>
      <c r="S36" s="25" t="n">
        <v>1</v>
      </c>
      <c r="T36" s="20" t="inlineStr">
        <is>
          <t>NO</t>
        </is>
      </c>
      <c r="U36" s="20" t="inlineStr">
        <is>
          <t>Bodega de pruebas</t>
        </is>
      </c>
      <c r="V36" s="21" t="inlineStr">
        <is>
          <t>Producto ficticio de prueba para validacion de busquedas, inventario, ventas y compras en FERREPRO. No corresponde a inventario real.</t>
        </is>
      </c>
      <c r="W36" s="26" t="n">
        <v>20</v>
      </c>
      <c r="X36" s="27" t="n"/>
      <c r="Y36" s="20" t="n"/>
      <c r="Z36" s="20" t="n"/>
      <c r="AA36" s="26">
        <f>IF(X36="","",X36-IF(W36="",0,W36))</f>
        <v/>
      </c>
      <c r="AB36" s="28">
        <f>IF(OR(X36="",M36=""),"",X36*M36)</f>
        <v/>
      </c>
      <c r="AC36" s="28">
        <f>IF(OR(X36="",N36=""),"",X36*N36)</f>
        <v/>
      </c>
      <c r="AD36" s="28">
        <f>IF(OR(M36="",N36=""),"",N36-M36)</f>
        <v/>
      </c>
      <c r="AE36" s="29">
        <f>IFERROR(IF(M36&gt;0,(N36-M36)/M36,""),"")</f>
        <v/>
      </c>
      <c r="AF36" s="30" t="n"/>
      <c r="AG36" s="30" t="inlineStr">
        <is>
          <t>PENDIENTE</t>
        </is>
      </c>
      <c r="AH36" s="18">
        <f>IF(NOT(OR(B36="EXISTENTE",COUNTA(G36,H36,I36,J36,K36,M36,N36,U36,V36,X36,Y36,Z36,AF36,AJ36)&gt;0)),"",IF(AK36&lt;&gt;"","REVISAR",IF(OR(G36="",H36="",M36="",N36="",O36="",P36="",X36=""),"INCOMPLETO",IF(AI36&lt;&gt;"","REVISAR",IF(AND(AF36&lt;&gt;"",AG36="ESCANEADO"),"LISTO_COMPLETO","LISTO_SIN_BARCODE")))))</f>
        <v/>
      </c>
      <c r="AI36" s="17">
        <f>IF(NOT(OR(B36="EXISTENTE",COUNTA(G36,H36,I36,J36,K36,M36,N36,U36,V36,X36,Y36,Z36,AF36,AJ36)&gt;0)),"",TEXTJOIN(" | ",TRUE,IF(A36="","Falta ID staging",""),IF(COUNTIF($A$5:$A$445,A36)&gt;1,"ID staging duplicado",""),IF(G36="","Falta nombre",""),IF(LEN(G36)&gt;150,"Nombre &gt;150 caracteres",""),IF(H36="","Falta categoría",IF(COUNTIF(CategoriasLista,H36)=0,"Categoría inválida","")),IF(M36="","Falta precio compra",IF(OR(NOT(ISNUMBER(M36)),M36&lt;0),"Precio compra inválido","")),IF(N36="","Falta precio venta",IF(OR(NOT(ISNUMBER(N36)),N36&lt;=0,N36&lt;M36),"Precio venta inválido","")),IF(O36="","Falta stock mínimo",IF(OR(NOT(ISNUMBER(O36)),O36&lt;0,MOD(O36,1)&lt;&gt;0),"Stock mínimo inválido","")),IF(P36="","Falta unidad",IF(COUNTIF(UnidadesLista,P36)=0,"Unidad inválida","")),IF(AND(K36&lt;&gt;"",COUNTIF(ProveedoresLista,K36)=0),"Proveedor no catalogado",""),IF(X36="","Falta cantidad contada",IF(OR(NOT(ISNUMBER(X36)),X36&lt;0,ABS(X36*1000-ROUND(X36*1000,0))&gt;0.0000001),"Cantidad inválida",IF(AND(Q36="NO",MOD(X36,1)&lt;&gt;0),"Cantidad fraccionaria no permitida",""))),IF(AND(R36="SI",OR(NOT(ISNUMBER(S36)),S36&lt;1,MOD(S36,1)&lt;&gt;0)),"Empaque inválido",""),IF(OR(AND(AF36="",AG36="ESCANEADO"),AND(AF36&lt;&gt;"",AG36&lt;&gt;"ESCANEADO")),"Barcode/estado inconsistente",""),IF(AK36&lt;&gt;"",AK36,"")))</f>
        <v/>
      </c>
      <c r="AJ36" s="21" t="n"/>
      <c r="AK36" s="17">
        <f>IF(G36="","",IF(OR(COUNTIFS($G$5:$G$445,G36,$I$5:$I$445,I36,$J$5:$J$445,J36,$P$5:$P$445,P36)&gt;1,AND(AF36&lt;&gt;"",COUNTIF($AF$5:$AF$445,AF36)&gt;1)),"REVISAR_POSIBLE_DUPLICADO",""))</f>
        <v/>
      </c>
    </row>
    <row r="37">
      <c r="A37" s="17" t="inlineStr">
        <is>
          <t>8ddffd0a-eae2-5569-a25f-f395ba2fb237</t>
        </is>
      </c>
      <c r="B37" s="18" t="inlineStr">
        <is>
          <t>EXISTENTE</t>
        </is>
      </c>
      <c r="C37" s="18" t="inlineStr">
        <is>
          <t>ACTIVO</t>
        </is>
      </c>
      <c r="D37" s="18" t="n">
        <v>72</v>
      </c>
      <c r="E37" s="17" t="inlineStr">
        <is>
          <t>06fd9f0c-1b07-4882-a95a-44e819401558</t>
        </is>
      </c>
      <c r="F37" s="17" t="inlineStr">
        <is>
          <t>PRB-FER-0020</t>
        </is>
      </c>
      <c r="G37" s="19" t="inlineStr">
        <is>
          <t>Destornillador plano 1/4 x 4</t>
        </is>
      </c>
      <c r="H37" s="19" t="inlineStr">
        <is>
          <t>Herramientas Manuales</t>
        </is>
      </c>
      <c r="I37" s="20" t="inlineStr">
        <is>
          <t>Herracol</t>
        </is>
      </c>
      <c r="J37" s="20" t="inlineStr">
        <is>
          <t>Unidad</t>
        </is>
      </c>
      <c r="K37" s="21" t="inlineStr">
        <is>
          <t>Proveedor Prueba Eléctricos Colombia</t>
        </is>
      </c>
      <c r="L37" s="18" t="n">
        <v>12</v>
      </c>
      <c r="M37" s="22" t="n">
        <v>6500</v>
      </c>
      <c r="N37" s="22" t="n">
        <v>9000</v>
      </c>
      <c r="O37" s="23" t="n">
        <v>11</v>
      </c>
      <c r="P37" s="24" t="inlineStr">
        <is>
          <t>UNIDAD</t>
        </is>
      </c>
      <c r="Q37" s="20" t="inlineStr">
        <is>
          <t>NO</t>
        </is>
      </c>
      <c r="R37" s="20" t="inlineStr">
        <is>
          <t>NO</t>
        </is>
      </c>
      <c r="S37" s="25" t="n">
        <v>1</v>
      </c>
      <c r="T37" s="20" t="inlineStr">
        <is>
          <t>NO</t>
        </is>
      </c>
      <c r="U37" s="20" t="inlineStr">
        <is>
          <t>Bodega de pruebas</t>
        </is>
      </c>
      <c r="V37" s="21" t="inlineStr">
        <is>
          <t>Producto ficticio de prueba para validacion de busquedas, inventario, ventas y compras en FERREPRO. No corresponde a inventario real.</t>
        </is>
      </c>
      <c r="W37" s="26" t="n">
        <v>45</v>
      </c>
      <c r="X37" s="27" t="n"/>
      <c r="Y37" s="20" t="n"/>
      <c r="Z37" s="20" t="n"/>
      <c r="AA37" s="26">
        <f>IF(X37="","",X37-IF(W37="",0,W37))</f>
        <v/>
      </c>
      <c r="AB37" s="28">
        <f>IF(OR(X37="",M37=""),"",X37*M37)</f>
        <v/>
      </c>
      <c r="AC37" s="28">
        <f>IF(OR(X37="",N37=""),"",X37*N37)</f>
        <v/>
      </c>
      <c r="AD37" s="28">
        <f>IF(OR(M37="",N37=""),"",N37-M37)</f>
        <v/>
      </c>
      <c r="AE37" s="29">
        <f>IFERROR(IF(M37&gt;0,(N37-M37)/M37,""),"")</f>
        <v/>
      </c>
      <c r="AF37" s="30" t="n"/>
      <c r="AG37" s="30" t="inlineStr">
        <is>
          <t>PENDIENTE</t>
        </is>
      </c>
      <c r="AH37" s="18">
        <f>IF(NOT(OR(B37="EXISTENTE",COUNTA(G37,H37,I37,J37,K37,M37,N37,U37,V37,X37,Y37,Z37,AF37,AJ37)&gt;0)),"",IF(AK37&lt;&gt;"","REVISAR",IF(OR(G37="",H37="",M37="",N37="",O37="",P37="",X37=""),"INCOMPLETO",IF(AI37&lt;&gt;"","REVISAR",IF(AND(AF37&lt;&gt;"",AG37="ESCANEADO"),"LISTO_COMPLETO","LISTO_SIN_BARCODE")))))</f>
        <v/>
      </c>
      <c r="AI37" s="17">
        <f>IF(NOT(OR(B37="EXISTENTE",COUNTA(G37,H37,I37,J37,K37,M37,N37,U37,V37,X37,Y37,Z37,AF37,AJ37)&gt;0)),"",TEXTJOIN(" | ",TRUE,IF(A37="","Falta ID staging",""),IF(COUNTIF($A$5:$A$445,A37)&gt;1,"ID staging duplicado",""),IF(G37="","Falta nombre",""),IF(LEN(G37)&gt;150,"Nombre &gt;150 caracteres",""),IF(H37="","Falta categoría",IF(COUNTIF(CategoriasLista,H37)=0,"Categoría inválida","")),IF(M37="","Falta precio compra",IF(OR(NOT(ISNUMBER(M37)),M37&lt;0),"Precio compra inválido","")),IF(N37="","Falta precio venta",IF(OR(NOT(ISNUMBER(N37)),N37&lt;=0,N37&lt;M37),"Precio venta inválido","")),IF(O37="","Falta stock mínimo",IF(OR(NOT(ISNUMBER(O37)),O37&lt;0,MOD(O37,1)&lt;&gt;0),"Stock mínimo inválido","")),IF(P37="","Falta unidad",IF(COUNTIF(UnidadesLista,P37)=0,"Unidad inválida","")),IF(AND(K37&lt;&gt;"",COUNTIF(ProveedoresLista,K37)=0),"Proveedor no catalogado",""),IF(X37="","Falta cantidad contada",IF(OR(NOT(ISNUMBER(X37)),X37&lt;0,ABS(X37*1000-ROUND(X37*1000,0))&gt;0.0000001),"Cantidad inválida",IF(AND(Q37="NO",MOD(X37,1)&lt;&gt;0),"Cantidad fraccionaria no permitida",""))),IF(AND(R37="SI",OR(NOT(ISNUMBER(S37)),S37&lt;1,MOD(S37,1)&lt;&gt;0)),"Empaque inválido",""),IF(OR(AND(AF37="",AG37="ESCANEADO"),AND(AF37&lt;&gt;"",AG37&lt;&gt;"ESCANEADO")),"Barcode/estado inconsistente",""),IF(AK37&lt;&gt;"",AK37,"")))</f>
        <v/>
      </c>
      <c r="AJ37" s="21" t="n"/>
      <c r="AK37" s="17">
        <f>IF(G37="","",IF(OR(COUNTIFS($G$5:$G$445,G37,$I$5:$I$445,I37,$J$5:$J$445,J37,$P$5:$P$445,P37)&gt;1,AND(AF37&lt;&gt;"",COUNTIF($AF$5:$AF$445,AF37)&gt;1)),"REVISAR_POSIBLE_DUPLICADO",""))</f>
        <v/>
      </c>
    </row>
    <row r="38">
      <c r="A38" s="17" t="inlineStr">
        <is>
          <t>1232bc3f-69ac-57c0-8a9e-bf92d93b5698</t>
        </is>
      </c>
      <c r="B38" s="18" t="inlineStr">
        <is>
          <t>EXISTENTE</t>
        </is>
      </c>
      <c r="C38" s="18" t="inlineStr">
        <is>
          <t>ACTIVO</t>
        </is>
      </c>
      <c r="D38" s="18" t="n">
        <v>73</v>
      </c>
      <c r="E38" s="17" t="inlineStr">
        <is>
          <t>c93c8dae-ec03-48d9-9b14-c78cae0de38b</t>
        </is>
      </c>
      <c r="F38" s="17" t="inlineStr">
        <is>
          <t>PRB-FER-0021</t>
        </is>
      </c>
      <c r="G38" s="19" t="inlineStr">
        <is>
          <t>Destornillador estrella PH2</t>
        </is>
      </c>
      <c r="H38" s="19" t="inlineStr">
        <is>
          <t>Herramientas Manuales</t>
        </is>
      </c>
      <c r="I38" s="20" t="inlineStr">
        <is>
          <t>Herracol</t>
        </is>
      </c>
      <c r="J38" s="20" t="inlineStr">
        <is>
          <t>Unidad</t>
        </is>
      </c>
      <c r="K38" s="21" t="inlineStr">
        <is>
          <t>Proveedor Prueba Pinturas y Acabados</t>
        </is>
      </c>
      <c r="L38" s="18" t="n">
        <v>13</v>
      </c>
      <c r="M38" s="22" t="n">
        <v>7000</v>
      </c>
      <c r="N38" s="22" t="n">
        <v>10000</v>
      </c>
      <c r="O38" s="23" t="n">
        <v>11</v>
      </c>
      <c r="P38" s="24" t="inlineStr">
        <is>
          <t>UNIDAD</t>
        </is>
      </c>
      <c r="Q38" s="20" t="inlineStr">
        <is>
          <t>NO</t>
        </is>
      </c>
      <c r="R38" s="20" t="inlineStr">
        <is>
          <t>NO</t>
        </is>
      </c>
      <c r="S38" s="25" t="n">
        <v>1</v>
      </c>
      <c r="T38" s="20" t="inlineStr">
        <is>
          <t>NO</t>
        </is>
      </c>
      <c r="U38" s="20" t="inlineStr">
        <is>
          <t>Bodega de pruebas</t>
        </is>
      </c>
      <c r="V38" s="21" t="inlineStr">
        <is>
          <t>Producto ficticio de prueba para validacion de busquedas, inventario, ventas y compras en FERREPRO. No corresponde a inventario real.</t>
        </is>
      </c>
      <c r="W38" s="26" t="n">
        <v>45</v>
      </c>
      <c r="X38" s="27" t="n"/>
      <c r="Y38" s="20" t="n"/>
      <c r="Z38" s="20" t="n"/>
      <c r="AA38" s="26">
        <f>IF(X38="","",X38-IF(W38="",0,W38))</f>
        <v/>
      </c>
      <c r="AB38" s="28">
        <f>IF(OR(X38="",M38=""),"",X38*M38)</f>
        <v/>
      </c>
      <c r="AC38" s="28">
        <f>IF(OR(X38="",N38=""),"",X38*N38)</f>
        <v/>
      </c>
      <c r="AD38" s="28">
        <f>IF(OR(M38="",N38=""),"",N38-M38)</f>
        <v/>
      </c>
      <c r="AE38" s="29">
        <f>IFERROR(IF(M38&gt;0,(N38-M38)/M38,""),"")</f>
        <v/>
      </c>
      <c r="AF38" s="30" t="n"/>
      <c r="AG38" s="30" t="inlineStr">
        <is>
          <t>PENDIENTE</t>
        </is>
      </c>
      <c r="AH38" s="18">
        <f>IF(NOT(OR(B38="EXISTENTE",COUNTA(G38,H38,I38,J38,K38,M38,N38,U38,V38,X38,Y38,Z38,AF38,AJ38)&gt;0)),"",IF(AK38&lt;&gt;"","REVISAR",IF(OR(G38="",H38="",M38="",N38="",O38="",P38="",X38=""),"INCOMPLETO",IF(AI38&lt;&gt;"","REVISAR",IF(AND(AF38&lt;&gt;"",AG38="ESCANEADO"),"LISTO_COMPLETO","LISTO_SIN_BARCODE")))))</f>
        <v/>
      </c>
      <c r="AI38" s="17">
        <f>IF(NOT(OR(B38="EXISTENTE",COUNTA(G38,H38,I38,J38,K38,M38,N38,U38,V38,X38,Y38,Z38,AF38,AJ38)&gt;0)),"",TEXTJOIN(" | ",TRUE,IF(A38="","Falta ID staging",""),IF(COUNTIF($A$5:$A$445,A38)&gt;1,"ID staging duplicado",""),IF(G38="","Falta nombre",""),IF(LEN(G38)&gt;150,"Nombre &gt;150 caracteres",""),IF(H38="","Falta categoría",IF(COUNTIF(CategoriasLista,H38)=0,"Categoría inválida","")),IF(M38="","Falta precio compra",IF(OR(NOT(ISNUMBER(M38)),M38&lt;0),"Precio compra inválido","")),IF(N38="","Falta precio venta",IF(OR(NOT(ISNUMBER(N38)),N38&lt;=0,N38&lt;M38),"Precio venta inválido","")),IF(O38="","Falta stock mínimo",IF(OR(NOT(ISNUMBER(O38)),O38&lt;0,MOD(O38,1)&lt;&gt;0),"Stock mínimo inválido","")),IF(P38="","Falta unidad",IF(COUNTIF(UnidadesLista,P38)=0,"Unidad inválida","")),IF(AND(K38&lt;&gt;"",COUNTIF(ProveedoresLista,K38)=0),"Proveedor no catalogado",""),IF(X38="","Falta cantidad contada",IF(OR(NOT(ISNUMBER(X38)),X38&lt;0,ABS(X38*1000-ROUND(X38*1000,0))&gt;0.0000001),"Cantidad inválida",IF(AND(Q38="NO",MOD(X38,1)&lt;&gt;0),"Cantidad fraccionaria no permitida",""))),IF(AND(R38="SI",OR(NOT(ISNUMBER(S38)),S38&lt;1,MOD(S38,1)&lt;&gt;0)),"Empaque inválido",""),IF(OR(AND(AF38="",AG38="ESCANEADO"),AND(AF38&lt;&gt;"",AG38&lt;&gt;"ESCANEADO")),"Barcode/estado inconsistente",""),IF(AK38&lt;&gt;"",AK38,"")))</f>
        <v/>
      </c>
      <c r="AJ38" s="21" t="n"/>
      <c r="AK38" s="17">
        <f>IF(G38="","",IF(OR(COUNTIFS($G$5:$G$445,G38,$I$5:$I$445,I38,$J$5:$J$445,J38,$P$5:$P$445,P38)&gt;1,AND(AF38&lt;&gt;"",COUNTIF($AF$5:$AF$445,AF38)&gt;1)),"REVISAR_POSIBLE_DUPLICADO",""))</f>
        <v/>
      </c>
    </row>
    <row r="39">
      <c r="A39" s="17" t="inlineStr">
        <is>
          <t>5629d4b7-65c5-5928-a747-7d74308f5826</t>
        </is>
      </c>
      <c r="B39" s="18" t="inlineStr">
        <is>
          <t>EXISTENTE</t>
        </is>
      </c>
      <c r="C39" s="18" t="inlineStr">
        <is>
          <t>ACTIVO</t>
        </is>
      </c>
      <c r="D39" s="18" t="n">
        <v>74</v>
      </c>
      <c r="E39" s="17" t="inlineStr">
        <is>
          <t>24660aee-1145-4768-b4ba-944e02bbcda5</t>
        </is>
      </c>
      <c r="F39" s="17" t="inlineStr">
        <is>
          <t>PRB-FER-0022</t>
        </is>
      </c>
      <c r="G39" s="19" t="inlineStr">
        <is>
          <t>Llave inglesa 10 pulgadas</t>
        </is>
      </c>
      <c r="H39" s="19" t="inlineStr">
        <is>
          <t>Herramientas Manuales</t>
        </is>
      </c>
      <c r="I39" s="20" t="inlineStr">
        <is>
          <t>Andina Tools</t>
        </is>
      </c>
      <c r="J39" s="20" t="inlineStr">
        <is>
          <t>Unidad</t>
        </is>
      </c>
      <c r="K39" s="21" t="inlineStr">
        <is>
          <t>Proveedor Prueba Herramientas Industriales</t>
        </is>
      </c>
      <c r="L39" s="18" t="n">
        <v>14</v>
      </c>
      <c r="M39" s="22" t="n">
        <v>32000</v>
      </c>
      <c r="N39" s="22" t="n">
        <v>45000</v>
      </c>
      <c r="O39" s="23" t="n">
        <v>4</v>
      </c>
      <c r="P39" s="24" t="inlineStr">
        <is>
          <t>UNIDAD</t>
        </is>
      </c>
      <c r="Q39" s="20" t="inlineStr">
        <is>
          <t>NO</t>
        </is>
      </c>
      <c r="R39" s="20" t="inlineStr">
        <is>
          <t>NO</t>
        </is>
      </c>
      <c r="S39" s="25" t="n">
        <v>1</v>
      </c>
      <c r="T39" s="20" t="inlineStr">
        <is>
          <t>NO</t>
        </is>
      </c>
      <c r="U39" s="20" t="inlineStr">
        <is>
          <t>Bodega de pruebas</t>
        </is>
      </c>
      <c r="V39" s="21" t="inlineStr">
        <is>
          <t>Producto ficticio de prueba para validacion de busquedas, inventario, ventas y compras en FERREPRO. No corresponde a inventario real.</t>
        </is>
      </c>
      <c r="W39" s="26" t="n">
        <v>18</v>
      </c>
      <c r="X39" s="27" t="n"/>
      <c r="Y39" s="20" t="n"/>
      <c r="Z39" s="20" t="n"/>
      <c r="AA39" s="26">
        <f>IF(X39="","",X39-IF(W39="",0,W39))</f>
        <v/>
      </c>
      <c r="AB39" s="28">
        <f>IF(OR(X39="",M39=""),"",X39*M39)</f>
        <v/>
      </c>
      <c r="AC39" s="28">
        <f>IF(OR(X39="",N39=""),"",X39*N39)</f>
        <v/>
      </c>
      <c r="AD39" s="28">
        <f>IF(OR(M39="",N39=""),"",N39-M39)</f>
        <v/>
      </c>
      <c r="AE39" s="29">
        <f>IFERROR(IF(M39&gt;0,(N39-M39)/M39,""),"")</f>
        <v/>
      </c>
      <c r="AF39" s="30" t="n"/>
      <c r="AG39" s="30" t="inlineStr">
        <is>
          <t>PENDIENTE</t>
        </is>
      </c>
      <c r="AH39" s="18">
        <f>IF(NOT(OR(B39="EXISTENTE",COUNTA(G39,H39,I39,J39,K39,M39,N39,U39,V39,X39,Y39,Z39,AF39,AJ39)&gt;0)),"",IF(AK39&lt;&gt;"","REVISAR",IF(OR(G39="",H39="",M39="",N39="",O39="",P39="",X39=""),"INCOMPLETO",IF(AI39&lt;&gt;"","REVISAR",IF(AND(AF39&lt;&gt;"",AG39="ESCANEADO"),"LISTO_COMPLETO","LISTO_SIN_BARCODE")))))</f>
        <v/>
      </c>
      <c r="AI39" s="17">
        <f>IF(NOT(OR(B39="EXISTENTE",COUNTA(G39,H39,I39,J39,K39,M39,N39,U39,V39,X39,Y39,Z39,AF39,AJ39)&gt;0)),"",TEXTJOIN(" | ",TRUE,IF(A39="","Falta ID staging",""),IF(COUNTIF($A$5:$A$445,A39)&gt;1,"ID staging duplicado",""),IF(G39="","Falta nombre",""),IF(LEN(G39)&gt;150,"Nombre &gt;150 caracteres",""),IF(H39="","Falta categoría",IF(COUNTIF(CategoriasLista,H39)=0,"Categoría inválida","")),IF(M39="","Falta precio compra",IF(OR(NOT(ISNUMBER(M39)),M39&lt;0),"Precio compra inválido","")),IF(N39="","Falta precio venta",IF(OR(NOT(ISNUMBER(N39)),N39&lt;=0,N39&lt;M39),"Precio venta inválido","")),IF(O39="","Falta stock mínimo",IF(OR(NOT(ISNUMBER(O39)),O39&lt;0,MOD(O39,1)&lt;&gt;0),"Stock mínimo inválido","")),IF(P39="","Falta unidad",IF(COUNTIF(UnidadesLista,P39)=0,"Unidad inválida","")),IF(AND(K39&lt;&gt;"",COUNTIF(ProveedoresLista,K39)=0),"Proveedor no catalogado",""),IF(X39="","Falta cantidad contada",IF(OR(NOT(ISNUMBER(X39)),X39&lt;0,ABS(X39*1000-ROUND(X39*1000,0))&gt;0.0000001),"Cantidad inválida",IF(AND(Q39="NO",MOD(X39,1)&lt;&gt;0),"Cantidad fraccionaria no permitida",""))),IF(AND(R39="SI",OR(NOT(ISNUMBER(S39)),S39&lt;1,MOD(S39,1)&lt;&gt;0)),"Empaque inválido",""),IF(OR(AND(AF39="",AG39="ESCANEADO"),AND(AF39&lt;&gt;"",AG39&lt;&gt;"ESCANEADO")),"Barcode/estado inconsistente",""),IF(AK39&lt;&gt;"",AK39,"")))</f>
        <v/>
      </c>
      <c r="AJ39" s="21" t="n"/>
      <c r="AK39" s="17">
        <f>IF(G39="","",IF(OR(COUNTIFS($G$5:$G$445,G39,$I$5:$I$445,I39,$J$5:$J$445,J39,$P$5:$P$445,P39)&gt;1,AND(AF39&lt;&gt;"",COUNTIF($AF$5:$AF$445,AF39)&gt;1)),"REVISAR_POSIBLE_DUPLICADO",""))</f>
        <v/>
      </c>
    </row>
    <row r="40">
      <c r="A40" s="17" t="inlineStr">
        <is>
          <t>aa455aae-adbe-5a87-8d6f-39948c27cd40</t>
        </is>
      </c>
      <c r="B40" s="18" t="inlineStr">
        <is>
          <t>EXISTENTE</t>
        </is>
      </c>
      <c r="C40" s="18" t="inlineStr">
        <is>
          <t>ACTIVO</t>
        </is>
      </c>
      <c r="D40" s="18" t="n">
        <v>75</v>
      </c>
      <c r="E40" s="17" t="inlineStr">
        <is>
          <t>2d67fb00-5587-4b09-8f4b-b29fc6d630cd</t>
        </is>
      </c>
      <c r="F40" s="17" t="inlineStr">
        <is>
          <t>PRB-FER-0023</t>
        </is>
      </c>
      <c r="G40" s="19" t="inlineStr">
        <is>
          <t>Llave combinada 1/2</t>
        </is>
      </c>
      <c r="H40" s="19" t="inlineStr">
        <is>
          <t>Herramientas Manuales</t>
        </is>
      </c>
      <c r="I40" s="20" t="inlineStr">
        <is>
          <t>Andina Tools</t>
        </is>
      </c>
      <c r="J40" s="20" t="inlineStr">
        <is>
          <t>Unidad</t>
        </is>
      </c>
      <c r="K40" s="21" t="inlineStr">
        <is>
          <t>Proveedor Prueba Plomería Nacional</t>
        </is>
      </c>
      <c r="L40" s="18" t="n">
        <v>15</v>
      </c>
      <c r="M40" s="22" t="n">
        <v>12000</v>
      </c>
      <c r="N40" s="22" t="n">
        <v>17000</v>
      </c>
      <c r="O40" s="23" t="n">
        <v>9</v>
      </c>
      <c r="P40" s="24" t="inlineStr">
        <is>
          <t>UNIDAD</t>
        </is>
      </c>
      <c r="Q40" s="20" t="inlineStr">
        <is>
          <t>NO</t>
        </is>
      </c>
      <c r="R40" s="20" t="inlineStr">
        <is>
          <t>NO</t>
        </is>
      </c>
      <c r="S40" s="25" t="n">
        <v>1</v>
      </c>
      <c r="T40" s="20" t="inlineStr">
        <is>
          <t>NO</t>
        </is>
      </c>
      <c r="U40" s="20" t="inlineStr">
        <is>
          <t>Bodega de pruebas</t>
        </is>
      </c>
      <c r="V40" s="21" t="inlineStr">
        <is>
          <t>Producto ficticio de prueba para validacion de busquedas, inventario, ventas y compras en FERREPRO. No corresponde a inventario real.</t>
        </is>
      </c>
      <c r="W40" s="26" t="n">
        <v>36</v>
      </c>
      <c r="X40" s="27" t="n"/>
      <c r="Y40" s="20" t="n"/>
      <c r="Z40" s="20" t="n"/>
      <c r="AA40" s="26">
        <f>IF(X40="","",X40-IF(W40="",0,W40))</f>
        <v/>
      </c>
      <c r="AB40" s="28">
        <f>IF(OR(X40="",M40=""),"",X40*M40)</f>
        <v/>
      </c>
      <c r="AC40" s="28">
        <f>IF(OR(X40="",N40=""),"",X40*N40)</f>
        <v/>
      </c>
      <c r="AD40" s="28">
        <f>IF(OR(M40="",N40=""),"",N40-M40)</f>
        <v/>
      </c>
      <c r="AE40" s="29">
        <f>IFERROR(IF(M40&gt;0,(N40-M40)/M40,""),"")</f>
        <v/>
      </c>
      <c r="AF40" s="30" t="n"/>
      <c r="AG40" s="30" t="inlineStr">
        <is>
          <t>PENDIENTE</t>
        </is>
      </c>
      <c r="AH40" s="18">
        <f>IF(NOT(OR(B40="EXISTENTE",COUNTA(G40,H40,I40,J40,K40,M40,N40,U40,V40,X40,Y40,Z40,AF40,AJ40)&gt;0)),"",IF(AK40&lt;&gt;"","REVISAR",IF(OR(G40="",H40="",M40="",N40="",O40="",P40="",X40=""),"INCOMPLETO",IF(AI40&lt;&gt;"","REVISAR",IF(AND(AF40&lt;&gt;"",AG40="ESCANEADO"),"LISTO_COMPLETO","LISTO_SIN_BARCODE")))))</f>
        <v/>
      </c>
      <c r="AI40" s="17">
        <f>IF(NOT(OR(B40="EXISTENTE",COUNTA(G40,H40,I40,J40,K40,M40,N40,U40,V40,X40,Y40,Z40,AF40,AJ40)&gt;0)),"",TEXTJOIN(" | ",TRUE,IF(A40="","Falta ID staging",""),IF(COUNTIF($A$5:$A$445,A40)&gt;1,"ID staging duplicado",""),IF(G40="","Falta nombre",""),IF(LEN(G40)&gt;150,"Nombre &gt;150 caracteres",""),IF(H40="","Falta categoría",IF(COUNTIF(CategoriasLista,H40)=0,"Categoría inválida","")),IF(M40="","Falta precio compra",IF(OR(NOT(ISNUMBER(M40)),M40&lt;0),"Precio compra inválido","")),IF(N40="","Falta precio venta",IF(OR(NOT(ISNUMBER(N40)),N40&lt;=0,N40&lt;M40),"Precio venta inválido","")),IF(O40="","Falta stock mínimo",IF(OR(NOT(ISNUMBER(O40)),O40&lt;0,MOD(O40,1)&lt;&gt;0),"Stock mínimo inválido","")),IF(P40="","Falta unidad",IF(COUNTIF(UnidadesLista,P40)=0,"Unidad inválida","")),IF(AND(K40&lt;&gt;"",COUNTIF(ProveedoresLista,K40)=0),"Proveedor no catalogado",""),IF(X40="","Falta cantidad contada",IF(OR(NOT(ISNUMBER(X40)),X40&lt;0,ABS(X40*1000-ROUND(X40*1000,0))&gt;0.0000001),"Cantidad inválida",IF(AND(Q40="NO",MOD(X40,1)&lt;&gt;0),"Cantidad fraccionaria no permitida",""))),IF(AND(R40="SI",OR(NOT(ISNUMBER(S40)),S40&lt;1,MOD(S40,1)&lt;&gt;0)),"Empaque inválido",""),IF(OR(AND(AF40="",AG40="ESCANEADO"),AND(AF40&lt;&gt;"",AG40&lt;&gt;"ESCANEADO")),"Barcode/estado inconsistente",""),IF(AK40&lt;&gt;"",AK40,"")))</f>
        <v/>
      </c>
      <c r="AJ40" s="21" t="n"/>
      <c r="AK40" s="17">
        <f>IF(G40="","",IF(OR(COUNTIFS($G$5:$G$445,G40,$I$5:$I$445,I40,$J$5:$J$445,J40,$P$5:$P$445,P40)&gt;1,AND(AF40&lt;&gt;"",COUNTIF($AF$5:$AF$445,AF40)&gt;1)),"REVISAR_POSIBLE_DUPLICADO",""))</f>
        <v/>
      </c>
    </row>
    <row r="41">
      <c r="A41" s="17" t="inlineStr">
        <is>
          <t>2c4a446d-938a-5e96-ab57-43f8328146b2</t>
        </is>
      </c>
      <c r="B41" s="18" t="inlineStr">
        <is>
          <t>EXISTENTE</t>
        </is>
      </c>
      <c r="C41" s="18" t="inlineStr">
        <is>
          <t>ACTIVO</t>
        </is>
      </c>
      <c r="D41" s="18" t="n">
        <v>76</v>
      </c>
      <c r="E41" s="17" t="inlineStr">
        <is>
          <t>2a292649-1d71-49eb-896c-726aa98f5164</t>
        </is>
      </c>
      <c r="F41" s="17" t="inlineStr">
        <is>
          <t>PRB-FER-0024</t>
        </is>
      </c>
      <c r="G41" s="19" t="inlineStr">
        <is>
          <t>Juego de llaves Bristol</t>
        </is>
      </c>
      <c r="H41" s="19" t="inlineStr">
        <is>
          <t>Herramientas Manuales</t>
        </is>
      </c>
      <c r="I41" s="20" t="inlineStr">
        <is>
          <t>FerroMax</t>
        </is>
      </c>
      <c r="J41" s="20" t="inlineStr">
        <is>
          <t>Juego</t>
        </is>
      </c>
      <c r="K41" s="21" t="inlineStr">
        <is>
          <t>Proveedor Prueba Seguridad y Protección</t>
        </is>
      </c>
      <c r="L41" s="18" t="n">
        <v>16</v>
      </c>
      <c r="M41" s="22" t="n">
        <v>38000</v>
      </c>
      <c r="N41" s="22" t="n">
        <v>54000</v>
      </c>
      <c r="O41" s="23" t="n">
        <v>3</v>
      </c>
      <c r="P41" s="24" t="inlineStr">
        <is>
          <t>UNIDAD</t>
        </is>
      </c>
      <c r="Q41" s="20" t="inlineStr">
        <is>
          <t>NO</t>
        </is>
      </c>
      <c r="R41" s="20" t="inlineStr">
        <is>
          <t>NO</t>
        </is>
      </c>
      <c r="S41" s="25" t="n">
        <v>1</v>
      </c>
      <c r="T41" s="20" t="inlineStr">
        <is>
          <t>NO</t>
        </is>
      </c>
      <c r="U41" s="20" t="inlineStr">
        <is>
          <t>Bodega de pruebas</t>
        </is>
      </c>
      <c r="V41" s="21" t="inlineStr">
        <is>
          <t>Producto ficticio de prueba para validacion de busquedas, inventario, ventas y compras en FERREPRO. No corresponde a inventario real.</t>
        </is>
      </c>
      <c r="W41" s="26" t="n">
        <v>14</v>
      </c>
      <c r="X41" s="27" t="n"/>
      <c r="Y41" s="20" t="n"/>
      <c r="Z41" s="20" t="n"/>
      <c r="AA41" s="26">
        <f>IF(X41="","",X41-IF(W41="",0,W41))</f>
        <v/>
      </c>
      <c r="AB41" s="28">
        <f>IF(OR(X41="",M41=""),"",X41*M41)</f>
        <v/>
      </c>
      <c r="AC41" s="28">
        <f>IF(OR(X41="",N41=""),"",X41*N41)</f>
        <v/>
      </c>
      <c r="AD41" s="28">
        <f>IF(OR(M41="",N41=""),"",N41-M41)</f>
        <v/>
      </c>
      <c r="AE41" s="29">
        <f>IFERROR(IF(M41&gt;0,(N41-M41)/M41,""),"")</f>
        <v/>
      </c>
      <c r="AF41" s="30" t="n"/>
      <c r="AG41" s="30" t="inlineStr">
        <is>
          <t>PENDIENTE</t>
        </is>
      </c>
      <c r="AH41" s="18">
        <f>IF(NOT(OR(B41="EXISTENTE",COUNTA(G41,H41,I41,J41,K41,M41,N41,U41,V41,X41,Y41,Z41,AF41,AJ41)&gt;0)),"",IF(AK41&lt;&gt;"","REVISAR",IF(OR(G41="",H41="",M41="",N41="",O41="",P41="",X41=""),"INCOMPLETO",IF(AI41&lt;&gt;"","REVISAR",IF(AND(AF41&lt;&gt;"",AG41="ESCANEADO"),"LISTO_COMPLETO","LISTO_SIN_BARCODE")))))</f>
        <v/>
      </c>
      <c r="AI41" s="17">
        <f>IF(NOT(OR(B41="EXISTENTE",COUNTA(G41,H41,I41,J41,K41,M41,N41,U41,V41,X41,Y41,Z41,AF41,AJ41)&gt;0)),"",TEXTJOIN(" | ",TRUE,IF(A41="","Falta ID staging",""),IF(COUNTIF($A$5:$A$445,A41)&gt;1,"ID staging duplicado",""),IF(G41="","Falta nombre",""),IF(LEN(G41)&gt;150,"Nombre &gt;150 caracteres",""),IF(H41="","Falta categoría",IF(COUNTIF(CategoriasLista,H41)=0,"Categoría inválida","")),IF(M41="","Falta precio compra",IF(OR(NOT(ISNUMBER(M41)),M41&lt;0),"Precio compra inválido","")),IF(N41="","Falta precio venta",IF(OR(NOT(ISNUMBER(N41)),N41&lt;=0,N41&lt;M41),"Precio venta inválido","")),IF(O41="","Falta stock mínimo",IF(OR(NOT(ISNUMBER(O41)),O41&lt;0,MOD(O41,1)&lt;&gt;0),"Stock mínimo inválido","")),IF(P41="","Falta unidad",IF(COUNTIF(UnidadesLista,P41)=0,"Unidad inválida","")),IF(AND(K41&lt;&gt;"",COUNTIF(ProveedoresLista,K41)=0),"Proveedor no catalogado",""),IF(X41="","Falta cantidad contada",IF(OR(NOT(ISNUMBER(X41)),X41&lt;0,ABS(X41*1000-ROUND(X41*1000,0))&gt;0.0000001),"Cantidad inválida",IF(AND(Q41="NO",MOD(X41,1)&lt;&gt;0),"Cantidad fraccionaria no permitida",""))),IF(AND(R41="SI",OR(NOT(ISNUMBER(S41)),S41&lt;1,MOD(S41,1)&lt;&gt;0)),"Empaque inválido",""),IF(OR(AND(AF41="",AG41="ESCANEADO"),AND(AF41&lt;&gt;"",AG41&lt;&gt;"ESCANEADO")),"Barcode/estado inconsistente",""),IF(AK41&lt;&gt;"",AK41,"")))</f>
        <v/>
      </c>
      <c r="AJ41" s="21" t="n"/>
      <c r="AK41" s="17">
        <f>IF(G41="","",IF(OR(COUNTIFS($G$5:$G$445,G41,$I$5:$I$445,I41,$J$5:$J$445,J41,$P$5:$P$445,P41)&gt;1,AND(AF41&lt;&gt;"",COUNTIF($AF$5:$AF$445,AF41)&gt;1)),"REVISAR_POSIBLE_DUPLICADO",""))</f>
        <v/>
      </c>
    </row>
    <row r="42">
      <c r="A42" s="17" t="inlineStr">
        <is>
          <t>79b9a902-7a61-525f-921b-bd8a8f851b34</t>
        </is>
      </c>
      <c r="B42" s="18" t="inlineStr">
        <is>
          <t>EXISTENTE</t>
        </is>
      </c>
      <c r="C42" s="18" t="inlineStr">
        <is>
          <t>ACTIVO</t>
        </is>
      </c>
      <c r="D42" s="18" t="n">
        <v>77</v>
      </c>
      <c r="E42" s="17" t="inlineStr">
        <is>
          <t>f841ed6d-6952-44f9-98df-e8e155cf613b</t>
        </is>
      </c>
      <c r="F42" s="17" t="inlineStr">
        <is>
          <t>PRB-FER-0025</t>
        </is>
      </c>
      <c r="G42" s="19" t="inlineStr">
        <is>
          <t>Flexómetro 5 metros</t>
        </is>
      </c>
      <c r="H42" s="19" t="inlineStr">
        <is>
          <t>Herramientas Manuales</t>
        </is>
      </c>
      <c r="I42" s="20" t="inlineStr">
        <is>
          <t>ConstruPro</t>
        </is>
      </c>
      <c r="J42" s="20" t="inlineStr">
        <is>
          <t>Unidad</t>
        </is>
      </c>
      <c r="K42" s="21" t="inlineStr">
        <is>
          <t>Proveedor Prueba Ferretería Central S.A.S.</t>
        </is>
      </c>
      <c r="L42" s="18" t="n">
        <v>9</v>
      </c>
      <c r="M42" s="22" t="n">
        <v>11000</v>
      </c>
      <c r="N42" s="22" t="n">
        <v>16000</v>
      </c>
      <c r="O42" s="23" t="n">
        <v>10</v>
      </c>
      <c r="P42" s="24" t="inlineStr">
        <is>
          <t>UNIDAD</t>
        </is>
      </c>
      <c r="Q42" s="20" t="inlineStr">
        <is>
          <t>NO</t>
        </is>
      </c>
      <c r="R42" s="20" t="inlineStr">
        <is>
          <t>NO</t>
        </is>
      </c>
      <c r="S42" s="25" t="n">
        <v>1</v>
      </c>
      <c r="T42" s="20" t="inlineStr">
        <is>
          <t>NO</t>
        </is>
      </c>
      <c r="U42" s="20" t="inlineStr">
        <is>
          <t>Bodega de pruebas</t>
        </is>
      </c>
      <c r="V42" s="21" t="inlineStr">
        <is>
          <t>Producto ficticio de prueba para validacion de busquedas, inventario, ventas y compras en FERREPRO. No corresponde a inventario real.</t>
        </is>
      </c>
      <c r="W42" s="26" t="n">
        <v>40</v>
      </c>
      <c r="X42" s="27" t="n"/>
      <c r="Y42" s="20" t="n"/>
      <c r="Z42" s="20" t="n"/>
      <c r="AA42" s="26">
        <f>IF(X42="","",X42-IF(W42="",0,W42))</f>
        <v/>
      </c>
      <c r="AB42" s="28">
        <f>IF(OR(X42="",M42=""),"",X42*M42)</f>
        <v/>
      </c>
      <c r="AC42" s="28">
        <f>IF(OR(X42="",N42=""),"",X42*N42)</f>
        <v/>
      </c>
      <c r="AD42" s="28">
        <f>IF(OR(M42="",N42=""),"",N42-M42)</f>
        <v/>
      </c>
      <c r="AE42" s="29">
        <f>IFERROR(IF(M42&gt;0,(N42-M42)/M42,""),"")</f>
        <v/>
      </c>
      <c r="AF42" s="30" t="n"/>
      <c r="AG42" s="30" t="inlineStr">
        <is>
          <t>PENDIENTE</t>
        </is>
      </c>
      <c r="AH42" s="18">
        <f>IF(NOT(OR(B42="EXISTENTE",COUNTA(G42,H42,I42,J42,K42,M42,N42,U42,V42,X42,Y42,Z42,AF42,AJ42)&gt;0)),"",IF(AK42&lt;&gt;"","REVISAR",IF(OR(G42="",H42="",M42="",N42="",O42="",P42="",X42=""),"INCOMPLETO",IF(AI42&lt;&gt;"","REVISAR",IF(AND(AF42&lt;&gt;"",AG42="ESCANEADO"),"LISTO_COMPLETO","LISTO_SIN_BARCODE")))))</f>
        <v/>
      </c>
      <c r="AI42" s="17">
        <f>IF(NOT(OR(B42="EXISTENTE",COUNTA(G42,H42,I42,J42,K42,M42,N42,U42,V42,X42,Y42,Z42,AF42,AJ42)&gt;0)),"",TEXTJOIN(" | ",TRUE,IF(A42="","Falta ID staging",""),IF(COUNTIF($A$5:$A$445,A42)&gt;1,"ID staging duplicado",""),IF(G42="","Falta nombre",""),IF(LEN(G42)&gt;150,"Nombre &gt;150 caracteres",""),IF(H42="","Falta categoría",IF(COUNTIF(CategoriasLista,H42)=0,"Categoría inválida","")),IF(M42="","Falta precio compra",IF(OR(NOT(ISNUMBER(M42)),M42&lt;0),"Precio compra inválido","")),IF(N42="","Falta precio venta",IF(OR(NOT(ISNUMBER(N42)),N42&lt;=0,N42&lt;M42),"Precio venta inválido","")),IF(O42="","Falta stock mínimo",IF(OR(NOT(ISNUMBER(O42)),O42&lt;0,MOD(O42,1)&lt;&gt;0),"Stock mínimo inválido","")),IF(P42="","Falta unidad",IF(COUNTIF(UnidadesLista,P42)=0,"Unidad inválida","")),IF(AND(K42&lt;&gt;"",COUNTIF(ProveedoresLista,K42)=0),"Proveedor no catalogado",""),IF(X42="","Falta cantidad contada",IF(OR(NOT(ISNUMBER(X42)),X42&lt;0,ABS(X42*1000-ROUND(X42*1000,0))&gt;0.0000001),"Cantidad inválida",IF(AND(Q42="NO",MOD(X42,1)&lt;&gt;0),"Cantidad fraccionaria no permitida",""))),IF(AND(R42="SI",OR(NOT(ISNUMBER(S42)),S42&lt;1,MOD(S42,1)&lt;&gt;0)),"Empaque inválido",""),IF(OR(AND(AF42="",AG42="ESCANEADO"),AND(AF42&lt;&gt;"",AG42&lt;&gt;"ESCANEADO")),"Barcode/estado inconsistente",""),IF(AK42&lt;&gt;"",AK42,"")))</f>
        <v/>
      </c>
      <c r="AJ42" s="21" t="n"/>
      <c r="AK42" s="17">
        <f>IF(G42="","",IF(OR(COUNTIFS($G$5:$G$445,G42,$I$5:$I$445,I42,$J$5:$J$445,J42,$P$5:$P$445,P42)&gt;1,AND(AF42&lt;&gt;"",COUNTIF($AF$5:$AF$445,AF42)&gt;1)),"REVISAR_POSIBLE_DUPLICADO",""))</f>
        <v/>
      </c>
    </row>
    <row r="43">
      <c r="A43" s="17" t="inlineStr">
        <is>
          <t>714d30c3-425f-5281-9c84-d9075b7f0a31</t>
        </is>
      </c>
      <c r="B43" s="18" t="inlineStr">
        <is>
          <t>EXISTENTE</t>
        </is>
      </c>
      <c r="C43" s="18" t="inlineStr">
        <is>
          <t>ACTIVO</t>
        </is>
      </c>
      <c r="D43" s="18" t="n">
        <v>78</v>
      </c>
      <c r="E43" s="17" t="inlineStr">
        <is>
          <t>d08ef714-de7d-4998-84bc-8b0e78ee8db3</t>
        </is>
      </c>
      <c r="F43" s="17" t="inlineStr">
        <is>
          <t>PRB-FER-0026</t>
        </is>
      </c>
      <c r="G43" s="19" t="inlineStr">
        <is>
          <t>Nivel de burbuja 60 cm</t>
        </is>
      </c>
      <c r="H43" s="19" t="inlineStr">
        <is>
          <t>Herramientas Manuales</t>
        </is>
      </c>
      <c r="I43" s="20" t="inlineStr">
        <is>
          <t>ConstruPro</t>
        </is>
      </c>
      <c r="J43" s="20" t="inlineStr">
        <is>
          <t>Unidad</t>
        </is>
      </c>
      <c r="K43" s="21" t="inlineStr">
        <is>
          <t>Proveedor Prueba ConstruMateriales del Norte</t>
        </is>
      </c>
      <c r="L43" s="18" t="n">
        <v>10</v>
      </c>
      <c r="M43" s="22" t="n">
        <v>29000</v>
      </c>
      <c r="N43" s="22" t="n">
        <v>41000</v>
      </c>
      <c r="O43" s="23" t="n">
        <v>3</v>
      </c>
      <c r="P43" s="24" t="inlineStr">
        <is>
          <t>UNIDAD</t>
        </is>
      </c>
      <c r="Q43" s="20" t="inlineStr">
        <is>
          <t>NO</t>
        </is>
      </c>
      <c r="R43" s="20" t="inlineStr">
        <is>
          <t>NO</t>
        </is>
      </c>
      <c r="S43" s="25" t="n">
        <v>1</v>
      </c>
      <c r="T43" s="20" t="inlineStr">
        <is>
          <t>NO</t>
        </is>
      </c>
      <c r="U43" s="20" t="inlineStr">
        <is>
          <t>Bodega de pruebas</t>
        </is>
      </c>
      <c r="V43" s="21" t="inlineStr">
        <is>
          <t>Producto ficticio de prueba para validacion de busquedas, inventario, ventas y compras en FERREPRO. No corresponde a inventario real.</t>
        </is>
      </c>
      <c r="W43" s="26" t="n">
        <v>15</v>
      </c>
      <c r="X43" s="27" t="n"/>
      <c r="Y43" s="20" t="n"/>
      <c r="Z43" s="20" t="n"/>
      <c r="AA43" s="26">
        <f>IF(X43="","",X43-IF(W43="",0,W43))</f>
        <v/>
      </c>
      <c r="AB43" s="28">
        <f>IF(OR(X43="",M43=""),"",X43*M43)</f>
        <v/>
      </c>
      <c r="AC43" s="28">
        <f>IF(OR(X43="",N43=""),"",X43*N43)</f>
        <v/>
      </c>
      <c r="AD43" s="28">
        <f>IF(OR(M43="",N43=""),"",N43-M43)</f>
        <v/>
      </c>
      <c r="AE43" s="29">
        <f>IFERROR(IF(M43&gt;0,(N43-M43)/M43,""),"")</f>
        <v/>
      </c>
      <c r="AF43" s="30" t="n"/>
      <c r="AG43" s="30" t="inlineStr">
        <is>
          <t>PENDIENTE</t>
        </is>
      </c>
      <c r="AH43" s="18">
        <f>IF(NOT(OR(B43="EXISTENTE",COUNTA(G43,H43,I43,J43,K43,M43,N43,U43,V43,X43,Y43,Z43,AF43,AJ43)&gt;0)),"",IF(AK43&lt;&gt;"","REVISAR",IF(OR(G43="",H43="",M43="",N43="",O43="",P43="",X43=""),"INCOMPLETO",IF(AI43&lt;&gt;"","REVISAR",IF(AND(AF43&lt;&gt;"",AG43="ESCANEADO"),"LISTO_COMPLETO","LISTO_SIN_BARCODE")))))</f>
        <v/>
      </c>
      <c r="AI43" s="17">
        <f>IF(NOT(OR(B43="EXISTENTE",COUNTA(G43,H43,I43,J43,K43,M43,N43,U43,V43,X43,Y43,Z43,AF43,AJ43)&gt;0)),"",TEXTJOIN(" | ",TRUE,IF(A43="","Falta ID staging",""),IF(COUNTIF($A$5:$A$445,A43)&gt;1,"ID staging duplicado",""),IF(G43="","Falta nombre",""),IF(LEN(G43)&gt;150,"Nombre &gt;150 caracteres",""),IF(H43="","Falta categoría",IF(COUNTIF(CategoriasLista,H43)=0,"Categoría inválida","")),IF(M43="","Falta precio compra",IF(OR(NOT(ISNUMBER(M43)),M43&lt;0),"Precio compra inválido","")),IF(N43="","Falta precio venta",IF(OR(NOT(ISNUMBER(N43)),N43&lt;=0,N43&lt;M43),"Precio venta inválido","")),IF(O43="","Falta stock mínimo",IF(OR(NOT(ISNUMBER(O43)),O43&lt;0,MOD(O43,1)&lt;&gt;0),"Stock mínimo inválido","")),IF(P43="","Falta unidad",IF(COUNTIF(UnidadesLista,P43)=0,"Unidad inválida","")),IF(AND(K43&lt;&gt;"",COUNTIF(ProveedoresLista,K43)=0),"Proveedor no catalogado",""),IF(X43="","Falta cantidad contada",IF(OR(NOT(ISNUMBER(X43)),X43&lt;0,ABS(X43*1000-ROUND(X43*1000,0))&gt;0.0000001),"Cantidad inválida",IF(AND(Q43="NO",MOD(X43,1)&lt;&gt;0),"Cantidad fraccionaria no permitida",""))),IF(AND(R43="SI",OR(NOT(ISNUMBER(S43)),S43&lt;1,MOD(S43,1)&lt;&gt;0)),"Empaque inválido",""),IF(OR(AND(AF43="",AG43="ESCANEADO"),AND(AF43&lt;&gt;"",AG43&lt;&gt;"ESCANEADO")),"Barcode/estado inconsistente",""),IF(AK43&lt;&gt;"",AK43,"")))</f>
        <v/>
      </c>
      <c r="AJ43" s="21" t="n"/>
      <c r="AK43" s="17">
        <f>IF(G43="","",IF(OR(COUNTIFS($G$5:$G$445,G43,$I$5:$I$445,I43,$J$5:$J$445,J43,$P$5:$P$445,P43)&gt;1,AND(AF43&lt;&gt;"",COUNTIF($AF$5:$AF$445,AF43)&gt;1)),"REVISAR_POSIBLE_DUPLICADO",""))</f>
        <v/>
      </c>
    </row>
    <row r="44">
      <c r="A44" s="17" t="inlineStr">
        <is>
          <t>78dc84fc-8add-5511-9aed-e35c99398096</t>
        </is>
      </c>
      <c r="B44" s="18" t="inlineStr">
        <is>
          <t>EXISTENTE</t>
        </is>
      </c>
      <c r="C44" s="18" t="inlineStr">
        <is>
          <t>ACTIVO</t>
        </is>
      </c>
      <c r="D44" s="18" t="n">
        <v>79</v>
      </c>
      <c r="E44" s="17" t="inlineStr">
        <is>
          <t>f5bc0480-f31e-4919-bbc6-dfc9f922c2c7</t>
        </is>
      </c>
      <c r="F44" s="17" t="inlineStr">
        <is>
          <t>PRB-FER-0027</t>
        </is>
      </c>
      <c r="G44" s="19" t="inlineStr">
        <is>
          <t>Segueta profesional</t>
        </is>
      </c>
      <c r="H44" s="19" t="inlineStr">
        <is>
          <t>Herramientas Manuales</t>
        </is>
      </c>
      <c r="I44" s="20" t="inlineStr">
        <is>
          <t>Herracol</t>
        </is>
      </c>
      <c r="J44" s="20" t="inlineStr">
        <is>
          <t>Unidad</t>
        </is>
      </c>
      <c r="K44" s="21" t="inlineStr">
        <is>
          <t>Proveedor Prueba Tornillos y Fijaciones Andinas</t>
        </is>
      </c>
      <c r="L44" s="18" t="n">
        <v>11</v>
      </c>
      <c r="M44" s="22" t="n">
        <v>9000</v>
      </c>
      <c r="N44" s="22" t="n">
        <v>13000</v>
      </c>
      <c r="O44" s="23" t="n">
        <v>8</v>
      </c>
      <c r="P44" s="24" t="inlineStr">
        <is>
          <t>UNIDAD</t>
        </is>
      </c>
      <c r="Q44" s="20" t="inlineStr">
        <is>
          <t>NO</t>
        </is>
      </c>
      <c r="R44" s="20" t="inlineStr">
        <is>
          <t>NO</t>
        </is>
      </c>
      <c r="S44" s="25" t="n">
        <v>1</v>
      </c>
      <c r="T44" s="20" t="inlineStr">
        <is>
          <t>NO</t>
        </is>
      </c>
      <c r="U44" s="20" t="inlineStr">
        <is>
          <t>Bodega de pruebas</t>
        </is>
      </c>
      <c r="V44" s="21" t="inlineStr">
        <is>
          <t>Producto ficticio de prueba para validacion de busquedas, inventario, ventas y compras en FERREPRO. No corresponde a inventario real.</t>
        </is>
      </c>
      <c r="W44" s="26" t="n">
        <v>32</v>
      </c>
      <c r="X44" s="27" t="n"/>
      <c r="Y44" s="20" t="n"/>
      <c r="Z44" s="20" t="n"/>
      <c r="AA44" s="26">
        <f>IF(X44="","",X44-IF(W44="",0,W44))</f>
        <v/>
      </c>
      <c r="AB44" s="28">
        <f>IF(OR(X44="",M44=""),"",X44*M44)</f>
        <v/>
      </c>
      <c r="AC44" s="28">
        <f>IF(OR(X44="",N44=""),"",X44*N44)</f>
        <v/>
      </c>
      <c r="AD44" s="28">
        <f>IF(OR(M44="",N44=""),"",N44-M44)</f>
        <v/>
      </c>
      <c r="AE44" s="29">
        <f>IFERROR(IF(M44&gt;0,(N44-M44)/M44,""),"")</f>
        <v/>
      </c>
      <c r="AF44" s="30" t="n"/>
      <c r="AG44" s="30" t="inlineStr">
        <is>
          <t>PENDIENTE</t>
        </is>
      </c>
      <c r="AH44" s="18">
        <f>IF(NOT(OR(B44="EXISTENTE",COUNTA(G44,H44,I44,J44,K44,M44,N44,U44,V44,X44,Y44,Z44,AF44,AJ44)&gt;0)),"",IF(AK44&lt;&gt;"","REVISAR",IF(OR(G44="",H44="",M44="",N44="",O44="",P44="",X44=""),"INCOMPLETO",IF(AI44&lt;&gt;"","REVISAR",IF(AND(AF44&lt;&gt;"",AG44="ESCANEADO"),"LISTO_COMPLETO","LISTO_SIN_BARCODE")))))</f>
        <v/>
      </c>
      <c r="AI44" s="17">
        <f>IF(NOT(OR(B44="EXISTENTE",COUNTA(G44,H44,I44,J44,K44,M44,N44,U44,V44,X44,Y44,Z44,AF44,AJ44)&gt;0)),"",TEXTJOIN(" | ",TRUE,IF(A44="","Falta ID staging",""),IF(COUNTIF($A$5:$A$445,A44)&gt;1,"ID staging duplicado",""),IF(G44="","Falta nombre",""),IF(LEN(G44)&gt;150,"Nombre &gt;150 caracteres",""),IF(H44="","Falta categoría",IF(COUNTIF(CategoriasLista,H44)=0,"Categoría inválida","")),IF(M44="","Falta precio compra",IF(OR(NOT(ISNUMBER(M44)),M44&lt;0),"Precio compra inválido","")),IF(N44="","Falta precio venta",IF(OR(NOT(ISNUMBER(N44)),N44&lt;=0,N44&lt;M44),"Precio venta inválido","")),IF(O44="","Falta stock mínimo",IF(OR(NOT(ISNUMBER(O44)),O44&lt;0,MOD(O44,1)&lt;&gt;0),"Stock mínimo inválido","")),IF(P44="","Falta unidad",IF(COUNTIF(UnidadesLista,P44)=0,"Unidad inválida","")),IF(AND(K44&lt;&gt;"",COUNTIF(ProveedoresLista,K44)=0),"Proveedor no catalogado",""),IF(X44="","Falta cantidad contada",IF(OR(NOT(ISNUMBER(X44)),X44&lt;0,ABS(X44*1000-ROUND(X44*1000,0))&gt;0.0000001),"Cantidad inválida",IF(AND(Q44="NO",MOD(X44,1)&lt;&gt;0),"Cantidad fraccionaria no permitida",""))),IF(AND(R44="SI",OR(NOT(ISNUMBER(S44)),S44&lt;1,MOD(S44,1)&lt;&gt;0)),"Empaque inválido",""),IF(OR(AND(AF44="",AG44="ESCANEADO"),AND(AF44&lt;&gt;"",AG44&lt;&gt;"ESCANEADO")),"Barcode/estado inconsistente",""),IF(AK44&lt;&gt;"",AK44,"")))</f>
        <v/>
      </c>
      <c r="AJ44" s="21" t="n"/>
      <c r="AK44" s="17">
        <f>IF(G44="","",IF(OR(COUNTIFS($G$5:$G$445,G44,$I$5:$I$445,I44,$J$5:$J$445,J44,$P$5:$P$445,P44)&gt;1,AND(AF44&lt;&gt;"",COUNTIF($AF$5:$AF$445,AF44)&gt;1)),"REVISAR_POSIBLE_DUPLICADO",""))</f>
        <v/>
      </c>
    </row>
    <row r="45">
      <c r="A45" s="17" t="inlineStr">
        <is>
          <t>7144ab26-0d0f-55f7-a76f-547d4db756a0</t>
        </is>
      </c>
      <c r="B45" s="18" t="inlineStr">
        <is>
          <t>EXISTENTE</t>
        </is>
      </c>
      <c r="C45" s="18" t="inlineStr">
        <is>
          <t>ACTIVO</t>
        </is>
      </c>
      <c r="D45" s="18" t="n">
        <v>80</v>
      </c>
      <c r="E45" s="17" t="inlineStr">
        <is>
          <t>0f571931-bdde-486f-bb7d-b7ec5f2f433f</t>
        </is>
      </c>
      <c r="F45" s="17" t="inlineStr">
        <is>
          <t>PRB-FER-0028</t>
        </is>
      </c>
      <c r="G45" s="19" t="inlineStr">
        <is>
          <t>Lima plana 8 pulgadas</t>
        </is>
      </c>
      <c r="H45" s="19" t="inlineStr">
        <is>
          <t>Herramientas Manuales</t>
        </is>
      </c>
      <c r="I45" s="20" t="inlineStr">
        <is>
          <t>Herracol</t>
        </is>
      </c>
      <c r="J45" s="20" t="inlineStr">
        <is>
          <t>Unidad</t>
        </is>
      </c>
      <c r="K45" s="21" t="inlineStr">
        <is>
          <t>Proveedor Prueba Eléctricos Colombia</t>
        </is>
      </c>
      <c r="L45" s="18" t="n">
        <v>12</v>
      </c>
      <c r="M45" s="22" t="n">
        <v>8500</v>
      </c>
      <c r="N45" s="22" t="n">
        <v>12000</v>
      </c>
      <c r="O45" s="23" t="n">
        <v>8</v>
      </c>
      <c r="P45" s="24" t="inlineStr">
        <is>
          <t>UNIDAD</t>
        </is>
      </c>
      <c r="Q45" s="20" t="inlineStr">
        <is>
          <t>NO</t>
        </is>
      </c>
      <c r="R45" s="20" t="inlineStr">
        <is>
          <t>NO</t>
        </is>
      </c>
      <c r="S45" s="25" t="n">
        <v>1</v>
      </c>
      <c r="T45" s="20" t="inlineStr">
        <is>
          <t>NO</t>
        </is>
      </c>
      <c r="U45" s="20" t="inlineStr">
        <is>
          <t>Bodega de pruebas</t>
        </is>
      </c>
      <c r="V45" s="21" t="inlineStr">
        <is>
          <t>Producto ficticio de prueba para validacion de busquedas, inventario, ventas y compras en FERREPRO. No corresponde a inventario real.</t>
        </is>
      </c>
      <c r="W45" s="26" t="n">
        <v>35</v>
      </c>
      <c r="X45" s="27" t="n"/>
      <c r="Y45" s="20" t="n"/>
      <c r="Z45" s="20" t="n"/>
      <c r="AA45" s="26">
        <f>IF(X45="","",X45-IF(W45="",0,W45))</f>
        <v/>
      </c>
      <c r="AB45" s="28">
        <f>IF(OR(X45="",M45=""),"",X45*M45)</f>
        <v/>
      </c>
      <c r="AC45" s="28">
        <f>IF(OR(X45="",N45=""),"",X45*N45)</f>
        <v/>
      </c>
      <c r="AD45" s="28">
        <f>IF(OR(M45="",N45=""),"",N45-M45)</f>
        <v/>
      </c>
      <c r="AE45" s="29">
        <f>IFERROR(IF(M45&gt;0,(N45-M45)/M45,""),"")</f>
        <v/>
      </c>
      <c r="AF45" s="30" t="n"/>
      <c r="AG45" s="30" t="inlineStr">
        <is>
          <t>PENDIENTE</t>
        </is>
      </c>
      <c r="AH45" s="18">
        <f>IF(NOT(OR(B45="EXISTENTE",COUNTA(G45,H45,I45,J45,K45,M45,N45,U45,V45,X45,Y45,Z45,AF45,AJ45)&gt;0)),"",IF(AK45&lt;&gt;"","REVISAR",IF(OR(G45="",H45="",M45="",N45="",O45="",P45="",X45=""),"INCOMPLETO",IF(AI45&lt;&gt;"","REVISAR",IF(AND(AF45&lt;&gt;"",AG45="ESCANEADO"),"LISTO_COMPLETO","LISTO_SIN_BARCODE")))))</f>
        <v/>
      </c>
      <c r="AI45" s="17">
        <f>IF(NOT(OR(B45="EXISTENTE",COUNTA(G45,H45,I45,J45,K45,M45,N45,U45,V45,X45,Y45,Z45,AF45,AJ45)&gt;0)),"",TEXTJOIN(" | ",TRUE,IF(A45="","Falta ID staging",""),IF(COUNTIF($A$5:$A$445,A45)&gt;1,"ID staging duplicado",""),IF(G45="","Falta nombre",""),IF(LEN(G45)&gt;150,"Nombre &gt;150 caracteres",""),IF(H45="","Falta categoría",IF(COUNTIF(CategoriasLista,H45)=0,"Categoría inválida","")),IF(M45="","Falta precio compra",IF(OR(NOT(ISNUMBER(M45)),M45&lt;0),"Precio compra inválido","")),IF(N45="","Falta precio venta",IF(OR(NOT(ISNUMBER(N45)),N45&lt;=0,N45&lt;M45),"Precio venta inválido","")),IF(O45="","Falta stock mínimo",IF(OR(NOT(ISNUMBER(O45)),O45&lt;0,MOD(O45,1)&lt;&gt;0),"Stock mínimo inválido","")),IF(P45="","Falta unidad",IF(COUNTIF(UnidadesLista,P45)=0,"Unidad inválida","")),IF(AND(K45&lt;&gt;"",COUNTIF(ProveedoresLista,K45)=0),"Proveedor no catalogado",""),IF(X45="","Falta cantidad contada",IF(OR(NOT(ISNUMBER(X45)),X45&lt;0,ABS(X45*1000-ROUND(X45*1000,0))&gt;0.0000001),"Cantidad inválida",IF(AND(Q45="NO",MOD(X45,1)&lt;&gt;0),"Cantidad fraccionaria no permitida",""))),IF(AND(R45="SI",OR(NOT(ISNUMBER(S45)),S45&lt;1,MOD(S45,1)&lt;&gt;0)),"Empaque inválido",""),IF(OR(AND(AF45="",AG45="ESCANEADO"),AND(AF45&lt;&gt;"",AG45&lt;&gt;"ESCANEADO")),"Barcode/estado inconsistente",""),IF(AK45&lt;&gt;"",AK45,"")))</f>
        <v/>
      </c>
      <c r="AJ45" s="21" t="n"/>
      <c r="AK45" s="17">
        <f>IF(G45="","",IF(OR(COUNTIFS($G$5:$G$445,G45,$I$5:$I$445,I45,$J$5:$J$445,J45,$P$5:$P$445,P45)&gt;1,AND(AF45&lt;&gt;"",COUNTIF($AF$5:$AF$445,AF45)&gt;1)),"REVISAR_POSIBLE_DUPLICADO",""))</f>
        <v/>
      </c>
    </row>
    <row r="46">
      <c r="A46" s="17" t="inlineStr">
        <is>
          <t>7a029a66-9817-5fb3-aa9a-33125ffc6f96</t>
        </is>
      </c>
      <c r="B46" s="18" t="inlineStr">
        <is>
          <t>EXISTENTE</t>
        </is>
      </c>
      <c r="C46" s="18" t="inlineStr">
        <is>
          <t>ACTIVO</t>
        </is>
      </c>
      <c r="D46" s="18" t="n">
        <v>81</v>
      </c>
      <c r="E46" s="17" t="inlineStr">
        <is>
          <t>ecdaf608-6930-42d3-a06a-17a3484b111f</t>
        </is>
      </c>
      <c r="F46" s="17" t="inlineStr">
        <is>
          <t>PRB-FER-0029</t>
        </is>
      </c>
      <c r="G46" s="19" t="inlineStr">
        <is>
          <t>Cuchilla industrial</t>
        </is>
      </c>
      <c r="H46" s="19" t="inlineStr">
        <is>
          <t>Herramientas Manuales</t>
        </is>
      </c>
      <c r="I46" s="20" t="inlineStr">
        <is>
          <t>FixMaster</t>
        </is>
      </c>
      <c r="J46" s="20" t="inlineStr">
        <is>
          <t>Unidad</t>
        </is>
      </c>
      <c r="K46" s="21" t="inlineStr">
        <is>
          <t>Proveedor Prueba Pinturas y Acabados</t>
        </is>
      </c>
      <c r="L46" s="18" t="n">
        <v>13</v>
      </c>
      <c r="M46" s="22" t="n">
        <v>7000</v>
      </c>
      <c r="N46" s="22" t="n">
        <v>10000</v>
      </c>
      <c r="O46" s="23" t="n">
        <v>12</v>
      </c>
      <c r="P46" s="24" t="inlineStr">
        <is>
          <t>UNIDAD</t>
        </is>
      </c>
      <c r="Q46" s="20" t="inlineStr">
        <is>
          <t>NO</t>
        </is>
      </c>
      <c r="R46" s="20" t="inlineStr">
        <is>
          <t>NO</t>
        </is>
      </c>
      <c r="S46" s="25" t="n">
        <v>1</v>
      </c>
      <c r="T46" s="20" t="inlineStr">
        <is>
          <t>NO</t>
        </is>
      </c>
      <c r="U46" s="20" t="inlineStr">
        <is>
          <t>Bodega de pruebas</t>
        </is>
      </c>
      <c r="V46" s="21" t="inlineStr">
        <is>
          <t>Producto ficticio de prueba para validacion de busquedas, inventario, ventas y compras en FERREPRO. No corresponde a inventario real.</t>
        </is>
      </c>
      <c r="W46" s="26" t="n">
        <v>50</v>
      </c>
      <c r="X46" s="27" t="n"/>
      <c r="Y46" s="20" t="n"/>
      <c r="Z46" s="20" t="n"/>
      <c r="AA46" s="26">
        <f>IF(X46="","",X46-IF(W46="",0,W46))</f>
        <v/>
      </c>
      <c r="AB46" s="28">
        <f>IF(OR(X46="",M46=""),"",X46*M46)</f>
        <v/>
      </c>
      <c r="AC46" s="28">
        <f>IF(OR(X46="",N46=""),"",X46*N46)</f>
        <v/>
      </c>
      <c r="AD46" s="28">
        <f>IF(OR(M46="",N46=""),"",N46-M46)</f>
        <v/>
      </c>
      <c r="AE46" s="29">
        <f>IFERROR(IF(M46&gt;0,(N46-M46)/M46,""),"")</f>
        <v/>
      </c>
      <c r="AF46" s="30" t="n"/>
      <c r="AG46" s="30" t="inlineStr">
        <is>
          <t>PENDIENTE</t>
        </is>
      </c>
      <c r="AH46" s="18">
        <f>IF(NOT(OR(B46="EXISTENTE",COUNTA(G46,H46,I46,J46,K46,M46,N46,U46,V46,X46,Y46,Z46,AF46,AJ46)&gt;0)),"",IF(AK46&lt;&gt;"","REVISAR",IF(OR(G46="",H46="",M46="",N46="",O46="",P46="",X46=""),"INCOMPLETO",IF(AI46&lt;&gt;"","REVISAR",IF(AND(AF46&lt;&gt;"",AG46="ESCANEADO"),"LISTO_COMPLETO","LISTO_SIN_BARCODE")))))</f>
        <v/>
      </c>
      <c r="AI46" s="17">
        <f>IF(NOT(OR(B46="EXISTENTE",COUNTA(G46,H46,I46,J46,K46,M46,N46,U46,V46,X46,Y46,Z46,AF46,AJ46)&gt;0)),"",TEXTJOIN(" | ",TRUE,IF(A46="","Falta ID staging",""),IF(COUNTIF($A$5:$A$445,A46)&gt;1,"ID staging duplicado",""),IF(G46="","Falta nombre",""),IF(LEN(G46)&gt;150,"Nombre &gt;150 caracteres",""),IF(H46="","Falta categoría",IF(COUNTIF(CategoriasLista,H46)=0,"Categoría inválida","")),IF(M46="","Falta precio compra",IF(OR(NOT(ISNUMBER(M46)),M46&lt;0),"Precio compra inválido","")),IF(N46="","Falta precio venta",IF(OR(NOT(ISNUMBER(N46)),N46&lt;=0,N46&lt;M46),"Precio venta inválido","")),IF(O46="","Falta stock mínimo",IF(OR(NOT(ISNUMBER(O46)),O46&lt;0,MOD(O46,1)&lt;&gt;0),"Stock mínimo inválido","")),IF(P46="","Falta unidad",IF(COUNTIF(UnidadesLista,P46)=0,"Unidad inválida","")),IF(AND(K46&lt;&gt;"",COUNTIF(ProveedoresLista,K46)=0),"Proveedor no catalogado",""),IF(X46="","Falta cantidad contada",IF(OR(NOT(ISNUMBER(X46)),X46&lt;0,ABS(X46*1000-ROUND(X46*1000,0))&gt;0.0000001),"Cantidad inválida",IF(AND(Q46="NO",MOD(X46,1)&lt;&gt;0),"Cantidad fraccionaria no permitida",""))),IF(AND(R46="SI",OR(NOT(ISNUMBER(S46)),S46&lt;1,MOD(S46,1)&lt;&gt;0)),"Empaque inválido",""),IF(OR(AND(AF46="",AG46="ESCANEADO"),AND(AF46&lt;&gt;"",AG46&lt;&gt;"ESCANEADO")),"Barcode/estado inconsistente",""),IF(AK46&lt;&gt;"",AK46,"")))</f>
        <v/>
      </c>
      <c r="AJ46" s="21" t="n"/>
      <c r="AK46" s="17">
        <f>IF(G46="","",IF(OR(COUNTIFS($G$5:$G$445,G46,$I$5:$I$445,I46,$J$5:$J$445,J46,$P$5:$P$445,P46)&gt;1,AND(AF46&lt;&gt;"",COUNTIF($AF$5:$AF$445,AF46)&gt;1)),"REVISAR_POSIBLE_DUPLICADO",""))</f>
        <v/>
      </c>
    </row>
    <row r="47">
      <c r="A47" s="17" t="inlineStr">
        <is>
          <t>e4ca2abe-8e00-5c4e-8911-1b1e530698b5</t>
        </is>
      </c>
      <c r="B47" s="18" t="inlineStr">
        <is>
          <t>EXISTENTE</t>
        </is>
      </c>
      <c r="C47" s="18" t="inlineStr">
        <is>
          <t>ACTIVO</t>
        </is>
      </c>
      <c r="D47" s="18" t="n">
        <v>82</v>
      </c>
      <c r="E47" s="17" t="inlineStr">
        <is>
          <t>b6cd203c-53e2-4a28-ae88-14833f0f152e</t>
        </is>
      </c>
      <c r="F47" s="17" t="inlineStr">
        <is>
          <t>PRB-FER-0030</t>
        </is>
      </c>
      <c r="G47" s="19" t="inlineStr">
        <is>
          <t>Escuadra metálica 12 pulgadas</t>
        </is>
      </c>
      <c r="H47" s="19" t="inlineStr">
        <is>
          <t>Herramientas Manuales</t>
        </is>
      </c>
      <c r="I47" s="20" t="inlineStr">
        <is>
          <t>ConstruPro</t>
        </is>
      </c>
      <c r="J47" s="20" t="inlineStr">
        <is>
          <t>Unidad</t>
        </is>
      </c>
      <c r="K47" s="21" t="inlineStr">
        <is>
          <t>Proveedor Prueba Herramientas Industriales</t>
        </is>
      </c>
      <c r="L47" s="18" t="n">
        <v>14</v>
      </c>
      <c r="M47" s="22" t="n">
        <v>14000</v>
      </c>
      <c r="N47" s="22" t="n">
        <v>20000</v>
      </c>
      <c r="O47" s="23" t="n">
        <v>7</v>
      </c>
      <c r="P47" s="24" t="inlineStr">
        <is>
          <t>UNIDAD</t>
        </is>
      </c>
      <c r="Q47" s="20" t="inlineStr">
        <is>
          <t>NO</t>
        </is>
      </c>
      <c r="R47" s="20" t="inlineStr">
        <is>
          <t>NO</t>
        </is>
      </c>
      <c r="S47" s="25" t="n">
        <v>1</v>
      </c>
      <c r="T47" s="20" t="inlineStr">
        <is>
          <t>NO</t>
        </is>
      </c>
      <c r="U47" s="20" t="inlineStr">
        <is>
          <t>Bodega de pruebas</t>
        </is>
      </c>
      <c r="V47" s="21" t="inlineStr">
        <is>
          <t>Producto ficticio de prueba para validacion de busquedas, inventario, ventas y compras en FERREPRO. No corresponde a inventario real.</t>
        </is>
      </c>
      <c r="W47" s="26" t="n">
        <v>30</v>
      </c>
      <c r="X47" s="27" t="n"/>
      <c r="Y47" s="20" t="n"/>
      <c r="Z47" s="20" t="n"/>
      <c r="AA47" s="26">
        <f>IF(X47="","",X47-IF(W47="",0,W47))</f>
        <v/>
      </c>
      <c r="AB47" s="28">
        <f>IF(OR(X47="",M47=""),"",X47*M47)</f>
        <v/>
      </c>
      <c r="AC47" s="28">
        <f>IF(OR(X47="",N47=""),"",X47*N47)</f>
        <v/>
      </c>
      <c r="AD47" s="28">
        <f>IF(OR(M47="",N47=""),"",N47-M47)</f>
        <v/>
      </c>
      <c r="AE47" s="29">
        <f>IFERROR(IF(M47&gt;0,(N47-M47)/M47,""),"")</f>
        <v/>
      </c>
      <c r="AF47" s="30" t="n"/>
      <c r="AG47" s="30" t="inlineStr">
        <is>
          <t>PENDIENTE</t>
        </is>
      </c>
      <c r="AH47" s="18">
        <f>IF(NOT(OR(B47="EXISTENTE",COUNTA(G47,H47,I47,J47,K47,M47,N47,U47,V47,X47,Y47,Z47,AF47,AJ47)&gt;0)),"",IF(AK47&lt;&gt;"","REVISAR",IF(OR(G47="",H47="",M47="",N47="",O47="",P47="",X47=""),"INCOMPLETO",IF(AI47&lt;&gt;"","REVISAR",IF(AND(AF47&lt;&gt;"",AG47="ESCANEADO"),"LISTO_COMPLETO","LISTO_SIN_BARCODE")))))</f>
        <v/>
      </c>
      <c r="AI47" s="17">
        <f>IF(NOT(OR(B47="EXISTENTE",COUNTA(G47,H47,I47,J47,K47,M47,N47,U47,V47,X47,Y47,Z47,AF47,AJ47)&gt;0)),"",TEXTJOIN(" | ",TRUE,IF(A47="","Falta ID staging",""),IF(COUNTIF($A$5:$A$445,A47)&gt;1,"ID staging duplicado",""),IF(G47="","Falta nombre",""),IF(LEN(G47)&gt;150,"Nombre &gt;150 caracteres",""),IF(H47="","Falta categoría",IF(COUNTIF(CategoriasLista,H47)=0,"Categoría inválida","")),IF(M47="","Falta precio compra",IF(OR(NOT(ISNUMBER(M47)),M47&lt;0),"Precio compra inválido","")),IF(N47="","Falta precio venta",IF(OR(NOT(ISNUMBER(N47)),N47&lt;=0,N47&lt;M47),"Precio venta inválido","")),IF(O47="","Falta stock mínimo",IF(OR(NOT(ISNUMBER(O47)),O47&lt;0,MOD(O47,1)&lt;&gt;0),"Stock mínimo inválido","")),IF(P47="","Falta unidad",IF(COUNTIF(UnidadesLista,P47)=0,"Unidad inválida","")),IF(AND(K47&lt;&gt;"",COUNTIF(ProveedoresLista,K47)=0),"Proveedor no catalogado",""),IF(X47="","Falta cantidad contada",IF(OR(NOT(ISNUMBER(X47)),X47&lt;0,ABS(X47*1000-ROUND(X47*1000,0))&gt;0.0000001),"Cantidad inválida",IF(AND(Q47="NO",MOD(X47,1)&lt;&gt;0),"Cantidad fraccionaria no permitida",""))),IF(AND(R47="SI",OR(NOT(ISNUMBER(S47)),S47&lt;1,MOD(S47,1)&lt;&gt;0)),"Empaque inválido",""),IF(OR(AND(AF47="",AG47="ESCANEADO"),AND(AF47&lt;&gt;"",AG47&lt;&gt;"ESCANEADO")),"Barcode/estado inconsistente",""),IF(AK47&lt;&gt;"",AK47,"")))</f>
        <v/>
      </c>
      <c r="AJ47" s="21" t="n"/>
      <c r="AK47" s="17">
        <f>IF(G47="","",IF(OR(COUNTIFS($G$5:$G$445,G47,$I$5:$I$445,I47,$J$5:$J$445,J47,$P$5:$P$445,P47)&gt;1,AND(AF47&lt;&gt;"",COUNTIF($AF$5:$AF$445,AF47)&gt;1)),"REVISAR_POSIBLE_DUPLICADO",""))</f>
        <v/>
      </c>
    </row>
    <row r="48">
      <c r="A48" s="17" t="inlineStr">
        <is>
          <t>06a1e285-8ffd-5b84-a718-d2ab4a545de7</t>
        </is>
      </c>
      <c r="B48" s="18" t="inlineStr">
        <is>
          <t>EXISTENTE</t>
        </is>
      </c>
      <c r="C48" s="18" t="inlineStr">
        <is>
          <t>ACTIVO</t>
        </is>
      </c>
      <c r="D48" s="18" t="n">
        <v>83</v>
      </c>
      <c r="E48" s="17" t="inlineStr">
        <is>
          <t>c44a2a97-d69e-49af-9080-dc581f5921d2</t>
        </is>
      </c>
      <c r="F48" s="17" t="inlineStr">
        <is>
          <t>PRB-FER-0031</t>
        </is>
      </c>
      <c r="G48" s="19" t="inlineStr">
        <is>
          <t>Taladro percutor 1/2 pulgada</t>
        </is>
      </c>
      <c r="H48" s="19" t="inlineStr">
        <is>
          <t>Herramientas eléctricas</t>
        </is>
      </c>
      <c r="I48" s="20" t="inlineStr">
        <is>
          <t>Andina Tools</t>
        </is>
      </c>
      <c r="J48" s="20" t="inlineStr">
        <is>
          <t>Unidad</t>
        </is>
      </c>
      <c r="K48" s="21" t="inlineStr">
        <is>
          <t>Proveedor Prueba Plomería Nacional</t>
        </is>
      </c>
      <c r="L48" s="18" t="n">
        <v>15</v>
      </c>
      <c r="M48" s="22" t="n">
        <v>165000</v>
      </c>
      <c r="N48" s="22" t="n">
        <v>225000</v>
      </c>
      <c r="O48" s="23" t="n">
        <v>2</v>
      </c>
      <c r="P48" s="24" t="inlineStr">
        <is>
          <t>UNIDAD</t>
        </is>
      </c>
      <c r="Q48" s="20" t="inlineStr">
        <is>
          <t>NO</t>
        </is>
      </c>
      <c r="R48" s="20" t="inlineStr">
        <is>
          <t>NO</t>
        </is>
      </c>
      <c r="S48" s="25" t="n">
        <v>1</v>
      </c>
      <c r="T48" s="20" t="inlineStr">
        <is>
          <t>NO</t>
        </is>
      </c>
      <c r="U48" s="20" t="inlineStr">
        <is>
          <t>Bodega de pruebas</t>
        </is>
      </c>
      <c r="V48" s="21" t="inlineStr">
        <is>
          <t>Producto ficticio de prueba para validacion de busquedas, inventario, ventas y compras en FERREPRO. No corresponde a inventario real.</t>
        </is>
      </c>
      <c r="W48" s="26" t="n">
        <v>7</v>
      </c>
      <c r="X48" s="27" t="n"/>
      <c r="Y48" s="20" t="n"/>
      <c r="Z48" s="20" t="n"/>
      <c r="AA48" s="26">
        <f>IF(X48="","",X48-IF(W48="",0,W48))</f>
        <v/>
      </c>
      <c r="AB48" s="28">
        <f>IF(OR(X48="",M48=""),"",X48*M48)</f>
        <v/>
      </c>
      <c r="AC48" s="28">
        <f>IF(OR(X48="",N48=""),"",X48*N48)</f>
        <v/>
      </c>
      <c r="AD48" s="28">
        <f>IF(OR(M48="",N48=""),"",N48-M48)</f>
        <v/>
      </c>
      <c r="AE48" s="29">
        <f>IFERROR(IF(M48&gt;0,(N48-M48)/M48,""),"")</f>
        <v/>
      </c>
      <c r="AF48" s="30" t="n"/>
      <c r="AG48" s="30" t="inlineStr">
        <is>
          <t>PENDIENTE</t>
        </is>
      </c>
      <c r="AH48" s="18">
        <f>IF(NOT(OR(B48="EXISTENTE",COUNTA(G48,H48,I48,J48,K48,M48,N48,U48,V48,X48,Y48,Z48,AF48,AJ48)&gt;0)),"",IF(AK48&lt;&gt;"","REVISAR",IF(OR(G48="",H48="",M48="",N48="",O48="",P48="",X48=""),"INCOMPLETO",IF(AI48&lt;&gt;"","REVISAR",IF(AND(AF48&lt;&gt;"",AG48="ESCANEADO"),"LISTO_COMPLETO","LISTO_SIN_BARCODE")))))</f>
        <v/>
      </c>
      <c r="AI48" s="17">
        <f>IF(NOT(OR(B48="EXISTENTE",COUNTA(G48,H48,I48,J48,K48,M48,N48,U48,V48,X48,Y48,Z48,AF48,AJ48)&gt;0)),"",TEXTJOIN(" | ",TRUE,IF(A48="","Falta ID staging",""),IF(COUNTIF($A$5:$A$445,A48)&gt;1,"ID staging duplicado",""),IF(G48="","Falta nombre",""),IF(LEN(G48)&gt;150,"Nombre &gt;150 caracteres",""),IF(H48="","Falta categoría",IF(COUNTIF(CategoriasLista,H48)=0,"Categoría inválida","")),IF(M48="","Falta precio compra",IF(OR(NOT(ISNUMBER(M48)),M48&lt;0),"Precio compra inválido","")),IF(N48="","Falta precio venta",IF(OR(NOT(ISNUMBER(N48)),N48&lt;=0,N48&lt;M48),"Precio venta inválido","")),IF(O48="","Falta stock mínimo",IF(OR(NOT(ISNUMBER(O48)),O48&lt;0,MOD(O48,1)&lt;&gt;0),"Stock mínimo inválido","")),IF(P48="","Falta unidad",IF(COUNTIF(UnidadesLista,P48)=0,"Unidad inválida","")),IF(AND(K48&lt;&gt;"",COUNTIF(ProveedoresLista,K48)=0),"Proveedor no catalogado",""),IF(X48="","Falta cantidad contada",IF(OR(NOT(ISNUMBER(X48)),X48&lt;0,ABS(X48*1000-ROUND(X48*1000,0))&gt;0.0000001),"Cantidad inválida",IF(AND(Q48="NO",MOD(X48,1)&lt;&gt;0),"Cantidad fraccionaria no permitida",""))),IF(AND(R48="SI",OR(NOT(ISNUMBER(S48)),S48&lt;1,MOD(S48,1)&lt;&gt;0)),"Empaque inválido",""),IF(OR(AND(AF48="",AG48="ESCANEADO"),AND(AF48&lt;&gt;"",AG48&lt;&gt;"ESCANEADO")),"Barcode/estado inconsistente",""),IF(AK48&lt;&gt;"",AK48,"")))</f>
        <v/>
      </c>
      <c r="AJ48" s="21" t="n"/>
      <c r="AK48" s="17">
        <f>IF(G48="","",IF(OR(COUNTIFS($G$5:$G$445,G48,$I$5:$I$445,I48,$J$5:$J$445,J48,$P$5:$P$445,P48)&gt;1,AND(AF48&lt;&gt;"",COUNTIF($AF$5:$AF$445,AF48)&gt;1)),"REVISAR_POSIBLE_DUPLICADO",""))</f>
        <v/>
      </c>
    </row>
    <row r="49">
      <c r="A49" s="17" t="inlineStr">
        <is>
          <t>d6cfef04-06a8-587c-a9c9-cc023d335e39</t>
        </is>
      </c>
      <c r="B49" s="18" t="inlineStr">
        <is>
          <t>EXISTENTE</t>
        </is>
      </c>
      <c r="C49" s="18" t="inlineStr">
        <is>
          <t>ACTIVO</t>
        </is>
      </c>
      <c r="D49" s="18" t="n">
        <v>84</v>
      </c>
      <c r="E49" s="17" t="inlineStr">
        <is>
          <t>456c2d3b-9c16-481f-9c6f-e39848a4a5dc</t>
        </is>
      </c>
      <c r="F49" s="17" t="inlineStr">
        <is>
          <t>PRB-FER-0032</t>
        </is>
      </c>
      <c r="G49" s="19" t="inlineStr">
        <is>
          <t>Pulidora angular 4 1/2 pulgadas</t>
        </is>
      </c>
      <c r="H49" s="19" t="inlineStr">
        <is>
          <t>Herramientas eléctricas</t>
        </is>
      </c>
      <c r="I49" s="20" t="inlineStr">
        <is>
          <t>FerroMax</t>
        </is>
      </c>
      <c r="J49" s="20" t="inlineStr">
        <is>
          <t>Unidad</t>
        </is>
      </c>
      <c r="K49" s="21" t="inlineStr">
        <is>
          <t>Proveedor Prueba Seguridad y Protección</t>
        </is>
      </c>
      <c r="L49" s="18" t="n">
        <v>16</v>
      </c>
      <c r="M49" s="22" t="n">
        <v>145000</v>
      </c>
      <c r="N49" s="22" t="n">
        <v>205000</v>
      </c>
      <c r="O49" s="23" t="n">
        <v>2</v>
      </c>
      <c r="P49" s="24" t="inlineStr">
        <is>
          <t>UNIDAD</t>
        </is>
      </c>
      <c r="Q49" s="20" t="inlineStr">
        <is>
          <t>NO</t>
        </is>
      </c>
      <c r="R49" s="20" t="inlineStr">
        <is>
          <t>NO</t>
        </is>
      </c>
      <c r="S49" s="25" t="n">
        <v>1</v>
      </c>
      <c r="T49" s="20" t="inlineStr">
        <is>
          <t>NO</t>
        </is>
      </c>
      <c r="U49" s="20" t="inlineStr">
        <is>
          <t>Bodega de pruebas</t>
        </is>
      </c>
      <c r="V49" s="21" t="inlineStr">
        <is>
          <t>Producto ficticio de prueba para validacion de busquedas, inventario, ventas y compras en FERREPRO. No corresponde a inventario real.</t>
        </is>
      </c>
      <c r="W49" s="26" t="n">
        <v>8</v>
      </c>
      <c r="X49" s="27" t="n"/>
      <c r="Y49" s="20" t="n"/>
      <c r="Z49" s="20" t="n"/>
      <c r="AA49" s="26">
        <f>IF(X49="","",X49-IF(W49="",0,W49))</f>
        <v/>
      </c>
      <c r="AB49" s="28">
        <f>IF(OR(X49="",M49=""),"",X49*M49)</f>
        <v/>
      </c>
      <c r="AC49" s="28">
        <f>IF(OR(X49="",N49=""),"",X49*N49)</f>
        <v/>
      </c>
      <c r="AD49" s="28">
        <f>IF(OR(M49="",N49=""),"",N49-M49)</f>
        <v/>
      </c>
      <c r="AE49" s="29">
        <f>IFERROR(IF(M49&gt;0,(N49-M49)/M49,""),"")</f>
        <v/>
      </c>
      <c r="AF49" s="30" t="n"/>
      <c r="AG49" s="30" t="inlineStr">
        <is>
          <t>PENDIENTE</t>
        </is>
      </c>
      <c r="AH49" s="18">
        <f>IF(NOT(OR(B49="EXISTENTE",COUNTA(G49,H49,I49,J49,K49,M49,N49,U49,V49,X49,Y49,Z49,AF49,AJ49)&gt;0)),"",IF(AK49&lt;&gt;"","REVISAR",IF(OR(G49="",H49="",M49="",N49="",O49="",P49="",X49=""),"INCOMPLETO",IF(AI49&lt;&gt;"","REVISAR",IF(AND(AF49&lt;&gt;"",AG49="ESCANEADO"),"LISTO_COMPLETO","LISTO_SIN_BARCODE")))))</f>
        <v/>
      </c>
      <c r="AI49" s="17">
        <f>IF(NOT(OR(B49="EXISTENTE",COUNTA(G49,H49,I49,J49,K49,M49,N49,U49,V49,X49,Y49,Z49,AF49,AJ49)&gt;0)),"",TEXTJOIN(" | ",TRUE,IF(A49="","Falta ID staging",""),IF(COUNTIF($A$5:$A$445,A49)&gt;1,"ID staging duplicado",""),IF(G49="","Falta nombre",""),IF(LEN(G49)&gt;150,"Nombre &gt;150 caracteres",""),IF(H49="","Falta categoría",IF(COUNTIF(CategoriasLista,H49)=0,"Categoría inválida","")),IF(M49="","Falta precio compra",IF(OR(NOT(ISNUMBER(M49)),M49&lt;0),"Precio compra inválido","")),IF(N49="","Falta precio venta",IF(OR(NOT(ISNUMBER(N49)),N49&lt;=0,N49&lt;M49),"Precio venta inválido","")),IF(O49="","Falta stock mínimo",IF(OR(NOT(ISNUMBER(O49)),O49&lt;0,MOD(O49,1)&lt;&gt;0),"Stock mínimo inválido","")),IF(P49="","Falta unidad",IF(COUNTIF(UnidadesLista,P49)=0,"Unidad inválida","")),IF(AND(K49&lt;&gt;"",COUNTIF(ProveedoresLista,K49)=0),"Proveedor no catalogado",""),IF(X49="","Falta cantidad contada",IF(OR(NOT(ISNUMBER(X49)),X49&lt;0,ABS(X49*1000-ROUND(X49*1000,0))&gt;0.0000001),"Cantidad inválida",IF(AND(Q49="NO",MOD(X49,1)&lt;&gt;0),"Cantidad fraccionaria no permitida",""))),IF(AND(R49="SI",OR(NOT(ISNUMBER(S49)),S49&lt;1,MOD(S49,1)&lt;&gt;0)),"Empaque inválido",""),IF(OR(AND(AF49="",AG49="ESCANEADO"),AND(AF49&lt;&gt;"",AG49&lt;&gt;"ESCANEADO")),"Barcode/estado inconsistente",""),IF(AK49&lt;&gt;"",AK49,"")))</f>
        <v/>
      </c>
      <c r="AJ49" s="21" t="n"/>
      <c r="AK49" s="17">
        <f>IF(G49="","",IF(OR(COUNTIFS($G$5:$G$445,G49,$I$5:$I$445,I49,$J$5:$J$445,J49,$P$5:$P$445,P49)&gt;1,AND(AF49&lt;&gt;"",COUNTIF($AF$5:$AF$445,AF49)&gt;1)),"REVISAR_POSIBLE_DUPLICADO",""))</f>
        <v/>
      </c>
    </row>
    <row r="50">
      <c r="A50" s="17" t="inlineStr">
        <is>
          <t>e903a3a3-56ff-5ac3-855e-580c4283de4b</t>
        </is>
      </c>
      <c r="B50" s="18" t="inlineStr">
        <is>
          <t>EXISTENTE</t>
        </is>
      </c>
      <c r="C50" s="18" t="inlineStr">
        <is>
          <t>ACTIVO</t>
        </is>
      </c>
      <c r="D50" s="18" t="n">
        <v>85</v>
      </c>
      <c r="E50" s="17" t="inlineStr">
        <is>
          <t>8195cafc-f0bf-4bdc-8b9d-153dcf30df0b</t>
        </is>
      </c>
      <c r="F50" s="17" t="inlineStr">
        <is>
          <t>PRB-FER-0033</t>
        </is>
      </c>
      <c r="G50" s="19" t="inlineStr">
        <is>
          <t>Sierra circular 7 1/4 pulgadas</t>
        </is>
      </c>
      <c r="H50" s="19" t="inlineStr">
        <is>
          <t>Herramientas eléctricas</t>
        </is>
      </c>
      <c r="I50" s="20" t="inlineStr">
        <is>
          <t>ConstruPro</t>
        </is>
      </c>
      <c r="J50" s="20" t="inlineStr">
        <is>
          <t>Unidad</t>
        </is>
      </c>
      <c r="K50" s="21" t="inlineStr">
        <is>
          <t>Proveedor Prueba Ferretería Central S.A.S.</t>
        </is>
      </c>
      <c r="L50" s="18" t="n">
        <v>9</v>
      </c>
      <c r="M50" s="22" t="n">
        <v>245000</v>
      </c>
      <c r="N50" s="22" t="n">
        <v>335000</v>
      </c>
      <c r="O50" s="23" t="n">
        <v>2</v>
      </c>
      <c r="P50" s="24" t="inlineStr">
        <is>
          <t>UNIDAD</t>
        </is>
      </c>
      <c r="Q50" s="20" t="inlineStr">
        <is>
          <t>NO</t>
        </is>
      </c>
      <c r="R50" s="20" t="inlineStr">
        <is>
          <t>NO</t>
        </is>
      </c>
      <c r="S50" s="25" t="n">
        <v>1</v>
      </c>
      <c r="T50" s="20" t="inlineStr">
        <is>
          <t>NO</t>
        </is>
      </c>
      <c r="U50" s="20" t="inlineStr">
        <is>
          <t>Bodega de pruebas</t>
        </is>
      </c>
      <c r="V50" s="21" t="inlineStr">
        <is>
          <t>Producto ficticio de prueba para validacion de busquedas, inventario, ventas y compras en FERREPRO. No corresponde a inventario real.</t>
        </is>
      </c>
      <c r="W50" s="26" t="n">
        <v>5</v>
      </c>
      <c r="X50" s="27" t="n"/>
      <c r="Y50" s="20" t="n"/>
      <c r="Z50" s="20" t="n"/>
      <c r="AA50" s="26">
        <f>IF(X50="","",X50-IF(W50="",0,W50))</f>
        <v/>
      </c>
      <c r="AB50" s="28">
        <f>IF(OR(X50="",M50=""),"",X50*M50)</f>
        <v/>
      </c>
      <c r="AC50" s="28">
        <f>IF(OR(X50="",N50=""),"",X50*N50)</f>
        <v/>
      </c>
      <c r="AD50" s="28">
        <f>IF(OR(M50="",N50=""),"",N50-M50)</f>
        <v/>
      </c>
      <c r="AE50" s="29">
        <f>IFERROR(IF(M50&gt;0,(N50-M50)/M50,""),"")</f>
        <v/>
      </c>
      <c r="AF50" s="30" t="n"/>
      <c r="AG50" s="30" t="inlineStr">
        <is>
          <t>PENDIENTE</t>
        </is>
      </c>
      <c r="AH50" s="18">
        <f>IF(NOT(OR(B50="EXISTENTE",COUNTA(G50,H50,I50,J50,K50,M50,N50,U50,V50,X50,Y50,Z50,AF50,AJ50)&gt;0)),"",IF(AK50&lt;&gt;"","REVISAR",IF(OR(G50="",H50="",M50="",N50="",O50="",P50="",X50=""),"INCOMPLETO",IF(AI50&lt;&gt;"","REVISAR",IF(AND(AF50&lt;&gt;"",AG50="ESCANEADO"),"LISTO_COMPLETO","LISTO_SIN_BARCODE")))))</f>
        <v/>
      </c>
      <c r="AI50" s="17">
        <f>IF(NOT(OR(B50="EXISTENTE",COUNTA(G50,H50,I50,J50,K50,M50,N50,U50,V50,X50,Y50,Z50,AF50,AJ50)&gt;0)),"",TEXTJOIN(" | ",TRUE,IF(A50="","Falta ID staging",""),IF(COUNTIF($A$5:$A$445,A50)&gt;1,"ID staging duplicado",""),IF(G50="","Falta nombre",""),IF(LEN(G50)&gt;150,"Nombre &gt;150 caracteres",""),IF(H50="","Falta categoría",IF(COUNTIF(CategoriasLista,H50)=0,"Categoría inválida","")),IF(M50="","Falta precio compra",IF(OR(NOT(ISNUMBER(M50)),M50&lt;0),"Precio compra inválido","")),IF(N50="","Falta precio venta",IF(OR(NOT(ISNUMBER(N50)),N50&lt;=0,N50&lt;M50),"Precio venta inválido","")),IF(O50="","Falta stock mínimo",IF(OR(NOT(ISNUMBER(O50)),O50&lt;0,MOD(O50,1)&lt;&gt;0),"Stock mínimo inválido","")),IF(P50="","Falta unidad",IF(COUNTIF(UnidadesLista,P50)=0,"Unidad inválida","")),IF(AND(K50&lt;&gt;"",COUNTIF(ProveedoresLista,K50)=0),"Proveedor no catalogado",""),IF(X50="","Falta cantidad contada",IF(OR(NOT(ISNUMBER(X50)),X50&lt;0,ABS(X50*1000-ROUND(X50*1000,0))&gt;0.0000001),"Cantidad inválida",IF(AND(Q50="NO",MOD(X50,1)&lt;&gt;0),"Cantidad fraccionaria no permitida",""))),IF(AND(R50="SI",OR(NOT(ISNUMBER(S50)),S50&lt;1,MOD(S50,1)&lt;&gt;0)),"Empaque inválido",""),IF(OR(AND(AF50="",AG50="ESCANEADO"),AND(AF50&lt;&gt;"",AG50&lt;&gt;"ESCANEADO")),"Barcode/estado inconsistente",""),IF(AK50&lt;&gt;"",AK50,"")))</f>
        <v/>
      </c>
      <c r="AJ50" s="21" t="n"/>
      <c r="AK50" s="17">
        <f>IF(G50="","",IF(OR(COUNTIFS($G$5:$G$445,G50,$I$5:$I$445,I50,$J$5:$J$445,J50,$P$5:$P$445,P50)&gt;1,AND(AF50&lt;&gt;"",COUNTIF($AF$5:$AF$445,AF50)&gt;1)),"REVISAR_POSIBLE_DUPLICADO",""))</f>
        <v/>
      </c>
    </row>
    <row r="51">
      <c r="A51" s="17" t="inlineStr">
        <is>
          <t>d60e6b4b-4440-5960-825d-34eacdc91bbc</t>
        </is>
      </c>
      <c r="B51" s="18" t="inlineStr">
        <is>
          <t>EXISTENTE</t>
        </is>
      </c>
      <c r="C51" s="18" t="inlineStr">
        <is>
          <t>ACTIVO</t>
        </is>
      </c>
      <c r="D51" s="18" t="n">
        <v>86</v>
      </c>
      <c r="E51" s="17" t="inlineStr">
        <is>
          <t>d9a4de00-566d-41dc-ad62-e93d103cad59</t>
        </is>
      </c>
      <c r="F51" s="17" t="inlineStr">
        <is>
          <t>PRB-FER-0034</t>
        </is>
      </c>
      <c r="G51" s="19" t="inlineStr">
        <is>
          <t>Lijadora orbital</t>
        </is>
      </c>
      <c r="H51" s="19" t="inlineStr">
        <is>
          <t>Herramientas eléctricas</t>
        </is>
      </c>
      <c r="I51" s="20" t="inlineStr">
        <is>
          <t>Andina Tools</t>
        </is>
      </c>
      <c r="J51" s="20" t="inlineStr">
        <is>
          <t>Unidad</t>
        </is>
      </c>
      <c r="K51" s="21" t="inlineStr">
        <is>
          <t>Proveedor Prueba ConstruMateriales del Norte</t>
        </is>
      </c>
      <c r="L51" s="18" t="n">
        <v>10</v>
      </c>
      <c r="M51" s="22" t="n">
        <v>130000</v>
      </c>
      <c r="N51" s="22" t="n">
        <v>180000</v>
      </c>
      <c r="O51" s="23" t="n">
        <v>2</v>
      </c>
      <c r="P51" s="24" t="inlineStr">
        <is>
          <t>UNIDAD</t>
        </is>
      </c>
      <c r="Q51" s="20" t="inlineStr">
        <is>
          <t>NO</t>
        </is>
      </c>
      <c r="R51" s="20" t="inlineStr">
        <is>
          <t>NO</t>
        </is>
      </c>
      <c r="S51" s="25" t="n">
        <v>1</v>
      </c>
      <c r="T51" s="20" t="inlineStr">
        <is>
          <t>NO</t>
        </is>
      </c>
      <c r="U51" s="20" t="inlineStr">
        <is>
          <t>Bodega de pruebas</t>
        </is>
      </c>
      <c r="V51" s="21" t="inlineStr">
        <is>
          <t>Producto ficticio de prueba para validacion de busquedas, inventario, ventas y compras en FERREPRO. No corresponde a inventario real.</t>
        </is>
      </c>
      <c r="W51" s="26" t="n">
        <v>6</v>
      </c>
      <c r="X51" s="27" t="n"/>
      <c r="Y51" s="20" t="n"/>
      <c r="Z51" s="20" t="n"/>
      <c r="AA51" s="26">
        <f>IF(X51="","",X51-IF(W51="",0,W51))</f>
        <v/>
      </c>
      <c r="AB51" s="28">
        <f>IF(OR(X51="",M51=""),"",X51*M51)</f>
        <v/>
      </c>
      <c r="AC51" s="28">
        <f>IF(OR(X51="",N51=""),"",X51*N51)</f>
        <v/>
      </c>
      <c r="AD51" s="28">
        <f>IF(OR(M51="",N51=""),"",N51-M51)</f>
        <v/>
      </c>
      <c r="AE51" s="29">
        <f>IFERROR(IF(M51&gt;0,(N51-M51)/M51,""),"")</f>
        <v/>
      </c>
      <c r="AF51" s="30" t="n"/>
      <c r="AG51" s="30" t="inlineStr">
        <is>
          <t>PENDIENTE</t>
        </is>
      </c>
      <c r="AH51" s="18">
        <f>IF(NOT(OR(B51="EXISTENTE",COUNTA(G51,H51,I51,J51,K51,M51,N51,U51,V51,X51,Y51,Z51,AF51,AJ51)&gt;0)),"",IF(AK51&lt;&gt;"","REVISAR",IF(OR(G51="",H51="",M51="",N51="",O51="",P51="",X51=""),"INCOMPLETO",IF(AI51&lt;&gt;"","REVISAR",IF(AND(AF51&lt;&gt;"",AG51="ESCANEADO"),"LISTO_COMPLETO","LISTO_SIN_BARCODE")))))</f>
        <v/>
      </c>
      <c r="AI51" s="17">
        <f>IF(NOT(OR(B51="EXISTENTE",COUNTA(G51,H51,I51,J51,K51,M51,N51,U51,V51,X51,Y51,Z51,AF51,AJ51)&gt;0)),"",TEXTJOIN(" | ",TRUE,IF(A51="","Falta ID staging",""),IF(COUNTIF($A$5:$A$445,A51)&gt;1,"ID staging duplicado",""),IF(G51="","Falta nombre",""),IF(LEN(G51)&gt;150,"Nombre &gt;150 caracteres",""),IF(H51="","Falta categoría",IF(COUNTIF(CategoriasLista,H51)=0,"Categoría inválida","")),IF(M51="","Falta precio compra",IF(OR(NOT(ISNUMBER(M51)),M51&lt;0),"Precio compra inválido","")),IF(N51="","Falta precio venta",IF(OR(NOT(ISNUMBER(N51)),N51&lt;=0,N51&lt;M51),"Precio venta inválido","")),IF(O51="","Falta stock mínimo",IF(OR(NOT(ISNUMBER(O51)),O51&lt;0,MOD(O51,1)&lt;&gt;0),"Stock mínimo inválido","")),IF(P51="","Falta unidad",IF(COUNTIF(UnidadesLista,P51)=0,"Unidad inválida","")),IF(AND(K51&lt;&gt;"",COUNTIF(ProveedoresLista,K51)=0),"Proveedor no catalogado",""),IF(X51="","Falta cantidad contada",IF(OR(NOT(ISNUMBER(X51)),X51&lt;0,ABS(X51*1000-ROUND(X51*1000,0))&gt;0.0000001),"Cantidad inválida",IF(AND(Q51="NO",MOD(X51,1)&lt;&gt;0),"Cantidad fraccionaria no permitida",""))),IF(AND(R51="SI",OR(NOT(ISNUMBER(S51)),S51&lt;1,MOD(S51,1)&lt;&gt;0)),"Empaque inválido",""),IF(OR(AND(AF51="",AG51="ESCANEADO"),AND(AF51&lt;&gt;"",AG51&lt;&gt;"ESCANEADO")),"Barcode/estado inconsistente",""),IF(AK51&lt;&gt;"",AK51,"")))</f>
        <v/>
      </c>
      <c r="AJ51" s="21" t="n"/>
      <c r="AK51" s="17">
        <f>IF(G51="","",IF(OR(COUNTIFS($G$5:$G$445,G51,$I$5:$I$445,I51,$J$5:$J$445,J51,$P$5:$P$445,P51)&gt;1,AND(AF51&lt;&gt;"",COUNTIF($AF$5:$AF$445,AF51)&gt;1)),"REVISAR_POSIBLE_DUPLICADO",""))</f>
        <v/>
      </c>
    </row>
    <row r="52">
      <c r="A52" s="17" t="inlineStr">
        <is>
          <t>015f9f7a-0e83-5e35-9d60-c0cfab31b940</t>
        </is>
      </c>
      <c r="B52" s="18" t="inlineStr">
        <is>
          <t>EXISTENTE</t>
        </is>
      </c>
      <c r="C52" s="18" t="inlineStr">
        <is>
          <t>ACTIVO</t>
        </is>
      </c>
      <c r="D52" s="18" t="n">
        <v>87</v>
      </c>
      <c r="E52" s="17" t="inlineStr">
        <is>
          <t>d0cb131e-f563-470e-9d2a-3b6586f00479</t>
        </is>
      </c>
      <c r="F52" s="17" t="inlineStr">
        <is>
          <t>PRB-FER-0035</t>
        </is>
      </c>
      <c r="G52" s="19" t="inlineStr">
        <is>
          <t>Pistola de calor</t>
        </is>
      </c>
      <c r="H52" s="19" t="inlineStr">
        <is>
          <t>Herramientas eléctricas</t>
        </is>
      </c>
      <c r="I52" s="20" t="inlineStr">
        <is>
          <t>FerroMax</t>
        </is>
      </c>
      <c r="J52" s="20" t="inlineStr">
        <is>
          <t>Unidad</t>
        </is>
      </c>
      <c r="K52" s="21" t="inlineStr">
        <is>
          <t>Proveedor Prueba Tornillos y Fijaciones Andinas</t>
        </is>
      </c>
      <c r="L52" s="18" t="n">
        <v>11</v>
      </c>
      <c r="M52" s="22" t="n">
        <v>95000</v>
      </c>
      <c r="N52" s="22" t="n">
        <v>135000</v>
      </c>
      <c r="O52" s="23" t="n">
        <v>2</v>
      </c>
      <c r="P52" s="24" t="inlineStr">
        <is>
          <t>UNIDAD</t>
        </is>
      </c>
      <c r="Q52" s="20" t="inlineStr">
        <is>
          <t>NO</t>
        </is>
      </c>
      <c r="R52" s="20" t="inlineStr">
        <is>
          <t>NO</t>
        </is>
      </c>
      <c r="S52" s="25" t="n">
        <v>1</v>
      </c>
      <c r="T52" s="20" t="inlineStr">
        <is>
          <t>NO</t>
        </is>
      </c>
      <c r="U52" s="20" t="inlineStr">
        <is>
          <t>Bodega de pruebas</t>
        </is>
      </c>
      <c r="V52" s="21" t="inlineStr">
        <is>
          <t>Producto ficticio de prueba para validacion de busquedas, inventario, ventas y compras en FERREPRO. No corresponde a inventario real.</t>
        </is>
      </c>
      <c r="W52" s="26" t="n">
        <v>8</v>
      </c>
      <c r="X52" s="27" t="n"/>
      <c r="Y52" s="20" t="n"/>
      <c r="Z52" s="20" t="n"/>
      <c r="AA52" s="26">
        <f>IF(X52="","",X52-IF(W52="",0,W52))</f>
        <v/>
      </c>
      <c r="AB52" s="28">
        <f>IF(OR(X52="",M52=""),"",X52*M52)</f>
        <v/>
      </c>
      <c r="AC52" s="28">
        <f>IF(OR(X52="",N52=""),"",X52*N52)</f>
        <v/>
      </c>
      <c r="AD52" s="28">
        <f>IF(OR(M52="",N52=""),"",N52-M52)</f>
        <v/>
      </c>
      <c r="AE52" s="29">
        <f>IFERROR(IF(M52&gt;0,(N52-M52)/M52,""),"")</f>
        <v/>
      </c>
      <c r="AF52" s="30" t="n"/>
      <c r="AG52" s="30" t="inlineStr">
        <is>
          <t>PENDIENTE</t>
        </is>
      </c>
      <c r="AH52" s="18">
        <f>IF(NOT(OR(B52="EXISTENTE",COUNTA(G52,H52,I52,J52,K52,M52,N52,U52,V52,X52,Y52,Z52,AF52,AJ52)&gt;0)),"",IF(AK52&lt;&gt;"","REVISAR",IF(OR(G52="",H52="",M52="",N52="",O52="",P52="",X52=""),"INCOMPLETO",IF(AI52&lt;&gt;"","REVISAR",IF(AND(AF52&lt;&gt;"",AG52="ESCANEADO"),"LISTO_COMPLETO","LISTO_SIN_BARCODE")))))</f>
        <v/>
      </c>
      <c r="AI52" s="17">
        <f>IF(NOT(OR(B52="EXISTENTE",COUNTA(G52,H52,I52,J52,K52,M52,N52,U52,V52,X52,Y52,Z52,AF52,AJ52)&gt;0)),"",TEXTJOIN(" | ",TRUE,IF(A52="","Falta ID staging",""),IF(COUNTIF($A$5:$A$445,A52)&gt;1,"ID staging duplicado",""),IF(G52="","Falta nombre",""),IF(LEN(G52)&gt;150,"Nombre &gt;150 caracteres",""),IF(H52="","Falta categoría",IF(COUNTIF(CategoriasLista,H52)=0,"Categoría inválida","")),IF(M52="","Falta precio compra",IF(OR(NOT(ISNUMBER(M52)),M52&lt;0),"Precio compra inválido","")),IF(N52="","Falta precio venta",IF(OR(NOT(ISNUMBER(N52)),N52&lt;=0,N52&lt;M52),"Precio venta inválido","")),IF(O52="","Falta stock mínimo",IF(OR(NOT(ISNUMBER(O52)),O52&lt;0,MOD(O52,1)&lt;&gt;0),"Stock mínimo inválido","")),IF(P52="","Falta unidad",IF(COUNTIF(UnidadesLista,P52)=0,"Unidad inválida","")),IF(AND(K52&lt;&gt;"",COUNTIF(ProveedoresLista,K52)=0),"Proveedor no catalogado",""),IF(X52="","Falta cantidad contada",IF(OR(NOT(ISNUMBER(X52)),X52&lt;0,ABS(X52*1000-ROUND(X52*1000,0))&gt;0.0000001),"Cantidad inválida",IF(AND(Q52="NO",MOD(X52,1)&lt;&gt;0),"Cantidad fraccionaria no permitida",""))),IF(AND(R52="SI",OR(NOT(ISNUMBER(S52)),S52&lt;1,MOD(S52,1)&lt;&gt;0)),"Empaque inválido",""),IF(OR(AND(AF52="",AG52="ESCANEADO"),AND(AF52&lt;&gt;"",AG52&lt;&gt;"ESCANEADO")),"Barcode/estado inconsistente",""),IF(AK52&lt;&gt;"",AK52,"")))</f>
        <v/>
      </c>
      <c r="AJ52" s="21" t="n"/>
      <c r="AK52" s="17">
        <f>IF(G52="","",IF(OR(COUNTIFS($G$5:$G$445,G52,$I$5:$I$445,I52,$J$5:$J$445,J52,$P$5:$P$445,P52)&gt;1,AND(AF52&lt;&gt;"",COUNTIF($AF$5:$AF$445,AF52)&gt;1)),"REVISAR_POSIBLE_DUPLICADO",""))</f>
        <v/>
      </c>
    </row>
    <row r="53">
      <c r="A53" s="17" t="inlineStr">
        <is>
          <t>f976d004-9360-52ab-8d46-cb821147a496</t>
        </is>
      </c>
      <c r="B53" s="18" t="inlineStr">
        <is>
          <t>EXISTENTE</t>
        </is>
      </c>
      <c r="C53" s="18" t="inlineStr">
        <is>
          <t>ACTIVO</t>
        </is>
      </c>
      <c r="D53" s="18" t="n">
        <v>88</v>
      </c>
      <c r="E53" s="17" t="inlineStr">
        <is>
          <t>8a597451-8c9c-4a4a-aa5f-c0b0aa00918c</t>
        </is>
      </c>
      <c r="F53" s="17" t="inlineStr">
        <is>
          <t>PRB-FER-0036</t>
        </is>
      </c>
      <c r="G53" s="19" t="inlineStr">
        <is>
          <t>Atornillador inalámbrico</t>
        </is>
      </c>
      <c r="H53" s="19" t="inlineStr">
        <is>
          <t>Herramientas eléctricas</t>
        </is>
      </c>
      <c r="I53" s="20" t="inlineStr">
        <is>
          <t>ConstruPro</t>
        </is>
      </c>
      <c r="J53" s="20" t="inlineStr">
        <is>
          <t>Unidad</t>
        </is>
      </c>
      <c r="K53" s="21" t="inlineStr">
        <is>
          <t>Proveedor Prueba Eléctricos Colombia</t>
        </is>
      </c>
      <c r="L53" s="18" t="n">
        <v>12</v>
      </c>
      <c r="M53" s="22" t="n">
        <v>175000</v>
      </c>
      <c r="N53" s="22" t="n">
        <v>240000</v>
      </c>
      <c r="O53" s="23" t="n">
        <v>2</v>
      </c>
      <c r="P53" s="24" t="inlineStr">
        <is>
          <t>UNIDAD</t>
        </is>
      </c>
      <c r="Q53" s="20" t="inlineStr">
        <is>
          <t>NO</t>
        </is>
      </c>
      <c r="R53" s="20" t="inlineStr">
        <is>
          <t>NO</t>
        </is>
      </c>
      <c r="S53" s="25" t="n">
        <v>1</v>
      </c>
      <c r="T53" s="20" t="inlineStr">
        <is>
          <t>NO</t>
        </is>
      </c>
      <c r="U53" s="20" t="inlineStr">
        <is>
          <t>Bodega de pruebas</t>
        </is>
      </c>
      <c r="V53" s="21" t="inlineStr">
        <is>
          <t>Producto ficticio de prueba para validacion de busquedas, inventario, ventas y compras en FERREPRO. No corresponde a inventario real.</t>
        </is>
      </c>
      <c r="W53" s="26" t="n">
        <v>6</v>
      </c>
      <c r="X53" s="27" t="n"/>
      <c r="Y53" s="20" t="n"/>
      <c r="Z53" s="20" t="n"/>
      <c r="AA53" s="26">
        <f>IF(X53="","",X53-IF(W53="",0,W53))</f>
        <v/>
      </c>
      <c r="AB53" s="28">
        <f>IF(OR(X53="",M53=""),"",X53*M53)</f>
        <v/>
      </c>
      <c r="AC53" s="28">
        <f>IF(OR(X53="",N53=""),"",X53*N53)</f>
        <v/>
      </c>
      <c r="AD53" s="28">
        <f>IF(OR(M53="",N53=""),"",N53-M53)</f>
        <v/>
      </c>
      <c r="AE53" s="29">
        <f>IFERROR(IF(M53&gt;0,(N53-M53)/M53,""),"")</f>
        <v/>
      </c>
      <c r="AF53" s="30" t="n"/>
      <c r="AG53" s="30" t="inlineStr">
        <is>
          <t>PENDIENTE</t>
        </is>
      </c>
      <c r="AH53" s="18">
        <f>IF(NOT(OR(B53="EXISTENTE",COUNTA(G53,H53,I53,J53,K53,M53,N53,U53,V53,X53,Y53,Z53,AF53,AJ53)&gt;0)),"",IF(AK53&lt;&gt;"","REVISAR",IF(OR(G53="",H53="",M53="",N53="",O53="",P53="",X53=""),"INCOMPLETO",IF(AI53&lt;&gt;"","REVISAR",IF(AND(AF53&lt;&gt;"",AG53="ESCANEADO"),"LISTO_COMPLETO","LISTO_SIN_BARCODE")))))</f>
        <v/>
      </c>
      <c r="AI53" s="17">
        <f>IF(NOT(OR(B53="EXISTENTE",COUNTA(G53,H53,I53,J53,K53,M53,N53,U53,V53,X53,Y53,Z53,AF53,AJ53)&gt;0)),"",TEXTJOIN(" | ",TRUE,IF(A53="","Falta ID staging",""),IF(COUNTIF($A$5:$A$445,A53)&gt;1,"ID staging duplicado",""),IF(G53="","Falta nombre",""),IF(LEN(G53)&gt;150,"Nombre &gt;150 caracteres",""),IF(H53="","Falta categoría",IF(COUNTIF(CategoriasLista,H53)=0,"Categoría inválida","")),IF(M53="","Falta precio compra",IF(OR(NOT(ISNUMBER(M53)),M53&lt;0),"Precio compra inválido","")),IF(N53="","Falta precio venta",IF(OR(NOT(ISNUMBER(N53)),N53&lt;=0,N53&lt;M53),"Precio venta inválido","")),IF(O53="","Falta stock mínimo",IF(OR(NOT(ISNUMBER(O53)),O53&lt;0,MOD(O53,1)&lt;&gt;0),"Stock mínimo inválido","")),IF(P53="","Falta unidad",IF(COUNTIF(UnidadesLista,P53)=0,"Unidad inválida","")),IF(AND(K53&lt;&gt;"",COUNTIF(ProveedoresLista,K53)=0),"Proveedor no catalogado",""),IF(X53="","Falta cantidad contada",IF(OR(NOT(ISNUMBER(X53)),X53&lt;0,ABS(X53*1000-ROUND(X53*1000,0))&gt;0.0000001),"Cantidad inválida",IF(AND(Q53="NO",MOD(X53,1)&lt;&gt;0),"Cantidad fraccionaria no permitida",""))),IF(AND(R53="SI",OR(NOT(ISNUMBER(S53)),S53&lt;1,MOD(S53,1)&lt;&gt;0)),"Empaque inválido",""),IF(OR(AND(AF53="",AG53="ESCANEADO"),AND(AF53&lt;&gt;"",AG53&lt;&gt;"ESCANEADO")),"Barcode/estado inconsistente",""),IF(AK53&lt;&gt;"",AK53,"")))</f>
        <v/>
      </c>
      <c r="AJ53" s="21" t="n"/>
      <c r="AK53" s="17">
        <f>IF(G53="","",IF(OR(COUNTIFS($G$5:$G$445,G53,$I$5:$I$445,I53,$J$5:$J$445,J53,$P$5:$P$445,P53)&gt;1,AND(AF53&lt;&gt;"",COUNTIF($AF$5:$AF$445,AF53)&gt;1)),"REVISAR_POSIBLE_DUPLICADO",""))</f>
        <v/>
      </c>
    </row>
    <row r="54">
      <c r="A54" s="17" t="inlineStr">
        <is>
          <t>5cf9de6e-e5e8-551e-b6a8-2935cbeac6ad</t>
        </is>
      </c>
      <c r="B54" s="18" t="inlineStr">
        <is>
          <t>EXISTENTE</t>
        </is>
      </c>
      <c r="C54" s="18" t="inlineStr">
        <is>
          <t>ACTIVO</t>
        </is>
      </c>
      <c r="D54" s="18" t="n">
        <v>89</v>
      </c>
      <c r="E54" s="17" t="inlineStr">
        <is>
          <t>afe27932-ccc5-488e-afc1-9c77aca4bbdd</t>
        </is>
      </c>
      <c r="F54" s="17" t="inlineStr">
        <is>
          <t>PRB-FER-0037</t>
        </is>
      </c>
      <c r="G54" s="19" t="inlineStr">
        <is>
          <t>Esmeril de banco 6 pulgadas</t>
        </is>
      </c>
      <c r="H54" s="19" t="inlineStr">
        <is>
          <t>Herramientas eléctricas</t>
        </is>
      </c>
      <c r="I54" s="20" t="inlineStr">
        <is>
          <t>Andina Tools</t>
        </is>
      </c>
      <c r="J54" s="20" t="inlineStr">
        <is>
          <t>Unidad</t>
        </is>
      </c>
      <c r="K54" s="21" t="inlineStr">
        <is>
          <t>Proveedor Prueba Pinturas y Acabados</t>
        </is>
      </c>
      <c r="L54" s="18" t="n">
        <v>13</v>
      </c>
      <c r="M54" s="22" t="n">
        <v>210000</v>
      </c>
      <c r="N54" s="22" t="n">
        <v>290000</v>
      </c>
      <c r="O54" s="23" t="n">
        <v>2</v>
      </c>
      <c r="P54" s="24" t="inlineStr">
        <is>
          <t>UNIDAD</t>
        </is>
      </c>
      <c r="Q54" s="20" t="inlineStr">
        <is>
          <t>NO</t>
        </is>
      </c>
      <c r="R54" s="20" t="inlineStr">
        <is>
          <t>NO</t>
        </is>
      </c>
      <c r="S54" s="25" t="n">
        <v>1</v>
      </c>
      <c r="T54" s="20" t="inlineStr">
        <is>
          <t>NO</t>
        </is>
      </c>
      <c r="U54" s="20" t="inlineStr">
        <is>
          <t>Bodega de pruebas</t>
        </is>
      </c>
      <c r="V54" s="21" t="inlineStr">
        <is>
          <t>Producto ficticio de prueba para validacion de busquedas, inventario, ventas y compras en FERREPRO. No corresponde a inventario real.</t>
        </is>
      </c>
      <c r="W54" s="26" t="n">
        <v>4</v>
      </c>
      <c r="X54" s="27" t="n"/>
      <c r="Y54" s="20" t="n"/>
      <c r="Z54" s="20" t="n"/>
      <c r="AA54" s="26">
        <f>IF(X54="","",X54-IF(W54="",0,W54))</f>
        <v/>
      </c>
      <c r="AB54" s="28">
        <f>IF(OR(X54="",M54=""),"",X54*M54)</f>
        <v/>
      </c>
      <c r="AC54" s="28">
        <f>IF(OR(X54="",N54=""),"",X54*N54)</f>
        <v/>
      </c>
      <c r="AD54" s="28">
        <f>IF(OR(M54="",N54=""),"",N54-M54)</f>
        <v/>
      </c>
      <c r="AE54" s="29">
        <f>IFERROR(IF(M54&gt;0,(N54-M54)/M54,""),"")</f>
        <v/>
      </c>
      <c r="AF54" s="30" t="n"/>
      <c r="AG54" s="30" t="inlineStr">
        <is>
          <t>PENDIENTE</t>
        </is>
      </c>
      <c r="AH54" s="18">
        <f>IF(NOT(OR(B54="EXISTENTE",COUNTA(G54,H54,I54,J54,K54,M54,N54,U54,V54,X54,Y54,Z54,AF54,AJ54)&gt;0)),"",IF(AK54&lt;&gt;"","REVISAR",IF(OR(G54="",H54="",M54="",N54="",O54="",P54="",X54=""),"INCOMPLETO",IF(AI54&lt;&gt;"","REVISAR",IF(AND(AF54&lt;&gt;"",AG54="ESCANEADO"),"LISTO_COMPLETO","LISTO_SIN_BARCODE")))))</f>
        <v/>
      </c>
      <c r="AI54" s="17">
        <f>IF(NOT(OR(B54="EXISTENTE",COUNTA(G54,H54,I54,J54,K54,M54,N54,U54,V54,X54,Y54,Z54,AF54,AJ54)&gt;0)),"",TEXTJOIN(" | ",TRUE,IF(A54="","Falta ID staging",""),IF(COUNTIF($A$5:$A$445,A54)&gt;1,"ID staging duplicado",""),IF(G54="","Falta nombre",""),IF(LEN(G54)&gt;150,"Nombre &gt;150 caracteres",""),IF(H54="","Falta categoría",IF(COUNTIF(CategoriasLista,H54)=0,"Categoría inválida","")),IF(M54="","Falta precio compra",IF(OR(NOT(ISNUMBER(M54)),M54&lt;0),"Precio compra inválido","")),IF(N54="","Falta precio venta",IF(OR(NOT(ISNUMBER(N54)),N54&lt;=0,N54&lt;M54),"Precio venta inválido","")),IF(O54="","Falta stock mínimo",IF(OR(NOT(ISNUMBER(O54)),O54&lt;0,MOD(O54,1)&lt;&gt;0),"Stock mínimo inválido","")),IF(P54="","Falta unidad",IF(COUNTIF(UnidadesLista,P54)=0,"Unidad inválida","")),IF(AND(K54&lt;&gt;"",COUNTIF(ProveedoresLista,K54)=0),"Proveedor no catalogado",""),IF(X54="","Falta cantidad contada",IF(OR(NOT(ISNUMBER(X54)),X54&lt;0,ABS(X54*1000-ROUND(X54*1000,0))&gt;0.0000001),"Cantidad inválida",IF(AND(Q54="NO",MOD(X54,1)&lt;&gt;0),"Cantidad fraccionaria no permitida",""))),IF(AND(R54="SI",OR(NOT(ISNUMBER(S54)),S54&lt;1,MOD(S54,1)&lt;&gt;0)),"Empaque inválido",""),IF(OR(AND(AF54="",AG54="ESCANEADO"),AND(AF54&lt;&gt;"",AG54&lt;&gt;"ESCANEADO")),"Barcode/estado inconsistente",""),IF(AK54&lt;&gt;"",AK54,"")))</f>
        <v/>
      </c>
      <c r="AJ54" s="21" t="n"/>
      <c r="AK54" s="17">
        <f>IF(G54="","",IF(OR(COUNTIFS($G$5:$G$445,G54,$I$5:$I$445,I54,$J$5:$J$445,J54,$P$5:$P$445,P54)&gt;1,AND(AF54&lt;&gt;"",COUNTIF($AF$5:$AF$445,AF54)&gt;1)),"REVISAR_POSIBLE_DUPLICADO",""))</f>
        <v/>
      </c>
    </row>
    <row r="55">
      <c r="A55" s="17" t="inlineStr">
        <is>
          <t>c0ecf05f-6382-53ca-8e1c-357b130771dc</t>
        </is>
      </c>
      <c r="B55" s="18" t="inlineStr">
        <is>
          <t>EXISTENTE</t>
        </is>
      </c>
      <c r="C55" s="18" t="inlineStr">
        <is>
          <t>ACTIVO</t>
        </is>
      </c>
      <c r="D55" s="18" t="n">
        <v>90</v>
      </c>
      <c r="E55" s="17" t="inlineStr">
        <is>
          <t>e2ddd21d-9307-475a-bb46-97c5353f2cc7</t>
        </is>
      </c>
      <c r="F55" s="17" t="inlineStr">
        <is>
          <t>PRB-FER-0038</t>
        </is>
      </c>
      <c r="G55" s="19" t="inlineStr">
        <is>
          <t>Broca concreto 1/4</t>
        </is>
      </c>
      <c r="H55" s="19" t="inlineStr">
        <is>
          <t>Herramientas eléctricas</t>
        </is>
      </c>
      <c r="I55" s="20" t="inlineStr">
        <is>
          <t>FixMaster</t>
        </is>
      </c>
      <c r="J55" s="20" t="inlineStr">
        <is>
          <t>Unidad</t>
        </is>
      </c>
      <c r="K55" s="21" t="inlineStr">
        <is>
          <t>Proveedor Prueba Herramientas Industriales</t>
        </is>
      </c>
      <c r="L55" s="18" t="n">
        <v>14</v>
      </c>
      <c r="M55" s="22" t="n">
        <v>4200</v>
      </c>
      <c r="N55" s="22" t="n">
        <v>6000</v>
      </c>
      <c r="O55" s="23" t="n">
        <v>2</v>
      </c>
      <c r="P55" s="24" t="inlineStr">
        <is>
          <t>UNIDAD</t>
        </is>
      </c>
      <c r="Q55" s="20" t="inlineStr">
        <is>
          <t>NO</t>
        </is>
      </c>
      <c r="R55" s="20" t="inlineStr">
        <is>
          <t>NO</t>
        </is>
      </c>
      <c r="S55" s="25" t="n">
        <v>1</v>
      </c>
      <c r="T55" s="20" t="inlineStr">
        <is>
          <t>NO</t>
        </is>
      </c>
      <c r="U55" s="20" t="inlineStr">
        <is>
          <t>Bodega de pruebas</t>
        </is>
      </c>
      <c r="V55" s="21" t="inlineStr">
        <is>
          <t>Producto ficticio de prueba para validacion de busquedas, inventario, ventas y compras en FERREPRO. No corresponde a inventario real.</t>
        </is>
      </c>
      <c r="W55" s="26" t="n">
        <v>70</v>
      </c>
      <c r="X55" s="27" t="n"/>
      <c r="Y55" s="20" t="n"/>
      <c r="Z55" s="20" t="n"/>
      <c r="AA55" s="26">
        <f>IF(X55="","",X55-IF(W55="",0,W55))</f>
        <v/>
      </c>
      <c r="AB55" s="28">
        <f>IF(OR(X55="",M55=""),"",X55*M55)</f>
        <v/>
      </c>
      <c r="AC55" s="28">
        <f>IF(OR(X55="",N55=""),"",X55*N55)</f>
        <v/>
      </c>
      <c r="AD55" s="28">
        <f>IF(OR(M55="",N55=""),"",N55-M55)</f>
        <v/>
      </c>
      <c r="AE55" s="29">
        <f>IFERROR(IF(M55&gt;0,(N55-M55)/M55,""),"")</f>
        <v/>
      </c>
      <c r="AF55" s="30" t="n"/>
      <c r="AG55" s="30" t="inlineStr">
        <is>
          <t>PENDIENTE</t>
        </is>
      </c>
      <c r="AH55" s="18">
        <f>IF(NOT(OR(B55="EXISTENTE",COUNTA(G55,H55,I55,J55,K55,M55,N55,U55,V55,X55,Y55,Z55,AF55,AJ55)&gt;0)),"",IF(AK55&lt;&gt;"","REVISAR",IF(OR(G55="",H55="",M55="",N55="",O55="",P55="",X55=""),"INCOMPLETO",IF(AI55&lt;&gt;"","REVISAR",IF(AND(AF55&lt;&gt;"",AG55="ESCANEADO"),"LISTO_COMPLETO","LISTO_SIN_BARCODE")))))</f>
        <v/>
      </c>
      <c r="AI55" s="17">
        <f>IF(NOT(OR(B55="EXISTENTE",COUNTA(G55,H55,I55,J55,K55,M55,N55,U55,V55,X55,Y55,Z55,AF55,AJ55)&gt;0)),"",TEXTJOIN(" | ",TRUE,IF(A55="","Falta ID staging",""),IF(COUNTIF($A$5:$A$445,A55)&gt;1,"ID staging duplicado",""),IF(G55="","Falta nombre",""),IF(LEN(G55)&gt;150,"Nombre &gt;150 caracteres",""),IF(H55="","Falta categoría",IF(COUNTIF(CategoriasLista,H55)=0,"Categoría inválida","")),IF(M55="","Falta precio compra",IF(OR(NOT(ISNUMBER(M55)),M55&lt;0),"Precio compra inválido","")),IF(N55="","Falta precio venta",IF(OR(NOT(ISNUMBER(N55)),N55&lt;=0,N55&lt;M55),"Precio venta inválido","")),IF(O55="","Falta stock mínimo",IF(OR(NOT(ISNUMBER(O55)),O55&lt;0,MOD(O55,1)&lt;&gt;0),"Stock mínimo inválido","")),IF(P55="","Falta unidad",IF(COUNTIF(UnidadesLista,P55)=0,"Unidad inválida","")),IF(AND(K55&lt;&gt;"",COUNTIF(ProveedoresLista,K55)=0),"Proveedor no catalogado",""),IF(X55="","Falta cantidad contada",IF(OR(NOT(ISNUMBER(X55)),X55&lt;0,ABS(X55*1000-ROUND(X55*1000,0))&gt;0.0000001),"Cantidad inválida",IF(AND(Q55="NO",MOD(X55,1)&lt;&gt;0),"Cantidad fraccionaria no permitida",""))),IF(AND(R55="SI",OR(NOT(ISNUMBER(S55)),S55&lt;1,MOD(S55,1)&lt;&gt;0)),"Empaque inválido",""),IF(OR(AND(AF55="",AG55="ESCANEADO"),AND(AF55&lt;&gt;"",AG55&lt;&gt;"ESCANEADO")),"Barcode/estado inconsistente",""),IF(AK55&lt;&gt;"",AK55,"")))</f>
        <v/>
      </c>
      <c r="AJ55" s="21" t="n"/>
      <c r="AK55" s="17">
        <f>IF(G55="","",IF(OR(COUNTIFS($G$5:$G$445,G55,$I$5:$I$445,I55,$J$5:$J$445,J55,$P$5:$P$445,P55)&gt;1,AND(AF55&lt;&gt;"",COUNTIF($AF$5:$AF$445,AF55)&gt;1)),"REVISAR_POSIBLE_DUPLICADO",""))</f>
        <v/>
      </c>
    </row>
    <row r="56">
      <c r="A56" s="17" t="inlineStr">
        <is>
          <t>fe3315a0-7443-54a6-9935-e04b03108e38</t>
        </is>
      </c>
      <c r="B56" s="18" t="inlineStr">
        <is>
          <t>EXISTENTE</t>
        </is>
      </c>
      <c r="C56" s="18" t="inlineStr">
        <is>
          <t>ACTIVO</t>
        </is>
      </c>
      <c r="D56" s="18" t="n">
        <v>91</v>
      </c>
      <c r="E56" s="17" t="inlineStr">
        <is>
          <t>dbcfb292-7910-4083-9246-c5a36de74b80</t>
        </is>
      </c>
      <c r="F56" s="17" t="inlineStr">
        <is>
          <t>PRB-FER-0039</t>
        </is>
      </c>
      <c r="G56" s="19" t="inlineStr">
        <is>
          <t>Broca concreto 3/8</t>
        </is>
      </c>
      <c r="H56" s="19" t="inlineStr">
        <is>
          <t>Herramientas eléctricas</t>
        </is>
      </c>
      <c r="I56" s="20" t="inlineStr">
        <is>
          <t>FixMaster</t>
        </is>
      </c>
      <c r="J56" s="20" t="inlineStr">
        <is>
          <t>Unidad</t>
        </is>
      </c>
      <c r="K56" s="21" t="inlineStr">
        <is>
          <t>Proveedor Prueba Plomería Nacional</t>
        </is>
      </c>
      <c r="L56" s="18" t="n">
        <v>15</v>
      </c>
      <c r="M56" s="22" t="n">
        <v>6500</v>
      </c>
      <c r="N56" s="22" t="n">
        <v>9200</v>
      </c>
      <c r="O56" s="23" t="n">
        <v>2</v>
      </c>
      <c r="P56" s="24" t="inlineStr">
        <is>
          <t>UNIDAD</t>
        </is>
      </c>
      <c r="Q56" s="20" t="inlineStr">
        <is>
          <t>NO</t>
        </is>
      </c>
      <c r="R56" s="20" t="inlineStr">
        <is>
          <t>NO</t>
        </is>
      </c>
      <c r="S56" s="25" t="n">
        <v>1</v>
      </c>
      <c r="T56" s="20" t="inlineStr">
        <is>
          <t>NO</t>
        </is>
      </c>
      <c r="U56" s="20" t="inlineStr">
        <is>
          <t>Bodega de pruebas</t>
        </is>
      </c>
      <c r="V56" s="21" t="inlineStr">
        <is>
          <t>Producto ficticio de prueba para validacion de busquedas, inventario, ventas y compras en FERREPRO. No corresponde a inventario real.</t>
        </is>
      </c>
      <c r="W56" s="26" t="n">
        <v>60</v>
      </c>
      <c r="X56" s="27" t="n"/>
      <c r="Y56" s="20" t="n"/>
      <c r="Z56" s="20" t="n"/>
      <c r="AA56" s="26">
        <f>IF(X56="","",X56-IF(W56="",0,W56))</f>
        <v/>
      </c>
      <c r="AB56" s="28">
        <f>IF(OR(X56="",M56=""),"",X56*M56)</f>
        <v/>
      </c>
      <c r="AC56" s="28">
        <f>IF(OR(X56="",N56=""),"",X56*N56)</f>
        <v/>
      </c>
      <c r="AD56" s="28">
        <f>IF(OR(M56="",N56=""),"",N56-M56)</f>
        <v/>
      </c>
      <c r="AE56" s="29">
        <f>IFERROR(IF(M56&gt;0,(N56-M56)/M56,""),"")</f>
        <v/>
      </c>
      <c r="AF56" s="30" t="n"/>
      <c r="AG56" s="30" t="inlineStr">
        <is>
          <t>PENDIENTE</t>
        </is>
      </c>
      <c r="AH56" s="18">
        <f>IF(NOT(OR(B56="EXISTENTE",COUNTA(G56,H56,I56,J56,K56,M56,N56,U56,V56,X56,Y56,Z56,AF56,AJ56)&gt;0)),"",IF(AK56&lt;&gt;"","REVISAR",IF(OR(G56="",H56="",M56="",N56="",O56="",P56="",X56=""),"INCOMPLETO",IF(AI56&lt;&gt;"","REVISAR",IF(AND(AF56&lt;&gt;"",AG56="ESCANEADO"),"LISTO_COMPLETO","LISTO_SIN_BARCODE")))))</f>
        <v/>
      </c>
      <c r="AI56" s="17">
        <f>IF(NOT(OR(B56="EXISTENTE",COUNTA(G56,H56,I56,J56,K56,M56,N56,U56,V56,X56,Y56,Z56,AF56,AJ56)&gt;0)),"",TEXTJOIN(" | ",TRUE,IF(A56="","Falta ID staging",""),IF(COUNTIF($A$5:$A$445,A56)&gt;1,"ID staging duplicado",""),IF(G56="","Falta nombre",""),IF(LEN(G56)&gt;150,"Nombre &gt;150 caracteres",""),IF(H56="","Falta categoría",IF(COUNTIF(CategoriasLista,H56)=0,"Categoría inválida","")),IF(M56="","Falta precio compra",IF(OR(NOT(ISNUMBER(M56)),M56&lt;0),"Precio compra inválido","")),IF(N56="","Falta precio venta",IF(OR(NOT(ISNUMBER(N56)),N56&lt;=0,N56&lt;M56),"Precio venta inválido","")),IF(O56="","Falta stock mínimo",IF(OR(NOT(ISNUMBER(O56)),O56&lt;0,MOD(O56,1)&lt;&gt;0),"Stock mínimo inválido","")),IF(P56="","Falta unidad",IF(COUNTIF(UnidadesLista,P56)=0,"Unidad inválida","")),IF(AND(K56&lt;&gt;"",COUNTIF(ProveedoresLista,K56)=0),"Proveedor no catalogado",""),IF(X56="","Falta cantidad contada",IF(OR(NOT(ISNUMBER(X56)),X56&lt;0,ABS(X56*1000-ROUND(X56*1000,0))&gt;0.0000001),"Cantidad inválida",IF(AND(Q56="NO",MOD(X56,1)&lt;&gt;0),"Cantidad fraccionaria no permitida",""))),IF(AND(R56="SI",OR(NOT(ISNUMBER(S56)),S56&lt;1,MOD(S56,1)&lt;&gt;0)),"Empaque inválido",""),IF(OR(AND(AF56="",AG56="ESCANEADO"),AND(AF56&lt;&gt;"",AG56&lt;&gt;"ESCANEADO")),"Barcode/estado inconsistente",""),IF(AK56&lt;&gt;"",AK56,"")))</f>
        <v/>
      </c>
      <c r="AJ56" s="21" t="n"/>
      <c r="AK56" s="17">
        <f>IF(G56="","",IF(OR(COUNTIFS($G$5:$G$445,G56,$I$5:$I$445,I56,$J$5:$J$445,J56,$P$5:$P$445,P56)&gt;1,AND(AF56&lt;&gt;"",COUNTIF($AF$5:$AF$445,AF56)&gt;1)),"REVISAR_POSIBLE_DUPLICADO",""))</f>
        <v/>
      </c>
    </row>
    <row r="57">
      <c r="A57" s="17" t="inlineStr">
        <is>
          <t>cdd87cc8-ae7b-5065-b941-33219d499c61</t>
        </is>
      </c>
      <c r="B57" s="18" t="inlineStr">
        <is>
          <t>EXISTENTE</t>
        </is>
      </c>
      <c r="C57" s="18" t="inlineStr">
        <is>
          <t>ACTIVO</t>
        </is>
      </c>
      <c r="D57" s="18" t="n">
        <v>92</v>
      </c>
      <c r="E57" s="17" t="inlineStr">
        <is>
          <t>e29fa65b-ce60-4039-834c-d1b3355e21e5</t>
        </is>
      </c>
      <c r="F57" s="17" t="inlineStr">
        <is>
          <t>PRB-FER-0040</t>
        </is>
      </c>
      <c r="G57" s="19" t="inlineStr">
        <is>
          <t>Broca metal 1/8</t>
        </is>
      </c>
      <c r="H57" s="19" t="inlineStr">
        <is>
          <t>Herramientas eléctricas</t>
        </is>
      </c>
      <c r="I57" s="20" t="inlineStr">
        <is>
          <t>AceroPlus</t>
        </is>
      </c>
      <c r="J57" s="20" t="inlineStr">
        <is>
          <t>Unidad</t>
        </is>
      </c>
      <c r="K57" s="21" t="inlineStr">
        <is>
          <t>Proveedor Prueba Seguridad y Protección</t>
        </is>
      </c>
      <c r="L57" s="18" t="n">
        <v>16</v>
      </c>
      <c r="M57" s="22" t="n">
        <v>2500</v>
      </c>
      <c r="N57" s="22" t="n">
        <v>3600</v>
      </c>
      <c r="O57" s="23" t="n">
        <v>2</v>
      </c>
      <c r="P57" s="24" t="inlineStr">
        <is>
          <t>UNIDAD</t>
        </is>
      </c>
      <c r="Q57" s="20" t="inlineStr">
        <is>
          <t>NO</t>
        </is>
      </c>
      <c r="R57" s="20" t="inlineStr">
        <is>
          <t>NO</t>
        </is>
      </c>
      <c r="S57" s="25" t="n">
        <v>1</v>
      </c>
      <c r="T57" s="20" t="inlineStr">
        <is>
          <t>NO</t>
        </is>
      </c>
      <c r="U57" s="20" t="inlineStr">
        <is>
          <t>Bodega de pruebas</t>
        </is>
      </c>
      <c r="V57" s="21" t="inlineStr">
        <is>
          <t>Producto ficticio de prueba para validacion de busquedas, inventario, ventas y compras en FERREPRO. No corresponde a inventario real.</t>
        </is>
      </c>
      <c r="W57" s="26" t="n">
        <v>75</v>
      </c>
      <c r="X57" s="27" t="n"/>
      <c r="Y57" s="20" t="n"/>
      <c r="Z57" s="20" t="n"/>
      <c r="AA57" s="26">
        <f>IF(X57="","",X57-IF(W57="",0,W57))</f>
        <v/>
      </c>
      <c r="AB57" s="28">
        <f>IF(OR(X57="",M57=""),"",X57*M57)</f>
        <v/>
      </c>
      <c r="AC57" s="28">
        <f>IF(OR(X57="",N57=""),"",X57*N57)</f>
        <v/>
      </c>
      <c r="AD57" s="28">
        <f>IF(OR(M57="",N57=""),"",N57-M57)</f>
        <v/>
      </c>
      <c r="AE57" s="29">
        <f>IFERROR(IF(M57&gt;0,(N57-M57)/M57,""),"")</f>
        <v/>
      </c>
      <c r="AF57" s="30" t="n"/>
      <c r="AG57" s="30" t="inlineStr">
        <is>
          <t>PENDIENTE</t>
        </is>
      </c>
      <c r="AH57" s="18">
        <f>IF(NOT(OR(B57="EXISTENTE",COUNTA(G57,H57,I57,J57,K57,M57,N57,U57,V57,X57,Y57,Z57,AF57,AJ57)&gt;0)),"",IF(AK57&lt;&gt;"","REVISAR",IF(OR(G57="",H57="",M57="",N57="",O57="",P57="",X57=""),"INCOMPLETO",IF(AI57&lt;&gt;"","REVISAR",IF(AND(AF57&lt;&gt;"",AG57="ESCANEADO"),"LISTO_COMPLETO","LISTO_SIN_BARCODE")))))</f>
        <v/>
      </c>
      <c r="AI57" s="17">
        <f>IF(NOT(OR(B57="EXISTENTE",COUNTA(G57,H57,I57,J57,K57,M57,N57,U57,V57,X57,Y57,Z57,AF57,AJ57)&gt;0)),"",TEXTJOIN(" | ",TRUE,IF(A57="","Falta ID staging",""),IF(COUNTIF($A$5:$A$445,A57)&gt;1,"ID staging duplicado",""),IF(G57="","Falta nombre",""),IF(LEN(G57)&gt;150,"Nombre &gt;150 caracteres",""),IF(H57="","Falta categoría",IF(COUNTIF(CategoriasLista,H57)=0,"Categoría inválida","")),IF(M57="","Falta precio compra",IF(OR(NOT(ISNUMBER(M57)),M57&lt;0),"Precio compra inválido","")),IF(N57="","Falta precio venta",IF(OR(NOT(ISNUMBER(N57)),N57&lt;=0,N57&lt;M57),"Precio venta inválido","")),IF(O57="","Falta stock mínimo",IF(OR(NOT(ISNUMBER(O57)),O57&lt;0,MOD(O57,1)&lt;&gt;0),"Stock mínimo inválido","")),IF(P57="","Falta unidad",IF(COUNTIF(UnidadesLista,P57)=0,"Unidad inválida","")),IF(AND(K57&lt;&gt;"",COUNTIF(ProveedoresLista,K57)=0),"Proveedor no catalogado",""),IF(X57="","Falta cantidad contada",IF(OR(NOT(ISNUMBER(X57)),X57&lt;0,ABS(X57*1000-ROUND(X57*1000,0))&gt;0.0000001),"Cantidad inválida",IF(AND(Q57="NO",MOD(X57,1)&lt;&gt;0),"Cantidad fraccionaria no permitida",""))),IF(AND(R57="SI",OR(NOT(ISNUMBER(S57)),S57&lt;1,MOD(S57,1)&lt;&gt;0)),"Empaque inválido",""),IF(OR(AND(AF57="",AG57="ESCANEADO"),AND(AF57&lt;&gt;"",AG57&lt;&gt;"ESCANEADO")),"Barcode/estado inconsistente",""),IF(AK57&lt;&gt;"",AK57,"")))</f>
        <v/>
      </c>
      <c r="AJ57" s="21" t="n"/>
      <c r="AK57" s="17">
        <f>IF(G57="","",IF(OR(COUNTIFS($G$5:$G$445,G57,$I$5:$I$445,I57,$J$5:$J$445,J57,$P$5:$P$445,P57)&gt;1,AND(AF57&lt;&gt;"",COUNTIF($AF$5:$AF$445,AF57)&gt;1)),"REVISAR_POSIBLE_DUPLICADO",""))</f>
        <v/>
      </c>
    </row>
    <row r="58">
      <c r="A58" s="17" t="inlineStr">
        <is>
          <t>ca1dcdb6-af2c-5e17-918f-945d67ee8609</t>
        </is>
      </c>
      <c r="B58" s="18" t="inlineStr">
        <is>
          <t>EXISTENTE</t>
        </is>
      </c>
      <c r="C58" s="18" t="inlineStr">
        <is>
          <t>ACTIVO</t>
        </is>
      </c>
      <c r="D58" s="18" t="n">
        <v>93</v>
      </c>
      <c r="E58" s="17" t="inlineStr">
        <is>
          <t>bfac6686-1cc2-4fb4-a2b7-9cffd0bb769a</t>
        </is>
      </c>
      <c r="F58" s="17" t="inlineStr">
        <is>
          <t>PRB-FER-0041</t>
        </is>
      </c>
      <c r="G58" s="19" t="inlineStr">
        <is>
          <t>Disco corte metal 4 1/2</t>
        </is>
      </c>
      <c r="H58" s="19" t="inlineStr">
        <is>
          <t>Herramientas eléctricas</t>
        </is>
      </c>
      <c r="I58" s="20" t="inlineStr">
        <is>
          <t>FerroMax</t>
        </is>
      </c>
      <c r="J58" s="20" t="inlineStr">
        <is>
          <t>Unidad</t>
        </is>
      </c>
      <c r="K58" s="21" t="inlineStr">
        <is>
          <t>Proveedor Prueba Ferretería Central S.A.S.</t>
        </is>
      </c>
      <c r="L58" s="18" t="n">
        <v>9</v>
      </c>
      <c r="M58" s="22" t="n">
        <v>3800</v>
      </c>
      <c r="N58" s="22" t="n">
        <v>5400</v>
      </c>
      <c r="O58" s="23" t="n">
        <v>2</v>
      </c>
      <c r="P58" s="24" t="inlineStr">
        <is>
          <t>UNIDAD</t>
        </is>
      </c>
      <c r="Q58" s="20" t="inlineStr">
        <is>
          <t>NO</t>
        </is>
      </c>
      <c r="R58" s="20" t="inlineStr">
        <is>
          <t>NO</t>
        </is>
      </c>
      <c r="S58" s="25" t="n">
        <v>1</v>
      </c>
      <c r="T58" s="20" t="inlineStr">
        <is>
          <t>NO</t>
        </is>
      </c>
      <c r="U58" s="20" t="inlineStr">
        <is>
          <t>Bodega de pruebas</t>
        </is>
      </c>
      <c r="V58" s="21" t="inlineStr">
        <is>
          <t>Producto ficticio de prueba para validacion de busquedas, inventario, ventas y compras en FERREPRO. No corresponde a inventario real.</t>
        </is>
      </c>
      <c r="W58" s="26" t="n">
        <v>80</v>
      </c>
      <c r="X58" s="27" t="n"/>
      <c r="Y58" s="20" t="n"/>
      <c r="Z58" s="20" t="n"/>
      <c r="AA58" s="26">
        <f>IF(X58="","",X58-IF(W58="",0,W58))</f>
        <v/>
      </c>
      <c r="AB58" s="28">
        <f>IF(OR(X58="",M58=""),"",X58*M58)</f>
        <v/>
      </c>
      <c r="AC58" s="28">
        <f>IF(OR(X58="",N58=""),"",X58*N58)</f>
        <v/>
      </c>
      <c r="AD58" s="28">
        <f>IF(OR(M58="",N58=""),"",N58-M58)</f>
        <v/>
      </c>
      <c r="AE58" s="29">
        <f>IFERROR(IF(M58&gt;0,(N58-M58)/M58,""),"")</f>
        <v/>
      </c>
      <c r="AF58" s="30" t="n"/>
      <c r="AG58" s="30" t="inlineStr">
        <is>
          <t>PENDIENTE</t>
        </is>
      </c>
      <c r="AH58" s="18">
        <f>IF(NOT(OR(B58="EXISTENTE",COUNTA(G58,H58,I58,J58,K58,M58,N58,U58,V58,X58,Y58,Z58,AF58,AJ58)&gt;0)),"",IF(AK58&lt;&gt;"","REVISAR",IF(OR(G58="",H58="",M58="",N58="",O58="",P58="",X58=""),"INCOMPLETO",IF(AI58&lt;&gt;"","REVISAR",IF(AND(AF58&lt;&gt;"",AG58="ESCANEADO"),"LISTO_COMPLETO","LISTO_SIN_BARCODE")))))</f>
        <v/>
      </c>
      <c r="AI58" s="17">
        <f>IF(NOT(OR(B58="EXISTENTE",COUNTA(G58,H58,I58,J58,K58,M58,N58,U58,V58,X58,Y58,Z58,AF58,AJ58)&gt;0)),"",TEXTJOIN(" | ",TRUE,IF(A58="","Falta ID staging",""),IF(COUNTIF($A$5:$A$445,A58)&gt;1,"ID staging duplicado",""),IF(G58="","Falta nombre",""),IF(LEN(G58)&gt;150,"Nombre &gt;150 caracteres",""),IF(H58="","Falta categoría",IF(COUNTIF(CategoriasLista,H58)=0,"Categoría inválida","")),IF(M58="","Falta precio compra",IF(OR(NOT(ISNUMBER(M58)),M58&lt;0),"Precio compra inválido","")),IF(N58="","Falta precio venta",IF(OR(NOT(ISNUMBER(N58)),N58&lt;=0,N58&lt;M58),"Precio venta inválido","")),IF(O58="","Falta stock mínimo",IF(OR(NOT(ISNUMBER(O58)),O58&lt;0,MOD(O58,1)&lt;&gt;0),"Stock mínimo inválido","")),IF(P58="","Falta unidad",IF(COUNTIF(UnidadesLista,P58)=0,"Unidad inválida","")),IF(AND(K58&lt;&gt;"",COUNTIF(ProveedoresLista,K58)=0),"Proveedor no catalogado",""),IF(X58="","Falta cantidad contada",IF(OR(NOT(ISNUMBER(X58)),X58&lt;0,ABS(X58*1000-ROUND(X58*1000,0))&gt;0.0000001),"Cantidad inválida",IF(AND(Q58="NO",MOD(X58,1)&lt;&gt;0),"Cantidad fraccionaria no permitida",""))),IF(AND(R58="SI",OR(NOT(ISNUMBER(S58)),S58&lt;1,MOD(S58,1)&lt;&gt;0)),"Empaque inválido",""),IF(OR(AND(AF58="",AG58="ESCANEADO"),AND(AF58&lt;&gt;"",AG58&lt;&gt;"ESCANEADO")),"Barcode/estado inconsistente",""),IF(AK58&lt;&gt;"",AK58,"")))</f>
        <v/>
      </c>
      <c r="AJ58" s="21" t="n"/>
      <c r="AK58" s="17">
        <f>IF(G58="","",IF(OR(COUNTIFS($G$5:$G$445,G58,$I$5:$I$445,I58,$J$5:$J$445,J58,$P$5:$P$445,P58)&gt;1,AND(AF58&lt;&gt;"",COUNTIF($AF$5:$AF$445,AF58)&gt;1)),"REVISAR_POSIBLE_DUPLICADO",""))</f>
        <v/>
      </c>
    </row>
    <row r="59">
      <c r="A59" s="17" t="inlineStr">
        <is>
          <t>a19aacdb-cc84-5cec-837a-17309384b189</t>
        </is>
      </c>
      <c r="B59" s="18" t="inlineStr">
        <is>
          <t>EXISTENTE</t>
        </is>
      </c>
      <c r="C59" s="18" t="inlineStr">
        <is>
          <t>ACTIVO</t>
        </is>
      </c>
      <c r="D59" s="18" t="n">
        <v>94</v>
      </c>
      <c r="E59" s="17" t="inlineStr">
        <is>
          <t>159901ad-3e40-40b9-a454-f5e50ec00817</t>
        </is>
      </c>
      <c r="F59" s="17" t="inlineStr">
        <is>
          <t>PRB-FER-0042</t>
        </is>
      </c>
      <c r="G59" s="19" t="inlineStr">
        <is>
          <t>Disco desbaste 4 1/2</t>
        </is>
      </c>
      <c r="H59" s="19" t="inlineStr">
        <is>
          <t>Herramientas eléctricas</t>
        </is>
      </c>
      <c r="I59" s="20" t="inlineStr">
        <is>
          <t>FerroMax</t>
        </is>
      </c>
      <c r="J59" s="20" t="inlineStr">
        <is>
          <t>Unidad</t>
        </is>
      </c>
      <c r="K59" s="21" t="inlineStr">
        <is>
          <t>Proveedor Prueba ConstruMateriales del Norte</t>
        </is>
      </c>
      <c r="L59" s="18" t="n">
        <v>10</v>
      </c>
      <c r="M59" s="22" t="n">
        <v>5200</v>
      </c>
      <c r="N59" s="22" t="n">
        <v>7400</v>
      </c>
      <c r="O59" s="23" t="n">
        <v>2</v>
      </c>
      <c r="P59" s="24" t="inlineStr">
        <is>
          <t>UNIDAD</t>
        </is>
      </c>
      <c r="Q59" s="20" t="inlineStr">
        <is>
          <t>NO</t>
        </is>
      </c>
      <c r="R59" s="20" t="inlineStr">
        <is>
          <t>NO</t>
        </is>
      </c>
      <c r="S59" s="25" t="n">
        <v>1</v>
      </c>
      <c r="T59" s="20" t="inlineStr">
        <is>
          <t>NO</t>
        </is>
      </c>
      <c r="U59" s="20" t="inlineStr">
        <is>
          <t>Bodega de pruebas</t>
        </is>
      </c>
      <c r="V59" s="21" t="inlineStr">
        <is>
          <t>Producto ficticio de prueba para validacion de busquedas, inventario, ventas y compras en FERREPRO. No corresponde a inventario real.</t>
        </is>
      </c>
      <c r="W59" s="26" t="n">
        <v>65</v>
      </c>
      <c r="X59" s="27" t="n"/>
      <c r="Y59" s="20" t="n"/>
      <c r="Z59" s="20" t="n"/>
      <c r="AA59" s="26">
        <f>IF(X59="","",X59-IF(W59="",0,W59))</f>
        <v/>
      </c>
      <c r="AB59" s="28">
        <f>IF(OR(X59="",M59=""),"",X59*M59)</f>
        <v/>
      </c>
      <c r="AC59" s="28">
        <f>IF(OR(X59="",N59=""),"",X59*N59)</f>
        <v/>
      </c>
      <c r="AD59" s="28">
        <f>IF(OR(M59="",N59=""),"",N59-M59)</f>
        <v/>
      </c>
      <c r="AE59" s="29">
        <f>IFERROR(IF(M59&gt;0,(N59-M59)/M59,""),"")</f>
        <v/>
      </c>
      <c r="AF59" s="30" t="n"/>
      <c r="AG59" s="30" t="inlineStr">
        <is>
          <t>PENDIENTE</t>
        </is>
      </c>
      <c r="AH59" s="18">
        <f>IF(NOT(OR(B59="EXISTENTE",COUNTA(G59,H59,I59,J59,K59,M59,N59,U59,V59,X59,Y59,Z59,AF59,AJ59)&gt;0)),"",IF(AK59&lt;&gt;"","REVISAR",IF(OR(G59="",H59="",M59="",N59="",O59="",P59="",X59=""),"INCOMPLETO",IF(AI59&lt;&gt;"","REVISAR",IF(AND(AF59&lt;&gt;"",AG59="ESCANEADO"),"LISTO_COMPLETO","LISTO_SIN_BARCODE")))))</f>
        <v/>
      </c>
      <c r="AI59" s="17">
        <f>IF(NOT(OR(B59="EXISTENTE",COUNTA(G59,H59,I59,J59,K59,M59,N59,U59,V59,X59,Y59,Z59,AF59,AJ59)&gt;0)),"",TEXTJOIN(" | ",TRUE,IF(A59="","Falta ID staging",""),IF(COUNTIF($A$5:$A$445,A59)&gt;1,"ID staging duplicado",""),IF(G59="","Falta nombre",""),IF(LEN(G59)&gt;150,"Nombre &gt;150 caracteres",""),IF(H59="","Falta categoría",IF(COUNTIF(CategoriasLista,H59)=0,"Categoría inválida","")),IF(M59="","Falta precio compra",IF(OR(NOT(ISNUMBER(M59)),M59&lt;0),"Precio compra inválido","")),IF(N59="","Falta precio venta",IF(OR(NOT(ISNUMBER(N59)),N59&lt;=0,N59&lt;M59),"Precio venta inválido","")),IF(O59="","Falta stock mínimo",IF(OR(NOT(ISNUMBER(O59)),O59&lt;0,MOD(O59,1)&lt;&gt;0),"Stock mínimo inválido","")),IF(P59="","Falta unidad",IF(COUNTIF(UnidadesLista,P59)=0,"Unidad inválida","")),IF(AND(K59&lt;&gt;"",COUNTIF(ProveedoresLista,K59)=0),"Proveedor no catalogado",""),IF(X59="","Falta cantidad contada",IF(OR(NOT(ISNUMBER(X59)),X59&lt;0,ABS(X59*1000-ROUND(X59*1000,0))&gt;0.0000001),"Cantidad inválida",IF(AND(Q59="NO",MOD(X59,1)&lt;&gt;0),"Cantidad fraccionaria no permitida",""))),IF(AND(R59="SI",OR(NOT(ISNUMBER(S59)),S59&lt;1,MOD(S59,1)&lt;&gt;0)),"Empaque inválido",""),IF(OR(AND(AF59="",AG59="ESCANEADO"),AND(AF59&lt;&gt;"",AG59&lt;&gt;"ESCANEADO")),"Barcode/estado inconsistente",""),IF(AK59&lt;&gt;"",AK59,"")))</f>
        <v/>
      </c>
      <c r="AJ59" s="21" t="n"/>
      <c r="AK59" s="17">
        <f>IF(G59="","",IF(OR(COUNTIFS($G$5:$G$445,G59,$I$5:$I$445,I59,$J$5:$J$445,J59,$P$5:$P$445,P59)&gt;1,AND(AF59&lt;&gt;"",COUNTIF($AF$5:$AF$445,AF59)&gt;1)),"REVISAR_POSIBLE_DUPLICADO",""))</f>
        <v/>
      </c>
    </row>
    <row r="60">
      <c r="A60" s="17" t="inlineStr">
        <is>
          <t>cd8c536f-6785-595b-937f-0f7f9c48d42b</t>
        </is>
      </c>
      <c r="B60" s="18" t="inlineStr">
        <is>
          <t>EXISTENTE</t>
        </is>
      </c>
      <c r="C60" s="18" t="inlineStr">
        <is>
          <t>ACTIVO</t>
        </is>
      </c>
      <c r="D60" s="18" t="n">
        <v>95</v>
      </c>
      <c r="E60" s="17" t="inlineStr">
        <is>
          <t>b374a9b0-fd99-4cf2-850b-185d6bb3d8ff</t>
        </is>
      </c>
      <c r="F60" s="17" t="inlineStr">
        <is>
          <t>PRB-FER-0043</t>
        </is>
      </c>
      <c r="G60" s="19" t="inlineStr">
        <is>
          <t>Pintura vinilo blanca galón</t>
        </is>
      </c>
      <c r="H60" s="19" t="inlineStr">
        <is>
          <t>Pinturas y acabados</t>
        </is>
      </c>
      <c r="I60" s="20" t="inlineStr">
        <is>
          <t>Pintulínea</t>
        </is>
      </c>
      <c r="J60" s="20" t="inlineStr">
        <is>
          <t>Galón</t>
        </is>
      </c>
      <c r="K60" s="21" t="inlineStr">
        <is>
          <t>Proveedor Prueba Tornillos y Fijaciones Andinas</t>
        </is>
      </c>
      <c r="L60" s="18" t="n">
        <v>11</v>
      </c>
      <c r="M60" s="22" t="n">
        <v>42000</v>
      </c>
      <c r="N60" s="22" t="n">
        <v>58000</v>
      </c>
      <c r="O60" s="23" t="n">
        <v>8</v>
      </c>
      <c r="P60" s="24" t="inlineStr">
        <is>
          <t>GALON</t>
        </is>
      </c>
      <c r="Q60" s="20" t="inlineStr">
        <is>
          <t>SI</t>
        </is>
      </c>
      <c r="R60" s="20" t="inlineStr">
        <is>
          <t>NO</t>
        </is>
      </c>
      <c r="S60" s="25" t="n">
        <v>1</v>
      </c>
      <c r="T60" s="20" t="inlineStr">
        <is>
          <t>NO</t>
        </is>
      </c>
      <c r="U60" s="20" t="inlineStr">
        <is>
          <t>Bodega de pruebas</t>
        </is>
      </c>
      <c r="V60" s="21" t="inlineStr">
        <is>
          <t>Producto ficticio de prueba para validacion de busquedas, inventario, ventas y compras en FERREPRO. No corresponde a inventario real.</t>
        </is>
      </c>
      <c r="W60" s="26" t="n">
        <v>35</v>
      </c>
      <c r="X60" s="27" t="n"/>
      <c r="Y60" s="20" t="n"/>
      <c r="Z60" s="20" t="n"/>
      <c r="AA60" s="26">
        <f>IF(X60="","",X60-IF(W60="",0,W60))</f>
        <v/>
      </c>
      <c r="AB60" s="28">
        <f>IF(OR(X60="",M60=""),"",X60*M60)</f>
        <v/>
      </c>
      <c r="AC60" s="28">
        <f>IF(OR(X60="",N60=""),"",X60*N60)</f>
        <v/>
      </c>
      <c r="AD60" s="28">
        <f>IF(OR(M60="",N60=""),"",N60-M60)</f>
        <v/>
      </c>
      <c r="AE60" s="29">
        <f>IFERROR(IF(M60&gt;0,(N60-M60)/M60,""),"")</f>
        <v/>
      </c>
      <c r="AF60" s="30" t="n"/>
      <c r="AG60" s="30" t="inlineStr">
        <is>
          <t>PENDIENTE</t>
        </is>
      </c>
      <c r="AH60" s="18">
        <f>IF(NOT(OR(B60="EXISTENTE",COUNTA(G60,H60,I60,J60,K60,M60,N60,U60,V60,X60,Y60,Z60,AF60,AJ60)&gt;0)),"",IF(AK60&lt;&gt;"","REVISAR",IF(OR(G60="",H60="",M60="",N60="",O60="",P60="",X60=""),"INCOMPLETO",IF(AI60&lt;&gt;"","REVISAR",IF(AND(AF60&lt;&gt;"",AG60="ESCANEADO"),"LISTO_COMPLETO","LISTO_SIN_BARCODE")))))</f>
        <v/>
      </c>
      <c r="AI60" s="17">
        <f>IF(NOT(OR(B60="EXISTENTE",COUNTA(G60,H60,I60,J60,K60,M60,N60,U60,V60,X60,Y60,Z60,AF60,AJ60)&gt;0)),"",TEXTJOIN(" | ",TRUE,IF(A60="","Falta ID staging",""),IF(COUNTIF($A$5:$A$445,A60)&gt;1,"ID staging duplicado",""),IF(G60="","Falta nombre",""),IF(LEN(G60)&gt;150,"Nombre &gt;150 caracteres",""),IF(H60="","Falta categoría",IF(COUNTIF(CategoriasLista,H60)=0,"Categoría inválida","")),IF(M60="","Falta precio compra",IF(OR(NOT(ISNUMBER(M60)),M60&lt;0),"Precio compra inválido","")),IF(N60="","Falta precio venta",IF(OR(NOT(ISNUMBER(N60)),N60&lt;=0,N60&lt;M60),"Precio venta inválido","")),IF(O60="","Falta stock mínimo",IF(OR(NOT(ISNUMBER(O60)),O60&lt;0,MOD(O60,1)&lt;&gt;0),"Stock mínimo inválido","")),IF(P60="","Falta unidad",IF(COUNTIF(UnidadesLista,P60)=0,"Unidad inválida","")),IF(AND(K60&lt;&gt;"",COUNTIF(ProveedoresLista,K60)=0),"Proveedor no catalogado",""),IF(X60="","Falta cantidad contada",IF(OR(NOT(ISNUMBER(X60)),X60&lt;0,ABS(X60*1000-ROUND(X60*1000,0))&gt;0.0000001),"Cantidad inválida",IF(AND(Q60="NO",MOD(X60,1)&lt;&gt;0),"Cantidad fraccionaria no permitida",""))),IF(AND(R60="SI",OR(NOT(ISNUMBER(S60)),S60&lt;1,MOD(S60,1)&lt;&gt;0)),"Empaque inválido",""),IF(OR(AND(AF60="",AG60="ESCANEADO"),AND(AF60&lt;&gt;"",AG60&lt;&gt;"ESCANEADO")),"Barcode/estado inconsistente",""),IF(AK60&lt;&gt;"",AK60,"")))</f>
        <v/>
      </c>
      <c r="AJ60" s="21" t="n"/>
      <c r="AK60" s="17">
        <f>IF(G60="","",IF(OR(COUNTIFS($G$5:$G$445,G60,$I$5:$I$445,I60,$J$5:$J$445,J60,$P$5:$P$445,P60)&gt;1,AND(AF60&lt;&gt;"",COUNTIF($AF$5:$AF$445,AF60)&gt;1)),"REVISAR_POSIBLE_DUPLICADO",""))</f>
        <v/>
      </c>
    </row>
    <row r="61">
      <c r="A61" s="17" t="inlineStr">
        <is>
          <t>6cd21789-667f-59b8-805d-309547e58022</t>
        </is>
      </c>
      <c r="B61" s="18" t="inlineStr">
        <is>
          <t>EXISTENTE</t>
        </is>
      </c>
      <c r="C61" s="18" t="inlineStr">
        <is>
          <t>ACTIVO</t>
        </is>
      </c>
      <c r="D61" s="18" t="n">
        <v>96</v>
      </c>
      <c r="E61" s="17" t="inlineStr">
        <is>
          <t>1a0888d4-68d9-4c6f-9b7c-80162b5a2c26</t>
        </is>
      </c>
      <c r="F61" s="17" t="inlineStr">
        <is>
          <t>PRB-FER-0044</t>
        </is>
      </c>
      <c r="G61" s="19" t="inlineStr">
        <is>
          <t>Pintura vinilo blanca cuñete</t>
        </is>
      </c>
      <c r="H61" s="19" t="inlineStr">
        <is>
          <t>Pinturas y acabados</t>
        </is>
      </c>
      <c r="I61" s="20" t="inlineStr">
        <is>
          <t>Pintulínea</t>
        </is>
      </c>
      <c r="J61" s="20" t="inlineStr">
        <is>
          <t>Cuñete (5 galones)</t>
        </is>
      </c>
      <c r="K61" s="21" t="inlineStr">
        <is>
          <t>Proveedor Prueba Eléctricos Colombia</t>
        </is>
      </c>
      <c r="L61" s="18" t="n">
        <v>12</v>
      </c>
      <c r="M61" s="22" t="n">
        <v>47000</v>
      </c>
      <c r="N61" s="22" t="n">
        <v>64000</v>
      </c>
      <c r="O61" s="23" t="n">
        <v>15</v>
      </c>
      <c r="P61" s="24" t="inlineStr">
        <is>
          <t>GALON</t>
        </is>
      </c>
      <c r="Q61" s="20" t="inlineStr">
        <is>
          <t>SI</t>
        </is>
      </c>
      <c r="R61" s="20" t="inlineStr">
        <is>
          <t>NO</t>
        </is>
      </c>
      <c r="S61" s="25" t="n">
        <v>1</v>
      </c>
      <c r="T61" s="20" t="inlineStr">
        <is>
          <t>NO</t>
        </is>
      </c>
      <c r="U61" s="20" t="inlineStr">
        <is>
          <t>Bodega de pruebas</t>
        </is>
      </c>
      <c r="V61" s="21" t="inlineStr">
        <is>
          <t>Producto ficticio de prueba para validacion de busquedas, inventario, ventas y compras en FERREPRO. No corresponde a inventario real.</t>
        </is>
      </c>
      <c r="W61" s="26" t="n">
        <v>60</v>
      </c>
      <c r="X61" s="27" t="n"/>
      <c r="Y61" s="20" t="n"/>
      <c r="Z61" s="20" t="n"/>
      <c r="AA61" s="26">
        <f>IF(X61="","",X61-IF(W61="",0,W61))</f>
        <v/>
      </c>
      <c r="AB61" s="28">
        <f>IF(OR(X61="",M61=""),"",X61*M61)</f>
        <v/>
      </c>
      <c r="AC61" s="28">
        <f>IF(OR(X61="",N61=""),"",X61*N61)</f>
        <v/>
      </c>
      <c r="AD61" s="28">
        <f>IF(OR(M61="",N61=""),"",N61-M61)</f>
        <v/>
      </c>
      <c r="AE61" s="29">
        <f>IFERROR(IF(M61&gt;0,(N61-M61)/M61,""),"")</f>
        <v/>
      </c>
      <c r="AF61" s="30" t="n"/>
      <c r="AG61" s="30" t="inlineStr">
        <is>
          <t>PENDIENTE</t>
        </is>
      </c>
      <c r="AH61" s="18">
        <f>IF(NOT(OR(B61="EXISTENTE",COUNTA(G61,H61,I61,J61,K61,M61,N61,U61,V61,X61,Y61,Z61,AF61,AJ61)&gt;0)),"",IF(AK61&lt;&gt;"","REVISAR",IF(OR(G61="",H61="",M61="",N61="",O61="",P61="",X61=""),"INCOMPLETO",IF(AI61&lt;&gt;"","REVISAR",IF(AND(AF61&lt;&gt;"",AG61="ESCANEADO"),"LISTO_COMPLETO","LISTO_SIN_BARCODE")))))</f>
        <v/>
      </c>
      <c r="AI61" s="17">
        <f>IF(NOT(OR(B61="EXISTENTE",COUNTA(G61,H61,I61,J61,K61,M61,N61,U61,V61,X61,Y61,Z61,AF61,AJ61)&gt;0)),"",TEXTJOIN(" | ",TRUE,IF(A61="","Falta ID staging",""),IF(COUNTIF($A$5:$A$445,A61)&gt;1,"ID staging duplicado",""),IF(G61="","Falta nombre",""),IF(LEN(G61)&gt;150,"Nombre &gt;150 caracteres",""),IF(H61="","Falta categoría",IF(COUNTIF(CategoriasLista,H61)=0,"Categoría inválida","")),IF(M61="","Falta precio compra",IF(OR(NOT(ISNUMBER(M61)),M61&lt;0),"Precio compra inválido","")),IF(N61="","Falta precio venta",IF(OR(NOT(ISNUMBER(N61)),N61&lt;=0,N61&lt;M61),"Precio venta inválido","")),IF(O61="","Falta stock mínimo",IF(OR(NOT(ISNUMBER(O61)),O61&lt;0,MOD(O61,1)&lt;&gt;0),"Stock mínimo inválido","")),IF(P61="","Falta unidad",IF(COUNTIF(UnidadesLista,P61)=0,"Unidad inválida","")),IF(AND(K61&lt;&gt;"",COUNTIF(ProveedoresLista,K61)=0),"Proveedor no catalogado",""),IF(X61="","Falta cantidad contada",IF(OR(NOT(ISNUMBER(X61)),X61&lt;0,ABS(X61*1000-ROUND(X61*1000,0))&gt;0.0000001),"Cantidad inválida",IF(AND(Q61="NO",MOD(X61,1)&lt;&gt;0),"Cantidad fraccionaria no permitida",""))),IF(AND(R61="SI",OR(NOT(ISNUMBER(S61)),S61&lt;1,MOD(S61,1)&lt;&gt;0)),"Empaque inválido",""),IF(OR(AND(AF61="",AG61="ESCANEADO"),AND(AF61&lt;&gt;"",AG61&lt;&gt;"ESCANEADO")),"Barcode/estado inconsistente",""),IF(AK61&lt;&gt;"",AK61,"")))</f>
        <v/>
      </c>
      <c r="AJ61" s="21" t="n"/>
      <c r="AK61" s="17">
        <f>IF(G61="","",IF(OR(COUNTIFS($G$5:$G$445,G61,$I$5:$I$445,I61,$J$5:$J$445,J61,$P$5:$P$445,P61)&gt;1,AND(AF61&lt;&gt;"",COUNTIF($AF$5:$AF$445,AF61)&gt;1)),"REVISAR_POSIBLE_DUPLICADO",""))</f>
        <v/>
      </c>
    </row>
    <row r="62">
      <c r="A62" s="17" t="inlineStr">
        <is>
          <t>e5741cf5-c2f3-57dd-87a8-a8d7739dd5cb</t>
        </is>
      </c>
      <c r="B62" s="18" t="inlineStr">
        <is>
          <t>EXISTENTE</t>
        </is>
      </c>
      <c r="C62" s="18" t="inlineStr">
        <is>
          <t>ACTIVO</t>
        </is>
      </c>
      <c r="D62" s="18" t="n">
        <v>97</v>
      </c>
      <c r="E62" s="17" t="inlineStr">
        <is>
          <t>97b64cc5-ed09-44e9-b339-0ea399a8547f</t>
        </is>
      </c>
      <c r="F62" s="17" t="inlineStr">
        <is>
          <t>PRB-FER-0045</t>
        </is>
      </c>
      <c r="G62" s="19" t="inlineStr">
        <is>
          <t>Pintura esmalte negro 1/4</t>
        </is>
      </c>
      <c r="H62" s="19" t="inlineStr">
        <is>
          <t>Pinturas y acabados</t>
        </is>
      </c>
      <c r="I62" s="20" t="inlineStr">
        <is>
          <t>Pintulínea</t>
        </is>
      </c>
      <c r="J62" s="20" t="inlineStr">
        <is>
          <t>1/4 galón</t>
        </is>
      </c>
      <c r="K62" s="21" t="inlineStr">
        <is>
          <t>Proveedor Prueba Pinturas y Acabados</t>
        </is>
      </c>
      <c r="L62" s="18" t="n">
        <v>13</v>
      </c>
      <c r="M62" s="22" t="n">
        <v>70000</v>
      </c>
      <c r="N62" s="22" t="n">
        <v>100000</v>
      </c>
      <c r="O62" s="23" t="n">
        <v>3</v>
      </c>
      <c r="P62" s="24" t="inlineStr">
        <is>
          <t>GALON</t>
        </is>
      </c>
      <c r="Q62" s="20" t="inlineStr">
        <is>
          <t>SI</t>
        </is>
      </c>
      <c r="R62" s="20" t="inlineStr">
        <is>
          <t>NO</t>
        </is>
      </c>
      <c r="S62" s="25" t="n">
        <v>1</v>
      </c>
      <c r="T62" s="20" t="inlineStr">
        <is>
          <t>NO</t>
        </is>
      </c>
      <c r="U62" s="20" t="inlineStr">
        <is>
          <t>Bodega de pruebas</t>
        </is>
      </c>
      <c r="V62" s="21" t="inlineStr">
        <is>
          <t>Producto ficticio de prueba para validacion de busquedas, inventario, ventas y compras en FERREPRO. No corresponde a inventario real.</t>
        </is>
      </c>
      <c r="W62" s="26" t="n">
        <v>7</v>
      </c>
      <c r="X62" s="27" t="n"/>
      <c r="Y62" s="20" t="n"/>
      <c r="Z62" s="20" t="n"/>
      <c r="AA62" s="26">
        <f>IF(X62="","",X62-IF(W62="",0,W62))</f>
        <v/>
      </c>
      <c r="AB62" s="28">
        <f>IF(OR(X62="",M62=""),"",X62*M62)</f>
        <v/>
      </c>
      <c r="AC62" s="28">
        <f>IF(OR(X62="",N62=""),"",X62*N62)</f>
        <v/>
      </c>
      <c r="AD62" s="28">
        <f>IF(OR(M62="",N62=""),"",N62-M62)</f>
        <v/>
      </c>
      <c r="AE62" s="29">
        <f>IFERROR(IF(M62&gt;0,(N62-M62)/M62,""),"")</f>
        <v/>
      </c>
      <c r="AF62" s="30" t="n"/>
      <c r="AG62" s="30" t="inlineStr">
        <is>
          <t>PENDIENTE</t>
        </is>
      </c>
      <c r="AH62" s="18">
        <f>IF(NOT(OR(B62="EXISTENTE",COUNTA(G62,H62,I62,J62,K62,M62,N62,U62,V62,X62,Y62,Z62,AF62,AJ62)&gt;0)),"",IF(AK62&lt;&gt;"","REVISAR",IF(OR(G62="",H62="",M62="",N62="",O62="",P62="",X62=""),"INCOMPLETO",IF(AI62&lt;&gt;"","REVISAR",IF(AND(AF62&lt;&gt;"",AG62="ESCANEADO"),"LISTO_COMPLETO","LISTO_SIN_BARCODE")))))</f>
        <v/>
      </c>
      <c r="AI62" s="17">
        <f>IF(NOT(OR(B62="EXISTENTE",COUNTA(G62,H62,I62,J62,K62,M62,N62,U62,V62,X62,Y62,Z62,AF62,AJ62)&gt;0)),"",TEXTJOIN(" | ",TRUE,IF(A62="","Falta ID staging",""),IF(COUNTIF($A$5:$A$445,A62)&gt;1,"ID staging duplicado",""),IF(G62="","Falta nombre",""),IF(LEN(G62)&gt;150,"Nombre &gt;150 caracteres",""),IF(H62="","Falta categoría",IF(COUNTIF(CategoriasLista,H62)=0,"Categoría inválida","")),IF(M62="","Falta precio compra",IF(OR(NOT(ISNUMBER(M62)),M62&lt;0),"Precio compra inválido","")),IF(N62="","Falta precio venta",IF(OR(NOT(ISNUMBER(N62)),N62&lt;=0,N62&lt;M62),"Precio venta inválido","")),IF(O62="","Falta stock mínimo",IF(OR(NOT(ISNUMBER(O62)),O62&lt;0,MOD(O62,1)&lt;&gt;0),"Stock mínimo inválido","")),IF(P62="","Falta unidad",IF(COUNTIF(UnidadesLista,P62)=0,"Unidad inválida","")),IF(AND(K62&lt;&gt;"",COUNTIF(ProveedoresLista,K62)=0),"Proveedor no catalogado",""),IF(X62="","Falta cantidad contada",IF(OR(NOT(ISNUMBER(X62)),X62&lt;0,ABS(X62*1000-ROUND(X62*1000,0))&gt;0.0000001),"Cantidad inválida",IF(AND(Q62="NO",MOD(X62,1)&lt;&gt;0),"Cantidad fraccionaria no permitida",""))),IF(AND(R62="SI",OR(NOT(ISNUMBER(S62)),S62&lt;1,MOD(S62,1)&lt;&gt;0)),"Empaque inválido",""),IF(OR(AND(AF62="",AG62="ESCANEADO"),AND(AF62&lt;&gt;"",AG62&lt;&gt;"ESCANEADO")),"Barcode/estado inconsistente",""),IF(AK62&lt;&gt;"",AK62,"")))</f>
        <v/>
      </c>
      <c r="AJ62" s="21" t="n"/>
      <c r="AK62" s="17">
        <f>IF(G62="","",IF(OR(COUNTIFS($G$5:$G$445,G62,$I$5:$I$445,I62,$J$5:$J$445,J62,$P$5:$P$445,P62)&gt;1,AND(AF62&lt;&gt;"",COUNTIF($AF$5:$AF$445,AF62)&gt;1)),"REVISAR_POSIBLE_DUPLICADO",""))</f>
        <v/>
      </c>
    </row>
    <row r="63">
      <c r="A63" s="17" t="inlineStr">
        <is>
          <t>f0a5a36a-20cd-5175-b7a7-f665e973dde1</t>
        </is>
      </c>
      <c r="B63" s="18" t="inlineStr">
        <is>
          <t>EXISTENTE</t>
        </is>
      </c>
      <c r="C63" s="18" t="inlineStr">
        <is>
          <t>ACTIVO</t>
        </is>
      </c>
      <c r="D63" s="18" t="n">
        <v>98</v>
      </c>
      <c r="E63" s="17" t="inlineStr">
        <is>
          <t>af2616cf-5dba-4a66-a8d9-b06b65c906bd</t>
        </is>
      </c>
      <c r="F63" s="17" t="inlineStr">
        <is>
          <t>PRB-FER-0046</t>
        </is>
      </c>
      <c r="G63" s="19" t="inlineStr">
        <is>
          <t>Pintura esmalte blanco 1/4</t>
        </is>
      </c>
      <c r="H63" s="19" t="inlineStr">
        <is>
          <t>Pinturas y acabados</t>
        </is>
      </c>
      <c r="I63" s="20" t="inlineStr">
        <is>
          <t>Pintulínea</t>
        </is>
      </c>
      <c r="J63" s="20" t="inlineStr">
        <is>
          <t>1/4 galón</t>
        </is>
      </c>
      <c r="K63" s="21" t="inlineStr">
        <is>
          <t>Proveedor Prueba Herramientas Industriales</t>
        </is>
      </c>
      <c r="L63" s="18" t="n">
        <v>14</v>
      </c>
      <c r="M63" s="22" t="n">
        <v>70000</v>
      </c>
      <c r="N63" s="22" t="n">
        <v>100000</v>
      </c>
      <c r="O63" s="23" t="n">
        <v>3</v>
      </c>
      <c r="P63" s="24" t="inlineStr">
        <is>
          <t>GALON</t>
        </is>
      </c>
      <c r="Q63" s="20" t="inlineStr">
        <is>
          <t>SI</t>
        </is>
      </c>
      <c r="R63" s="20" t="inlineStr">
        <is>
          <t>NO</t>
        </is>
      </c>
      <c r="S63" s="25" t="n">
        <v>1</v>
      </c>
      <c r="T63" s="20" t="inlineStr">
        <is>
          <t>NO</t>
        </is>
      </c>
      <c r="U63" s="20" t="inlineStr">
        <is>
          <t>Bodega de pruebas</t>
        </is>
      </c>
      <c r="V63" s="21" t="inlineStr">
        <is>
          <t>Producto ficticio de prueba para validacion de busquedas, inventario, ventas y compras en FERREPRO. No corresponde a inventario real.</t>
        </is>
      </c>
      <c r="W63" s="26" t="n">
        <v>7</v>
      </c>
      <c r="X63" s="27" t="n"/>
      <c r="Y63" s="20" t="n"/>
      <c r="Z63" s="20" t="n"/>
      <c r="AA63" s="26">
        <f>IF(X63="","",X63-IF(W63="",0,W63))</f>
        <v/>
      </c>
      <c r="AB63" s="28">
        <f>IF(OR(X63="",M63=""),"",X63*M63)</f>
        <v/>
      </c>
      <c r="AC63" s="28">
        <f>IF(OR(X63="",N63=""),"",X63*N63)</f>
        <v/>
      </c>
      <c r="AD63" s="28">
        <f>IF(OR(M63="",N63=""),"",N63-M63)</f>
        <v/>
      </c>
      <c r="AE63" s="29">
        <f>IFERROR(IF(M63&gt;0,(N63-M63)/M63,""),"")</f>
        <v/>
      </c>
      <c r="AF63" s="30" t="n"/>
      <c r="AG63" s="30" t="inlineStr">
        <is>
          <t>PENDIENTE</t>
        </is>
      </c>
      <c r="AH63" s="18">
        <f>IF(NOT(OR(B63="EXISTENTE",COUNTA(G63,H63,I63,J63,K63,M63,N63,U63,V63,X63,Y63,Z63,AF63,AJ63)&gt;0)),"",IF(AK63&lt;&gt;"","REVISAR",IF(OR(G63="",H63="",M63="",N63="",O63="",P63="",X63=""),"INCOMPLETO",IF(AI63&lt;&gt;"","REVISAR",IF(AND(AF63&lt;&gt;"",AG63="ESCANEADO"),"LISTO_COMPLETO","LISTO_SIN_BARCODE")))))</f>
        <v/>
      </c>
      <c r="AI63" s="17">
        <f>IF(NOT(OR(B63="EXISTENTE",COUNTA(G63,H63,I63,J63,K63,M63,N63,U63,V63,X63,Y63,Z63,AF63,AJ63)&gt;0)),"",TEXTJOIN(" | ",TRUE,IF(A63="","Falta ID staging",""),IF(COUNTIF($A$5:$A$445,A63)&gt;1,"ID staging duplicado",""),IF(G63="","Falta nombre",""),IF(LEN(G63)&gt;150,"Nombre &gt;150 caracteres",""),IF(H63="","Falta categoría",IF(COUNTIF(CategoriasLista,H63)=0,"Categoría inválida","")),IF(M63="","Falta precio compra",IF(OR(NOT(ISNUMBER(M63)),M63&lt;0),"Precio compra inválido","")),IF(N63="","Falta precio venta",IF(OR(NOT(ISNUMBER(N63)),N63&lt;=0,N63&lt;M63),"Precio venta inválido","")),IF(O63="","Falta stock mínimo",IF(OR(NOT(ISNUMBER(O63)),O63&lt;0,MOD(O63,1)&lt;&gt;0),"Stock mínimo inválido","")),IF(P63="","Falta unidad",IF(COUNTIF(UnidadesLista,P63)=0,"Unidad inválida","")),IF(AND(K63&lt;&gt;"",COUNTIF(ProveedoresLista,K63)=0),"Proveedor no catalogado",""),IF(X63="","Falta cantidad contada",IF(OR(NOT(ISNUMBER(X63)),X63&lt;0,ABS(X63*1000-ROUND(X63*1000,0))&gt;0.0000001),"Cantidad inválida",IF(AND(Q63="NO",MOD(X63,1)&lt;&gt;0),"Cantidad fraccionaria no permitida",""))),IF(AND(R63="SI",OR(NOT(ISNUMBER(S63)),S63&lt;1,MOD(S63,1)&lt;&gt;0)),"Empaque inválido",""),IF(OR(AND(AF63="",AG63="ESCANEADO"),AND(AF63&lt;&gt;"",AG63&lt;&gt;"ESCANEADO")),"Barcode/estado inconsistente",""),IF(AK63&lt;&gt;"",AK63,"")))</f>
        <v/>
      </c>
      <c r="AJ63" s="21" t="n"/>
      <c r="AK63" s="17">
        <f>IF(G63="","",IF(OR(COUNTIFS($G$5:$G$445,G63,$I$5:$I$445,I63,$J$5:$J$445,J63,$P$5:$P$445,P63)&gt;1,AND(AF63&lt;&gt;"",COUNTIF($AF$5:$AF$445,AF63)&gt;1)),"REVISAR_POSIBLE_DUPLICADO",""))</f>
        <v/>
      </c>
    </row>
    <row r="64">
      <c r="A64" s="17" t="inlineStr">
        <is>
          <t>fa56f726-0f4a-543f-8443-1d59c364a870</t>
        </is>
      </c>
      <c r="B64" s="18" t="inlineStr">
        <is>
          <t>EXISTENTE</t>
        </is>
      </c>
      <c r="C64" s="18" t="inlineStr">
        <is>
          <t>ACTIVO</t>
        </is>
      </c>
      <c r="D64" s="18" t="n">
        <v>99</v>
      </c>
      <c r="E64" s="17" t="inlineStr">
        <is>
          <t>8c4aac75-5123-4b76-a96c-31728cd25cd8</t>
        </is>
      </c>
      <c r="F64" s="17" t="inlineStr">
        <is>
          <t>PRB-FER-0047</t>
        </is>
      </c>
      <c r="G64" s="19" t="inlineStr">
        <is>
          <t>Brocha 2 pulgadas</t>
        </is>
      </c>
      <c r="H64" s="19" t="inlineStr">
        <is>
          <t>Pinturas y acabados</t>
        </is>
      </c>
      <c r="I64" s="20" t="inlineStr">
        <is>
          <t>Genérico</t>
        </is>
      </c>
      <c r="J64" s="20" t="inlineStr">
        <is>
          <t>Unidad</t>
        </is>
      </c>
      <c r="K64" s="21" t="inlineStr">
        <is>
          <t>Proveedor Prueba Plomería Nacional</t>
        </is>
      </c>
      <c r="L64" s="18" t="n">
        <v>15</v>
      </c>
      <c r="M64" s="22" t="n">
        <v>4800</v>
      </c>
      <c r="N64" s="22" t="n">
        <v>6800</v>
      </c>
      <c r="O64" s="23" t="n">
        <v>17</v>
      </c>
      <c r="P64" s="24" t="inlineStr">
        <is>
          <t>UNIDAD</t>
        </is>
      </c>
      <c r="Q64" s="20" t="inlineStr">
        <is>
          <t>NO</t>
        </is>
      </c>
      <c r="R64" s="20" t="inlineStr">
        <is>
          <t>NO</t>
        </is>
      </c>
      <c r="S64" s="25" t="n">
        <v>1</v>
      </c>
      <c r="T64" s="20" t="inlineStr">
        <is>
          <t>NO</t>
        </is>
      </c>
      <c r="U64" s="20" t="inlineStr">
        <is>
          <t>Bodega de pruebas</t>
        </is>
      </c>
      <c r="V64" s="21" t="inlineStr">
        <is>
          <t>Producto ficticio de prueba para validacion de busquedas, inventario, ventas y compras en FERREPRO. No corresponde a inventario real.</t>
        </is>
      </c>
      <c r="W64" s="26" t="n">
        <v>70</v>
      </c>
      <c r="X64" s="27" t="n"/>
      <c r="Y64" s="20" t="n"/>
      <c r="Z64" s="20" t="n"/>
      <c r="AA64" s="26">
        <f>IF(X64="","",X64-IF(W64="",0,W64))</f>
        <v/>
      </c>
      <c r="AB64" s="28">
        <f>IF(OR(X64="",M64=""),"",X64*M64)</f>
        <v/>
      </c>
      <c r="AC64" s="28">
        <f>IF(OR(X64="",N64=""),"",X64*N64)</f>
        <v/>
      </c>
      <c r="AD64" s="28">
        <f>IF(OR(M64="",N64=""),"",N64-M64)</f>
        <v/>
      </c>
      <c r="AE64" s="29">
        <f>IFERROR(IF(M64&gt;0,(N64-M64)/M64,""),"")</f>
        <v/>
      </c>
      <c r="AF64" s="30" t="n"/>
      <c r="AG64" s="30" t="inlineStr">
        <is>
          <t>PENDIENTE</t>
        </is>
      </c>
      <c r="AH64" s="18">
        <f>IF(NOT(OR(B64="EXISTENTE",COUNTA(G64,H64,I64,J64,K64,M64,N64,U64,V64,X64,Y64,Z64,AF64,AJ64)&gt;0)),"",IF(AK64&lt;&gt;"","REVISAR",IF(OR(G64="",H64="",M64="",N64="",O64="",P64="",X64=""),"INCOMPLETO",IF(AI64&lt;&gt;"","REVISAR",IF(AND(AF64&lt;&gt;"",AG64="ESCANEADO"),"LISTO_COMPLETO","LISTO_SIN_BARCODE")))))</f>
        <v/>
      </c>
      <c r="AI64" s="17">
        <f>IF(NOT(OR(B64="EXISTENTE",COUNTA(G64,H64,I64,J64,K64,M64,N64,U64,V64,X64,Y64,Z64,AF64,AJ64)&gt;0)),"",TEXTJOIN(" | ",TRUE,IF(A64="","Falta ID staging",""),IF(COUNTIF($A$5:$A$445,A64)&gt;1,"ID staging duplicado",""),IF(G64="","Falta nombre",""),IF(LEN(G64)&gt;150,"Nombre &gt;150 caracteres",""),IF(H64="","Falta categoría",IF(COUNTIF(CategoriasLista,H64)=0,"Categoría inválida","")),IF(M64="","Falta precio compra",IF(OR(NOT(ISNUMBER(M64)),M64&lt;0),"Precio compra inválido","")),IF(N64="","Falta precio venta",IF(OR(NOT(ISNUMBER(N64)),N64&lt;=0,N64&lt;M64),"Precio venta inválido","")),IF(O64="","Falta stock mínimo",IF(OR(NOT(ISNUMBER(O64)),O64&lt;0,MOD(O64,1)&lt;&gt;0),"Stock mínimo inválido","")),IF(P64="","Falta unidad",IF(COUNTIF(UnidadesLista,P64)=0,"Unidad inválida","")),IF(AND(K64&lt;&gt;"",COUNTIF(ProveedoresLista,K64)=0),"Proveedor no catalogado",""),IF(X64="","Falta cantidad contada",IF(OR(NOT(ISNUMBER(X64)),X64&lt;0,ABS(X64*1000-ROUND(X64*1000,0))&gt;0.0000001),"Cantidad inválida",IF(AND(Q64="NO",MOD(X64,1)&lt;&gt;0),"Cantidad fraccionaria no permitida",""))),IF(AND(R64="SI",OR(NOT(ISNUMBER(S64)),S64&lt;1,MOD(S64,1)&lt;&gt;0)),"Empaque inválido",""),IF(OR(AND(AF64="",AG64="ESCANEADO"),AND(AF64&lt;&gt;"",AG64&lt;&gt;"ESCANEADO")),"Barcode/estado inconsistente",""),IF(AK64&lt;&gt;"",AK64,"")))</f>
        <v/>
      </c>
      <c r="AJ64" s="21" t="n"/>
      <c r="AK64" s="17">
        <f>IF(G64="","",IF(OR(COUNTIFS($G$5:$G$445,G64,$I$5:$I$445,I64,$J$5:$J$445,J64,$P$5:$P$445,P64)&gt;1,AND(AF64&lt;&gt;"",COUNTIF($AF$5:$AF$445,AF64)&gt;1)),"REVISAR_POSIBLE_DUPLICADO",""))</f>
        <v/>
      </c>
    </row>
    <row r="65">
      <c r="A65" s="17" t="inlineStr">
        <is>
          <t>53394f31-a1f8-56f4-a9d3-e8cdcb2e2cfd</t>
        </is>
      </c>
      <c r="B65" s="18" t="inlineStr">
        <is>
          <t>EXISTENTE</t>
        </is>
      </c>
      <c r="C65" s="18" t="inlineStr">
        <is>
          <t>ACTIVO</t>
        </is>
      </c>
      <c r="D65" s="18" t="n">
        <v>100</v>
      </c>
      <c r="E65" s="17" t="inlineStr">
        <is>
          <t>0a88ca14-2c1c-4e79-b2b2-158711f5802e</t>
        </is>
      </c>
      <c r="F65" s="17" t="inlineStr">
        <is>
          <t>PRB-FER-0048</t>
        </is>
      </c>
      <c r="G65" s="19" t="inlineStr">
        <is>
          <t>Brocha 4 pulgadas</t>
        </is>
      </c>
      <c r="H65" s="19" t="inlineStr">
        <is>
          <t>Pinturas y acabados</t>
        </is>
      </c>
      <c r="I65" s="20" t="inlineStr">
        <is>
          <t>Genérico</t>
        </is>
      </c>
      <c r="J65" s="20" t="inlineStr">
        <is>
          <t>Unidad</t>
        </is>
      </c>
      <c r="K65" s="21" t="inlineStr">
        <is>
          <t>Proveedor Prueba Seguridad y Protección</t>
        </is>
      </c>
      <c r="L65" s="18" t="n">
        <v>16</v>
      </c>
      <c r="M65" s="22" t="n">
        <v>8500</v>
      </c>
      <c r="N65" s="22" t="n">
        <v>12000</v>
      </c>
      <c r="O65" s="23" t="n">
        <v>13</v>
      </c>
      <c r="P65" s="24" t="inlineStr">
        <is>
          <t>UNIDAD</t>
        </is>
      </c>
      <c r="Q65" s="20" t="inlineStr">
        <is>
          <t>NO</t>
        </is>
      </c>
      <c r="R65" s="20" t="inlineStr">
        <is>
          <t>NO</t>
        </is>
      </c>
      <c r="S65" s="25" t="n">
        <v>1</v>
      </c>
      <c r="T65" s="20" t="inlineStr">
        <is>
          <t>NO</t>
        </is>
      </c>
      <c r="U65" s="20" t="inlineStr">
        <is>
          <t>Bodega de pruebas</t>
        </is>
      </c>
      <c r="V65" s="21" t="inlineStr">
        <is>
          <t>Producto ficticio de prueba para validacion de busquedas, inventario, ventas y compras en FERREPRO. No corresponde a inventario real.</t>
        </is>
      </c>
      <c r="W65" s="26" t="n">
        <v>55</v>
      </c>
      <c r="X65" s="27" t="n"/>
      <c r="Y65" s="20" t="n"/>
      <c r="Z65" s="20" t="n"/>
      <c r="AA65" s="26">
        <f>IF(X65="","",X65-IF(W65="",0,W65))</f>
        <v/>
      </c>
      <c r="AB65" s="28">
        <f>IF(OR(X65="",M65=""),"",X65*M65)</f>
        <v/>
      </c>
      <c r="AC65" s="28">
        <f>IF(OR(X65="",N65=""),"",X65*N65)</f>
        <v/>
      </c>
      <c r="AD65" s="28">
        <f>IF(OR(M65="",N65=""),"",N65-M65)</f>
        <v/>
      </c>
      <c r="AE65" s="29">
        <f>IFERROR(IF(M65&gt;0,(N65-M65)/M65,""),"")</f>
        <v/>
      </c>
      <c r="AF65" s="30" t="n"/>
      <c r="AG65" s="30" t="inlineStr">
        <is>
          <t>PENDIENTE</t>
        </is>
      </c>
      <c r="AH65" s="18">
        <f>IF(NOT(OR(B65="EXISTENTE",COUNTA(G65,H65,I65,J65,K65,M65,N65,U65,V65,X65,Y65,Z65,AF65,AJ65)&gt;0)),"",IF(AK65&lt;&gt;"","REVISAR",IF(OR(G65="",H65="",M65="",N65="",O65="",P65="",X65=""),"INCOMPLETO",IF(AI65&lt;&gt;"","REVISAR",IF(AND(AF65&lt;&gt;"",AG65="ESCANEADO"),"LISTO_COMPLETO","LISTO_SIN_BARCODE")))))</f>
        <v/>
      </c>
      <c r="AI65" s="17">
        <f>IF(NOT(OR(B65="EXISTENTE",COUNTA(G65,H65,I65,J65,K65,M65,N65,U65,V65,X65,Y65,Z65,AF65,AJ65)&gt;0)),"",TEXTJOIN(" | ",TRUE,IF(A65="","Falta ID staging",""),IF(COUNTIF($A$5:$A$445,A65)&gt;1,"ID staging duplicado",""),IF(G65="","Falta nombre",""),IF(LEN(G65)&gt;150,"Nombre &gt;150 caracteres",""),IF(H65="","Falta categoría",IF(COUNTIF(CategoriasLista,H65)=0,"Categoría inválida","")),IF(M65="","Falta precio compra",IF(OR(NOT(ISNUMBER(M65)),M65&lt;0),"Precio compra inválido","")),IF(N65="","Falta precio venta",IF(OR(NOT(ISNUMBER(N65)),N65&lt;=0,N65&lt;M65),"Precio venta inválido","")),IF(O65="","Falta stock mínimo",IF(OR(NOT(ISNUMBER(O65)),O65&lt;0,MOD(O65,1)&lt;&gt;0),"Stock mínimo inválido","")),IF(P65="","Falta unidad",IF(COUNTIF(UnidadesLista,P65)=0,"Unidad inválida","")),IF(AND(K65&lt;&gt;"",COUNTIF(ProveedoresLista,K65)=0),"Proveedor no catalogado",""),IF(X65="","Falta cantidad contada",IF(OR(NOT(ISNUMBER(X65)),X65&lt;0,ABS(X65*1000-ROUND(X65*1000,0))&gt;0.0000001),"Cantidad inválida",IF(AND(Q65="NO",MOD(X65,1)&lt;&gt;0),"Cantidad fraccionaria no permitida",""))),IF(AND(R65="SI",OR(NOT(ISNUMBER(S65)),S65&lt;1,MOD(S65,1)&lt;&gt;0)),"Empaque inválido",""),IF(OR(AND(AF65="",AG65="ESCANEADO"),AND(AF65&lt;&gt;"",AG65&lt;&gt;"ESCANEADO")),"Barcode/estado inconsistente",""),IF(AK65&lt;&gt;"",AK65,"")))</f>
        <v/>
      </c>
      <c r="AJ65" s="21" t="n"/>
      <c r="AK65" s="17">
        <f>IF(G65="","",IF(OR(COUNTIFS($G$5:$G$445,G65,$I$5:$I$445,I65,$J$5:$J$445,J65,$P$5:$P$445,P65)&gt;1,AND(AF65&lt;&gt;"",COUNTIF($AF$5:$AF$445,AF65)&gt;1)),"REVISAR_POSIBLE_DUPLICADO",""))</f>
        <v/>
      </c>
    </row>
    <row r="66">
      <c r="A66" s="17" t="inlineStr">
        <is>
          <t>3611b617-5c2f-5506-9343-5c72bec1ec20</t>
        </is>
      </c>
      <c r="B66" s="18" t="inlineStr">
        <is>
          <t>EXISTENTE</t>
        </is>
      </c>
      <c r="C66" s="18" t="inlineStr">
        <is>
          <t>ACTIVO</t>
        </is>
      </c>
      <c r="D66" s="18" t="n">
        <v>101</v>
      </c>
      <c r="E66" s="17" t="inlineStr">
        <is>
          <t>3344c9a4-8955-4bab-a2d7-2a77b711f848</t>
        </is>
      </c>
      <c r="F66" s="17" t="inlineStr">
        <is>
          <t>PRB-FER-0049</t>
        </is>
      </c>
      <c r="G66" s="19" t="inlineStr">
        <is>
          <t>Rodillo felpa 9 pulgadas</t>
        </is>
      </c>
      <c r="H66" s="19" t="inlineStr">
        <is>
          <t>Pinturas y acabados</t>
        </is>
      </c>
      <c r="I66" s="20" t="inlineStr">
        <is>
          <t>Pintulínea</t>
        </is>
      </c>
      <c r="J66" s="20" t="inlineStr">
        <is>
          <t>Unidad</t>
        </is>
      </c>
      <c r="K66" s="21" t="inlineStr">
        <is>
          <t>Proveedor Prueba Ferretería Central S.A.S.</t>
        </is>
      </c>
      <c r="L66" s="18" t="n">
        <v>9</v>
      </c>
      <c r="M66" s="22" t="n">
        <v>9000</v>
      </c>
      <c r="N66" s="22" t="n">
        <v>13000</v>
      </c>
      <c r="O66" s="23" t="n">
        <v>11</v>
      </c>
      <c r="P66" s="24" t="inlineStr">
        <is>
          <t>UNIDAD</t>
        </is>
      </c>
      <c r="Q66" s="20" t="inlineStr">
        <is>
          <t>NO</t>
        </is>
      </c>
      <c r="R66" s="20" t="inlineStr">
        <is>
          <t>NO</t>
        </is>
      </c>
      <c r="S66" s="25" t="n">
        <v>1</v>
      </c>
      <c r="T66" s="20" t="inlineStr">
        <is>
          <t>NO</t>
        </is>
      </c>
      <c r="U66" s="20" t="inlineStr">
        <is>
          <t>Bodega de pruebas</t>
        </is>
      </c>
      <c r="V66" s="21" t="inlineStr">
        <is>
          <t>Producto ficticio de prueba para validacion de busquedas, inventario, ventas y compras en FERREPRO. No corresponde a inventario real.</t>
        </is>
      </c>
      <c r="W66" s="26" t="n">
        <v>45</v>
      </c>
      <c r="X66" s="27" t="n"/>
      <c r="Y66" s="20" t="n"/>
      <c r="Z66" s="20" t="n"/>
      <c r="AA66" s="26">
        <f>IF(X66="","",X66-IF(W66="",0,W66))</f>
        <v/>
      </c>
      <c r="AB66" s="28">
        <f>IF(OR(X66="",M66=""),"",X66*M66)</f>
        <v/>
      </c>
      <c r="AC66" s="28">
        <f>IF(OR(X66="",N66=""),"",X66*N66)</f>
        <v/>
      </c>
      <c r="AD66" s="28">
        <f>IF(OR(M66="",N66=""),"",N66-M66)</f>
        <v/>
      </c>
      <c r="AE66" s="29">
        <f>IFERROR(IF(M66&gt;0,(N66-M66)/M66,""),"")</f>
        <v/>
      </c>
      <c r="AF66" s="30" t="n"/>
      <c r="AG66" s="30" t="inlineStr">
        <is>
          <t>PENDIENTE</t>
        </is>
      </c>
      <c r="AH66" s="18">
        <f>IF(NOT(OR(B66="EXISTENTE",COUNTA(G66,H66,I66,J66,K66,M66,N66,U66,V66,X66,Y66,Z66,AF66,AJ66)&gt;0)),"",IF(AK66&lt;&gt;"","REVISAR",IF(OR(G66="",H66="",M66="",N66="",O66="",P66="",X66=""),"INCOMPLETO",IF(AI66&lt;&gt;"","REVISAR",IF(AND(AF66&lt;&gt;"",AG66="ESCANEADO"),"LISTO_COMPLETO","LISTO_SIN_BARCODE")))))</f>
        <v/>
      </c>
      <c r="AI66" s="17">
        <f>IF(NOT(OR(B66="EXISTENTE",COUNTA(G66,H66,I66,J66,K66,M66,N66,U66,V66,X66,Y66,Z66,AF66,AJ66)&gt;0)),"",TEXTJOIN(" | ",TRUE,IF(A66="","Falta ID staging",""),IF(COUNTIF($A$5:$A$445,A66)&gt;1,"ID staging duplicado",""),IF(G66="","Falta nombre",""),IF(LEN(G66)&gt;150,"Nombre &gt;150 caracteres",""),IF(H66="","Falta categoría",IF(COUNTIF(CategoriasLista,H66)=0,"Categoría inválida","")),IF(M66="","Falta precio compra",IF(OR(NOT(ISNUMBER(M66)),M66&lt;0),"Precio compra inválido","")),IF(N66="","Falta precio venta",IF(OR(NOT(ISNUMBER(N66)),N66&lt;=0,N66&lt;M66),"Precio venta inválido","")),IF(O66="","Falta stock mínimo",IF(OR(NOT(ISNUMBER(O66)),O66&lt;0,MOD(O66,1)&lt;&gt;0),"Stock mínimo inválido","")),IF(P66="","Falta unidad",IF(COUNTIF(UnidadesLista,P66)=0,"Unidad inválida","")),IF(AND(K66&lt;&gt;"",COUNTIF(ProveedoresLista,K66)=0),"Proveedor no catalogado",""),IF(X66="","Falta cantidad contada",IF(OR(NOT(ISNUMBER(X66)),X66&lt;0,ABS(X66*1000-ROUND(X66*1000,0))&gt;0.0000001),"Cantidad inválida",IF(AND(Q66="NO",MOD(X66,1)&lt;&gt;0),"Cantidad fraccionaria no permitida",""))),IF(AND(R66="SI",OR(NOT(ISNUMBER(S66)),S66&lt;1,MOD(S66,1)&lt;&gt;0)),"Empaque inválido",""),IF(OR(AND(AF66="",AG66="ESCANEADO"),AND(AF66&lt;&gt;"",AG66&lt;&gt;"ESCANEADO")),"Barcode/estado inconsistente",""),IF(AK66&lt;&gt;"",AK66,"")))</f>
        <v/>
      </c>
      <c r="AJ66" s="21" t="n"/>
      <c r="AK66" s="17">
        <f>IF(G66="","",IF(OR(COUNTIFS($G$5:$G$445,G66,$I$5:$I$445,I66,$J$5:$J$445,J66,$P$5:$P$445,P66)&gt;1,AND(AF66&lt;&gt;"",COUNTIF($AF$5:$AF$445,AF66)&gt;1)),"REVISAR_POSIBLE_DUPLICADO",""))</f>
        <v/>
      </c>
    </row>
    <row r="67">
      <c r="A67" s="17" t="inlineStr">
        <is>
          <t>49b2a028-ae00-590d-a838-9a70fb328af7</t>
        </is>
      </c>
      <c r="B67" s="18" t="inlineStr">
        <is>
          <t>EXISTENTE</t>
        </is>
      </c>
      <c r="C67" s="18" t="inlineStr">
        <is>
          <t>ACTIVO</t>
        </is>
      </c>
      <c r="D67" s="18" t="n">
        <v>102</v>
      </c>
      <c r="E67" s="17" t="inlineStr">
        <is>
          <t>b7e5f32a-4ad0-4701-9f81-367302cdf58d</t>
        </is>
      </c>
      <c r="F67" s="17" t="inlineStr">
        <is>
          <t>PRB-FER-0050</t>
        </is>
      </c>
      <c r="G67" s="19" t="inlineStr">
        <is>
          <t>Bandeja para pintura</t>
        </is>
      </c>
      <c r="H67" s="19" t="inlineStr">
        <is>
          <t>Pinturas y acabados</t>
        </is>
      </c>
      <c r="I67" s="20" t="inlineStr">
        <is>
          <t>Genérico</t>
        </is>
      </c>
      <c r="J67" s="20" t="inlineStr">
        <is>
          <t>Unidad</t>
        </is>
      </c>
      <c r="K67" s="21" t="inlineStr">
        <is>
          <t>Proveedor Prueba ConstruMateriales del Norte</t>
        </is>
      </c>
      <c r="L67" s="18" t="n">
        <v>10</v>
      </c>
      <c r="M67" s="22" t="n">
        <v>6500</v>
      </c>
      <c r="N67" s="22" t="n">
        <v>9200</v>
      </c>
      <c r="O67" s="23" t="n">
        <v>8</v>
      </c>
      <c r="P67" s="24" t="inlineStr">
        <is>
          <t>UNIDAD</t>
        </is>
      </c>
      <c r="Q67" s="20" t="inlineStr">
        <is>
          <t>NO</t>
        </is>
      </c>
      <c r="R67" s="20" t="inlineStr">
        <is>
          <t>NO</t>
        </is>
      </c>
      <c r="S67" s="25" t="n">
        <v>1</v>
      </c>
      <c r="T67" s="20" t="inlineStr">
        <is>
          <t>NO</t>
        </is>
      </c>
      <c r="U67" s="20" t="inlineStr">
        <is>
          <t>Bodega de pruebas</t>
        </is>
      </c>
      <c r="V67" s="21" t="inlineStr">
        <is>
          <t>Producto ficticio de prueba para validacion de busquedas, inventario, ventas y compras en FERREPRO. No corresponde a inventario real.</t>
        </is>
      </c>
      <c r="W67" s="26" t="n">
        <v>35</v>
      </c>
      <c r="X67" s="27" t="n"/>
      <c r="Y67" s="20" t="n"/>
      <c r="Z67" s="20" t="n"/>
      <c r="AA67" s="26">
        <f>IF(X67="","",X67-IF(W67="",0,W67))</f>
        <v/>
      </c>
      <c r="AB67" s="28">
        <f>IF(OR(X67="",M67=""),"",X67*M67)</f>
        <v/>
      </c>
      <c r="AC67" s="28">
        <f>IF(OR(X67="",N67=""),"",X67*N67)</f>
        <v/>
      </c>
      <c r="AD67" s="28">
        <f>IF(OR(M67="",N67=""),"",N67-M67)</f>
        <v/>
      </c>
      <c r="AE67" s="29">
        <f>IFERROR(IF(M67&gt;0,(N67-M67)/M67,""),"")</f>
        <v/>
      </c>
      <c r="AF67" s="30" t="n"/>
      <c r="AG67" s="30" t="inlineStr">
        <is>
          <t>PENDIENTE</t>
        </is>
      </c>
      <c r="AH67" s="18">
        <f>IF(NOT(OR(B67="EXISTENTE",COUNTA(G67,H67,I67,J67,K67,M67,N67,U67,V67,X67,Y67,Z67,AF67,AJ67)&gt;0)),"",IF(AK67&lt;&gt;"","REVISAR",IF(OR(G67="",H67="",M67="",N67="",O67="",P67="",X67=""),"INCOMPLETO",IF(AI67&lt;&gt;"","REVISAR",IF(AND(AF67&lt;&gt;"",AG67="ESCANEADO"),"LISTO_COMPLETO","LISTO_SIN_BARCODE")))))</f>
        <v/>
      </c>
      <c r="AI67" s="17">
        <f>IF(NOT(OR(B67="EXISTENTE",COUNTA(G67,H67,I67,J67,K67,M67,N67,U67,V67,X67,Y67,Z67,AF67,AJ67)&gt;0)),"",TEXTJOIN(" | ",TRUE,IF(A67="","Falta ID staging",""),IF(COUNTIF($A$5:$A$445,A67)&gt;1,"ID staging duplicado",""),IF(G67="","Falta nombre",""),IF(LEN(G67)&gt;150,"Nombre &gt;150 caracteres",""),IF(H67="","Falta categoría",IF(COUNTIF(CategoriasLista,H67)=0,"Categoría inválida","")),IF(M67="","Falta precio compra",IF(OR(NOT(ISNUMBER(M67)),M67&lt;0),"Precio compra inválido","")),IF(N67="","Falta precio venta",IF(OR(NOT(ISNUMBER(N67)),N67&lt;=0,N67&lt;M67),"Precio venta inválido","")),IF(O67="","Falta stock mínimo",IF(OR(NOT(ISNUMBER(O67)),O67&lt;0,MOD(O67,1)&lt;&gt;0),"Stock mínimo inválido","")),IF(P67="","Falta unidad",IF(COUNTIF(UnidadesLista,P67)=0,"Unidad inválida","")),IF(AND(K67&lt;&gt;"",COUNTIF(ProveedoresLista,K67)=0),"Proveedor no catalogado",""),IF(X67="","Falta cantidad contada",IF(OR(NOT(ISNUMBER(X67)),X67&lt;0,ABS(X67*1000-ROUND(X67*1000,0))&gt;0.0000001),"Cantidad inválida",IF(AND(Q67="NO",MOD(X67,1)&lt;&gt;0),"Cantidad fraccionaria no permitida",""))),IF(AND(R67="SI",OR(NOT(ISNUMBER(S67)),S67&lt;1,MOD(S67,1)&lt;&gt;0)),"Empaque inválido",""),IF(OR(AND(AF67="",AG67="ESCANEADO"),AND(AF67&lt;&gt;"",AG67&lt;&gt;"ESCANEADO")),"Barcode/estado inconsistente",""),IF(AK67&lt;&gt;"",AK67,"")))</f>
        <v/>
      </c>
      <c r="AJ67" s="21" t="n"/>
      <c r="AK67" s="17">
        <f>IF(G67="","",IF(OR(COUNTIFS($G$5:$G$445,G67,$I$5:$I$445,I67,$J$5:$J$445,J67,$P$5:$P$445,P67)&gt;1,AND(AF67&lt;&gt;"",COUNTIF($AF$5:$AF$445,AF67)&gt;1)),"REVISAR_POSIBLE_DUPLICADO",""))</f>
        <v/>
      </c>
    </row>
    <row r="68">
      <c r="A68" s="17" t="inlineStr">
        <is>
          <t>479b7781-45f3-5b09-8b34-efb543c8d2ec</t>
        </is>
      </c>
      <c r="B68" s="18" t="inlineStr">
        <is>
          <t>EXISTENTE</t>
        </is>
      </c>
      <c r="C68" s="18" t="inlineStr">
        <is>
          <t>ACTIVO</t>
        </is>
      </c>
      <c r="D68" s="18" t="n">
        <v>103</v>
      </c>
      <c r="E68" s="17" t="inlineStr">
        <is>
          <t>aef9f7d7-86f0-487a-b623-bc9db96569a4</t>
        </is>
      </c>
      <c r="F68" s="17" t="inlineStr">
        <is>
          <t>PRB-FER-0051</t>
        </is>
      </c>
      <c r="G68" s="19" t="inlineStr">
        <is>
          <t>Lija agua grano 220</t>
        </is>
      </c>
      <c r="H68" s="19" t="inlineStr">
        <is>
          <t>Pinturas y acabados</t>
        </is>
      </c>
      <c r="I68" s="20" t="inlineStr">
        <is>
          <t>Pintulínea</t>
        </is>
      </c>
      <c r="J68" s="20" t="inlineStr">
        <is>
          <t>Unidad</t>
        </is>
      </c>
      <c r="K68" s="21" t="inlineStr">
        <is>
          <t>Proveedor Prueba Tornillos y Fijaciones Andinas</t>
        </is>
      </c>
      <c r="L68" s="18" t="n">
        <v>11</v>
      </c>
      <c r="M68" s="22" t="n">
        <v>1200</v>
      </c>
      <c r="N68" s="22" t="n">
        <v>1800</v>
      </c>
      <c r="O68" s="23" t="n">
        <v>45</v>
      </c>
      <c r="P68" s="24" t="inlineStr">
        <is>
          <t>UNIDAD</t>
        </is>
      </c>
      <c r="Q68" s="20" t="inlineStr">
        <is>
          <t>NO</t>
        </is>
      </c>
      <c r="R68" s="20" t="inlineStr">
        <is>
          <t>NO</t>
        </is>
      </c>
      <c r="S68" s="25" t="n">
        <v>1</v>
      </c>
      <c r="T68" s="20" t="inlineStr">
        <is>
          <t>NO</t>
        </is>
      </c>
      <c r="U68" s="20" t="inlineStr">
        <is>
          <t>Bodega de pruebas</t>
        </is>
      </c>
      <c r="V68" s="21" t="inlineStr">
        <is>
          <t>Producto ficticio de prueba para validacion de busquedas, inventario, ventas y compras en FERREPRO. No corresponde a inventario real.</t>
        </is>
      </c>
      <c r="W68" s="26" t="n">
        <v>180</v>
      </c>
      <c r="X68" s="27" t="n"/>
      <c r="Y68" s="20" t="n"/>
      <c r="Z68" s="20" t="n"/>
      <c r="AA68" s="26">
        <f>IF(X68="","",X68-IF(W68="",0,W68))</f>
        <v/>
      </c>
      <c r="AB68" s="28">
        <f>IF(OR(X68="",M68=""),"",X68*M68)</f>
        <v/>
      </c>
      <c r="AC68" s="28">
        <f>IF(OR(X68="",N68=""),"",X68*N68)</f>
        <v/>
      </c>
      <c r="AD68" s="28">
        <f>IF(OR(M68="",N68=""),"",N68-M68)</f>
        <v/>
      </c>
      <c r="AE68" s="29">
        <f>IFERROR(IF(M68&gt;0,(N68-M68)/M68,""),"")</f>
        <v/>
      </c>
      <c r="AF68" s="30" t="n"/>
      <c r="AG68" s="30" t="inlineStr">
        <is>
          <t>PENDIENTE</t>
        </is>
      </c>
      <c r="AH68" s="18">
        <f>IF(NOT(OR(B68="EXISTENTE",COUNTA(G68,H68,I68,J68,K68,M68,N68,U68,V68,X68,Y68,Z68,AF68,AJ68)&gt;0)),"",IF(AK68&lt;&gt;"","REVISAR",IF(OR(G68="",H68="",M68="",N68="",O68="",P68="",X68=""),"INCOMPLETO",IF(AI68&lt;&gt;"","REVISAR",IF(AND(AF68&lt;&gt;"",AG68="ESCANEADO"),"LISTO_COMPLETO","LISTO_SIN_BARCODE")))))</f>
        <v/>
      </c>
      <c r="AI68" s="17">
        <f>IF(NOT(OR(B68="EXISTENTE",COUNTA(G68,H68,I68,J68,K68,M68,N68,U68,V68,X68,Y68,Z68,AF68,AJ68)&gt;0)),"",TEXTJOIN(" | ",TRUE,IF(A68="","Falta ID staging",""),IF(COUNTIF($A$5:$A$445,A68)&gt;1,"ID staging duplicado",""),IF(G68="","Falta nombre",""),IF(LEN(G68)&gt;150,"Nombre &gt;150 caracteres",""),IF(H68="","Falta categoría",IF(COUNTIF(CategoriasLista,H68)=0,"Categoría inválida","")),IF(M68="","Falta precio compra",IF(OR(NOT(ISNUMBER(M68)),M68&lt;0),"Precio compra inválido","")),IF(N68="","Falta precio venta",IF(OR(NOT(ISNUMBER(N68)),N68&lt;=0,N68&lt;M68),"Precio venta inválido","")),IF(O68="","Falta stock mínimo",IF(OR(NOT(ISNUMBER(O68)),O68&lt;0,MOD(O68,1)&lt;&gt;0),"Stock mínimo inválido","")),IF(P68="","Falta unidad",IF(COUNTIF(UnidadesLista,P68)=0,"Unidad inválida","")),IF(AND(K68&lt;&gt;"",COUNTIF(ProveedoresLista,K68)=0),"Proveedor no catalogado",""),IF(X68="","Falta cantidad contada",IF(OR(NOT(ISNUMBER(X68)),X68&lt;0,ABS(X68*1000-ROUND(X68*1000,0))&gt;0.0000001),"Cantidad inválida",IF(AND(Q68="NO",MOD(X68,1)&lt;&gt;0),"Cantidad fraccionaria no permitida",""))),IF(AND(R68="SI",OR(NOT(ISNUMBER(S68)),S68&lt;1,MOD(S68,1)&lt;&gt;0)),"Empaque inválido",""),IF(OR(AND(AF68="",AG68="ESCANEADO"),AND(AF68&lt;&gt;"",AG68&lt;&gt;"ESCANEADO")),"Barcode/estado inconsistente",""),IF(AK68&lt;&gt;"",AK68,"")))</f>
        <v/>
      </c>
      <c r="AJ68" s="21" t="n"/>
      <c r="AK68" s="17">
        <f>IF(G68="","",IF(OR(COUNTIFS($G$5:$G$445,G68,$I$5:$I$445,I68,$J$5:$J$445,J68,$P$5:$P$445,P68)&gt;1,AND(AF68&lt;&gt;"",COUNTIF($AF$5:$AF$445,AF68)&gt;1)),"REVISAR_POSIBLE_DUPLICADO",""))</f>
        <v/>
      </c>
    </row>
    <row r="69">
      <c r="A69" s="17" t="inlineStr">
        <is>
          <t>cb6e355c-b080-50c2-a9ac-89ecec51f3a6</t>
        </is>
      </c>
      <c r="B69" s="18" t="inlineStr">
        <is>
          <t>EXISTENTE</t>
        </is>
      </c>
      <c r="C69" s="18" t="inlineStr">
        <is>
          <t>ACTIVO</t>
        </is>
      </c>
      <c r="D69" s="18" t="n">
        <v>104</v>
      </c>
      <c r="E69" s="17" t="inlineStr">
        <is>
          <t>8ecbeb96-2a2b-474c-983f-6c2cf93e61fb</t>
        </is>
      </c>
      <c r="F69" s="17" t="inlineStr">
        <is>
          <t>PRB-FER-0052</t>
        </is>
      </c>
      <c r="G69" s="19" t="inlineStr">
        <is>
          <t>Lija madera grano 80</t>
        </is>
      </c>
      <c r="H69" s="19" t="inlineStr">
        <is>
          <t>Pinturas y acabados</t>
        </is>
      </c>
      <c r="I69" s="20" t="inlineStr">
        <is>
          <t>Pintulínea</t>
        </is>
      </c>
      <c r="J69" s="20" t="inlineStr">
        <is>
          <t>Unidad</t>
        </is>
      </c>
      <c r="K69" s="21" t="inlineStr">
        <is>
          <t>Proveedor Prueba Eléctricos Colombia</t>
        </is>
      </c>
      <c r="L69" s="18" t="n">
        <v>12</v>
      </c>
      <c r="M69" s="22" t="n">
        <v>1000</v>
      </c>
      <c r="N69" s="22" t="n">
        <v>1500</v>
      </c>
      <c r="O69" s="23" t="n">
        <v>45</v>
      </c>
      <c r="P69" s="24" t="inlineStr">
        <is>
          <t>UNIDAD</t>
        </is>
      </c>
      <c r="Q69" s="20" t="inlineStr">
        <is>
          <t>NO</t>
        </is>
      </c>
      <c r="R69" s="20" t="inlineStr">
        <is>
          <t>NO</t>
        </is>
      </c>
      <c r="S69" s="25" t="n">
        <v>1</v>
      </c>
      <c r="T69" s="20" t="inlineStr">
        <is>
          <t>NO</t>
        </is>
      </c>
      <c r="U69" s="20" t="inlineStr">
        <is>
          <t>Bodega de pruebas</t>
        </is>
      </c>
      <c r="V69" s="21" t="inlineStr">
        <is>
          <t>Producto ficticio de prueba para validacion de busquedas, inventario, ventas y compras en FERREPRO. No corresponde a inventario real.</t>
        </is>
      </c>
      <c r="W69" s="26" t="n">
        <v>180</v>
      </c>
      <c r="X69" s="27" t="n"/>
      <c r="Y69" s="20" t="n"/>
      <c r="Z69" s="20" t="n"/>
      <c r="AA69" s="26">
        <f>IF(X69="","",X69-IF(W69="",0,W69))</f>
        <v/>
      </c>
      <c r="AB69" s="28">
        <f>IF(OR(X69="",M69=""),"",X69*M69)</f>
        <v/>
      </c>
      <c r="AC69" s="28">
        <f>IF(OR(X69="",N69=""),"",X69*N69)</f>
        <v/>
      </c>
      <c r="AD69" s="28">
        <f>IF(OR(M69="",N69=""),"",N69-M69)</f>
        <v/>
      </c>
      <c r="AE69" s="29">
        <f>IFERROR(IF(M69&gt;0,(N69-M69)/M69,""),"")</f>
        <v/>
      </c>
      <c r="AF69" s="30" t="n"/>
      <c r="AG69" s="30" t="inlineStr">
        <is>
          <t>PENDIENTE</t>
        </is>
      </c>
      <c r="AH69" s="18">
        <f>IF(NOT(OR(B69="EXISTENTE",COUNTA(G69,H69,I69,J69,K69,M69,N69,U69,V69,X69,Y69,Z69,AF69,AJ69)&gt;0)),"",IF(AK69&lt;&gt;"","REVISAR",IF(OR(G69="",H69="",M69="",N69="",O69="",P69="",X69=""),"INCOMPLETO",IF(AI69&lt;&gt;"","REVISAR",IF(AND(AF69&lt;&gt;"",AG69="ESCANEADO"),"LISTO_COMPLETO","LISTO_SIN_BARCODE")))))</f>
        <v/>
      </c>
      <c r="AI69" s="17">
        <f>IF(NOT(OR(B69="EXISTENTE",COUNTA(G69,H69,I69,J69,K69,M69,N69,U69,V69,X69,Y69,Z69,AF69,AJ69)&gt;0)),"",TEXTJOIN(" | ",TRUE,IF(A69="","Falta ID staging",""),IF(COUNTIF($A$5:$A$445,A69)&gt;1,"ID staging duplicado",""),IF(G69="","Falta nombre",""),IF(LEN(G69)&gt;150,"Nombre &gt;150 caracteres",""),IF(H69="","Falta categoría",IF(COUNTIF(CategoriasLista,H69)=0,"Categoría inválida","")),IF(M69="","Falta precio compra",IF(OR(NOT(ISNUMBER(M69)),M69&lt;0),"Precio compra inválido","")),IF(N69="","Falta precio venta",IF(OR(NOT(ISNUMBER(N69)),N69&lt;=0,N69&lt;M69),"Precio venta inválido","")),IF(O69="","Falta stock mínimo",IF(OR(NOT(ISNUMBER(O69)),O69&lt;0,MOD(O69,1)&lt;&gt;0),"Stock mínimo inválido","")),IF(P69="","Falta unidad",IF(COUNTIF(UnidadesLista,P69)=0,"Unidad inválida","")),IF(AND(K69&lt;&gt;"",COUNTIF(ProveedoresLista,K69)=0),"Proveedor no catalogado",""),IF(X69="","Falta cantidad contada",IF(OR(NOT(ISNUMBER(X69)),X69&lt;0,ABS(X69*1000-ROUND(X69*1000,0))&gt;0.0000001),"Cantidad inválida",IF(AND(Q69="NO",MOD(X69,1)&lt;&gt;0),"Cantidad fraccionaria no permitida",""))),IF(AND(R69="SI",OR(NOT(ISNUMBER(S69)),S69&lt;1,MOD(S69,1)&lt;&gt;0)),"Empaque inválido",""),IF(OR(AND(AF69="",AG69="ESCANEADO"),AND(AF69&lt;&gt;"",AG69&lt;&gt;"ESCANEADO")),"Barcode/estado inconsistente",""),IF(AK69&lt;&gt;"",AK69,"")))</f>
        <v/>
      </c>
      <c r="AJ69" s="21" t="n"/>
      <c r="AK69" s="17">
        <f>IF(G69="","",IF(OR(COUNTIFS($G$5:$G$445,G69,$I$5:$I$445,I69,$J$5:$J$445,J69,$P$5:$P$445,P69)&gt;1,AND(AF69&lt;&gt;"",COUNTIF($AF$5:$AF$445,AF69)&gt;1)),"REVISAR_POSIBLE_DUPLICADO",""))</f>
        <v/>
      </c>
    </row>
    <row r="70">
      <c r="A70" s="17" t="inlineStr">
        <is>
          <t>ff732eff-00fc-51ee-8782-70d9b6bf2282</t>
        </is>
      </c>
      <c r="B70" s="18" t="inlineStr">
        <is>
          <t>EXISTENTE</t>
        </is>
      </c>
      <c r="C70" s="18" t="inlineStr">
        <is>
          <t>ACTIVO</t>
        </is>
      </c>
      <c r="D70" s="18" t="n">
        <v>105</v>
      </c>
      <c r="E70" s="17" t="inlineStr">
        <is>
          <t>6489e98e-3fd1-4166-bc16-e41705a28304</t>
        </is>
      </c>
      <c r="F70" s="17" t="inlineStr">
        <is>
          <t>PRB-FER-0053</t>
        </is>
      </c>
      <c r="G70" s="19" t="inlineStr">
        <is>
          <t>Estuco plástico galón</t>
        </is>
      </c>
      <c r="H70" s="19" t="inlineStr">
        <is>
          <t>Pinturas y acabados</t>
        </is>
      </c>
      <c r="I70" s="20" t="inlineStr">
        <is>
          <t>ConstruPro</t>
        </is>
      </c>
      <c r="J70" s="20" t="inlineStr">
        <is>
          <t>Galón</t>
        </is>
      </c>
      <c r="K70" s="21" t="inlineStr">
        <is>
          <t>Proveedor Prueba Pinturas y Acabados</t>
        </is>
      </c>
      <c r="L70" s="18" t="n">
        <v>13</v>
      </c>
      <c r="M70" s="22" t="n">
        <v>26000</v>
      </c>
      <c r="N70" s="22" t="n">
        <v>36000</v>
      </c>
      <c r="O70" s="23" t="n">
        <v>6</v>
      </c>
      <c r="P70" s="24" t="inlineStr">
        <is>
          <t>GALON</t>
        </is>
      </c>
      <c r="Q70" s="20" t="inlineStr">
        <is>
          <t>SI</t>
        </is>
      </c>
      <c r="R70" s="20" t="inlineStr">
        <is>
          <t>NO</t>
        </is>
      </c>
      <c r="S70" s="25" t="n">
        <v>1</v>
      </c>
      <c r="T70" s="20" t="inlineStr">
        <is>
          <t>NO</t>
        </is>
      </c>
      <c r="U70" s="20" t="inlineStr">
        <is>
          <t>Bodega de pruebas</t>
        </is>
      </c>
      <c r="V70" s="21" t="inlineStr">
        <is>
          <t>Producto ficticio de prueba para validacion de busquedas, inventario, ventas y compras en FERREPRO. No corresponde a inventario real.</t>
        </is>
      </c>
      <c r="W70" s="26" t="n">
        <v>25</v>
      </c>
      <c r="X70" s="27" t="n"/>
      <c r="Y70" s="20" t="n"/>
      <c r="Z70" s="20" t="n"/>
      <c r="AA70" s="26">
        <f>IF(X70="","",X70-IF(W70="",0,W70))</f>
        <v/>
      </c>
      <c r="AB70" s="28">
        <f>IF(OR(X70="",M70=""),"",X70*M70)</f>
        <v/>
      </c>
      <c r="AC70" s="28">
        <f>IF(OR(X70="",N70=""),"",X70*N70)</f>
        <v/>
      </c>
      <c r="AD70" s="28">
        <f>IF(OR(M70="",N70=""),"",N70-M70)</f>
        <v/>
      </c>
      <c r="AE70" s="29">
        <f>IFERROR(IF(M70&gt;0,(N70-M70)/M70,""),"")</f>
        <v/>
      </c>
      <c r="AF70" s="30" t="n"/>
      <c r="AG70" s="30" t="inlineStr">
        <is>
          <t>PENDIENTE</t>
        </is>
      </c>
      <c r="AH70" s="18">
        <f>IF(NOT(OR(B70="EXISTENTE",COUNTA(G70,H70,I70,J70,K70,M70,N70,U70,V70,X70,Y70,Z70,AF70,AJ70)&gt;0)),"",IF(AK70&lt;&gt;"","REVISAR",IF(OR(G70="",H70="",M70="",N70="",O70="",P70="",X70=""),"INCOMPLETO",IF(AI70&lt;&gt;"","REVISAR",IF(AND(AF70&lt;&gt;"",AG70="ESCANEADO"),"LISTO_COMPLETO","LISTO_SIN_BARCODE")))))</f>
        <v/>
      </c>
      <c r="AI70" s="17">
        <f>IF(NOT(OR(B70="EXISTENTE",COUNTA(G70,H70,I70,J70,K70,M70,N70,U70,V70,X70,Y70,Z70,AF70,AJ70)&gt;0)),"",TEXTJOIN(" | ",TRUE,IF(A70="","Falta ID staging",""),IF(COUNTIF($A$5:$A$445,A70)&gt;1,"ID staging duplicado",""),IF(G70="","Falta nombre",""),IF(LEN(G70)&gt;150,"Nombre &gt;150 caracteres",""),IF(H70="","Falta categoría",IF(COUNTIF(CategoriasLista,H70)=0,"Categoría inválida","")),IF(M70="","Falta precio compra",IF(OR(NOT(ISNUMBER(M70)),M70&lt;0),"Precio compra inválido","")),IF(N70="","Falta precio venta",IF(OR(NOT(ISNUMBER(N70)),N70&lt;=0,N70&lt;M70),"Precio venta inválido","")),IF(O70="","Falta stock mínimo",IF(OR(NOT(ISNUMBER(O70)),O70&lt;0,MOD(O70,1)&lt;&gt;0),"Stock mínimo inválido","")),IF(P70="","Falta unidad",IF(COUNTIF(UnidadesLista,P70)=0,"Unidad inválida","")),IF(AND(K70&lt;&gt;"",COUNTIF(ProveedoresLista,K70)=0),"Proveedor no catalogado",""),IF(X70="","Falta cantidad contada",IF(OR(NOT(ISNUMBER(X70)),X70&lt;0,ABS(X70*1000-ROUND(X70*1000,0))&gt;0.0000001),"Cantidad inválida",IF(AND(Q70="NO",MOD(X70,1)&lt;&gt;0),"Cantidad fraccionaria no permitida",""))),IF(AND(R70="SI",OR(NOT(ISNUMBER(S70)),S70&lt;1,MOD(S70,1)&lt;&gt;0)),"Empaque inválido",""),IF(OR(AND(AF70="",AG70="ESCANEADO"),AND(AF70&lt;&gt;"",AG70&lt;&gt;"ESCANEADO")),"Barcode/estado inconsistente",""),IF(AK70&lt;&gt;"",AK70,"")))</f>
        <v/>
      </c>
      <c r="AJ70" s="21" t="n"/>
      <c r="AK70" s="17">
        <f>IF(G70="","",IF(OR(COUNTIFS($G$5:$G$445,G70,$I$5:$I$445,I70,$J$5:$J$445,J70,$P$5:$P$445,P70)&gt;1,AND(AF70&lt;&gt;"",COUNTIF($AF$5:$AF$445,AF70)&gt;1)),"REVISAR_POSIBLE_DUPLICADO",""))</f>
        <v/>
      </c>
    </row>
    <row r="71">
      <c r="A71" s="17" t="inlineStr">
        <is>
          <t>79656b06-77c7-5a09-b56d-42ee7cb9a11a</t>
        </is>
      </c>
      <c r="B71" s="18" t="inlineStr">
        <is>
          <t>EXISTENTE</t>
        </is>
      </c>
      <c r="C71" s="18" t="inlineStr">
        <is>
          <t>ACTIVO</t>
        </is>
      </c>
      <c r="D71" s="18" t="n">
        <v>106</v>
      </c>
      <c r="E71" s="17" t="inlineStr">
        <is>
          <t>210f5292-ee2b-4fbc-90e7-4d1611508e41</t>
        </is>
      </c>
      <c r="F71" s="17" t="inlineStr">
        <is>
          <t>PRB-FER-0054</t>
        </is>
      </c>
      <c r="G71" s="19" t="inlineStr">
        <is>
          <t>Masilla acrílica blanca</t>
        </is>
      </c>
      <c r="H71" s="19" t="inlineStr">
        <is>
          <t>Pinturas y acabados</t>
        </is>
      </c>
      <c r="I71" s="20" t="inlineStr">
        <is>
          <t>Pintulínea</t>
        </is>
      </c>
      <c r="J71" s="20" t="inlineStr">
        <is>
          <t>Unidad</t>
        </is>
      </c>
      <c r="K71" s="21" t="inlineStr">
        <is>
          <t>Proveedor Prueba Herramientas Industriales</t>
        </is>
      </c>
      <c r="L71" s="18" t="n">
        <v>14</v>
      </c>
      <c r="M71" s="22" t="n">
        <v>14500</v>
      </c>
      <c r="N71" s="22" t="n">
        <v>20500</v>
      </c>
      <c r="O71" s="23" t="n">
        <v>7</v>
      </c>
      <c r="P71" s="24" t="inlineStr">
        <is>
          <t>UNIDAD</t>
        </is>
      </c>
      <c r="Q71" s="20" t="inlineStr">
        <is>
          <t>NO</t>
        </is>
      </c>
      <c r="R71" s="20" t="inlineStr">
        <is>
          <t>NO</t>
        </is>
      </c>
      <c r="S71" s="25" t="n">
        <v>1</v>
      </c>
      <c r="T71" s="20" t="inlineStr">
        <is>
          <t>NO</t>
        </is>
      </c>
      <c r="U71" s="20" t="inlineStr">
        <is>
          <t>Bodega de pruebas</t>
        </is>
      </c>
      <c r="V71" s="21" t="inlineStr">
        <is>
          <t>Producto ficticio de prueba para validacion de busquedas, inventario, ventas y compras en FERREPRO. No corresponde a inventario real.</t>
        </is>
      </c>
      <c r="W71" s="26" t="n">
        <v>30</v>
      </c>
      <c r="X71" s="27" t="n"/>
      <c r="Y71" s="20" t="n"/>
      <c r="Z71" s="20" t="n"/>
      <c r="AA71" s="26">
        <f>IF(X71="","",X71-IF(W71="",0,W71))</f>
        <v/>
      </c>
      <c r="AB71" s="28">
        <f>IF(OR(X71="",M71=""),"",X71*M71)</f>
        <v/>
      </c>
      <c r="AC71" s="28">
        <f>IF(OR(X71="",N71=""),"",X71*N71)</f>
        <v/>
      </c>
      <c r="AD71" s="28">
        <f>IF(OR(M71="",N71=""),"",N71-M71)</f>
        <v/>
      </c>
      <c r="AE71" s="29">
        <f>IFERROR(IF(M71&gt;0,(N71-M71)/M71,""),"")</f>
        <v/>
      </c>
      <c r="AF71" s="30" t="n"/>
      <c r="AG71" s="30" t="inlineStr">
        <is>
          <t>PENDIENTE</t>
        </is>
      </c>
      <c r="AH71" s="18">
        <f>IF(NOT(OR(B71="EXISTENTE",COUNTA(G71,H71,I71,J71,K71,M71,N71,U71,V71,X71,Y71,Z71,AF71,AJ71)&gt;0)),"",IF(AK71&lt;&gt;"","REVISAR",IF(OR(G71="",H71="",M71="",N71="",O71="",P71="",X71=""),"INCOMPLETO",IF(AI71&lt;&gt;"","REVISAR",IF(AND(AF71&lt;&gt;"",AG71="ESCANEADO"),"LISTO_COMPLETO","LISTO_SIN_BARCODE")))))</f>
        <v/>
      </c>
      <c r="AI71" s="17">
        <f>IF(NOT(OR(B71="EXISTENTE",COUNTA(G71,H71,I71,J71,K71,M71,N71,U71,V71,X71,Y71,Z71,AF71,AJ71)&gt;0)),"",TEXTJOIN(" | ",TRUE,IF(A71="","Falta ID staging",""),IF(COUNTIF($A$5:$A$445,A71)&gt;1,"ID staging duplicado",""),IF(G71="","Falta nombre",""),IF(LEN(G71)&gt;150,"Nombre &gt;150 caracteres",""),IF(H71="","Falta categoría",IF(COUNTIF(CategoriasLista,H71)=0,"Categoría inválida","")),IF(M71="","Falta precio compra",IF(OR(NOT(ISNUMBER(M71)),M71&lt;0),"Precio compra inválido","")),IF(N71="","Falta precio venta",IF(OR(NOT(ISNUMBER(N71)),N71&lt;=0,N71&lt;M71),"Precio venta inválido","")),IF(O71="","Falta stock mínimo",IF(OR(NOT(ISNUMBER(O71)),O71&lt;0,MOD(O71,1)&lt;&gt;0),"Stock mínimo inválido","")),IF(P71="","Falta unidad",IF(COUNTIF(UnidadesLista,P71)=0,"Unidad inválida","")),IF(AND(K71&lt;&gt;"",COUNTIF(ProveedoresLista,K71)=0),"Proveedor no catalogado",""),IF(X71="","Falta cantidad contada",IF(OR(NOT(ISNUMBER(X71)),X71&lt;0,ABS(X71*1000-ROUND(X71*1000,0))&gt;0.0000001),"Cantidad inválida",IF(AND(Q71="NO",MOD(X71,1)&lt;&gt;0),"Cantidad fraccionaria no permitida",""))),IF(AND(R71="SI",OR(NOT(ISNUMBER(S71)),S71&lt;1,MOD(S71,1)&lt;&gt;0)),"Empaque inválido",""),IF(OR(AND(AF71="",AG71="ESCANEADO"),AND(AF71&lt;&gt;"",AG71&lt;&gt;"ESCANEADO")),"Barcode/estado inconsistente",""),IF(AK71&lt;&gt;"",AK71,"")))</f>
        <v/>
      </c>
      <c r="AJ71" s="21" t="n"/>
      <c r="AK71" s="17">
        <f>IF(G71="","",IF(OR(COUNTIFS($G$5:$G$445,G71,$I$5:$I$445,I71,$J$5:$J$445,J71,$P$5:$P$445,P71)&gt;1,AND(AF71&lt;&gt;"",COUNTIF($AF$5:$AF$445,AF71)&gt;1)),"REVISAR_POSIBLE_DUPLICADO",""))</f>
        <v/>
      </c>
    </row>
    <row r="72">
      <c r="A72" s="17" t="inlineStr">
        <is>
          <t>a78d8fdd-d0d6-53cb-8672-7a6c65f2b11a</t>
        </is>
      </c>
      <c r="B72" s="18" t="inlineStr">
        <is>
          <t>EXISTENTE</t>
        </is>
      </c>
      <c r="C72" s="18" t="inlineStr">
        <is>
          <t>ACTIVO</t>
        </is>
      </c>
      <c r="D72" s="18" t="n">
        <v>107</v>
      </c>
      <c r="E72" s="17" t="inlineStr">
        <is>
          <t>dbad43d0-6547-40da-b325-a9d779aecfbe</t>
        </is>
      </c>
      <c r="F72" s="17" t="inlineStr">
        <is>
          <t>PRB-FER-0055</t>
        </is>
      </c>
      <c r="G72" s="19" t="inlineStr">
        <is>
          <t>Tubo PVC presión 1/2 pulgada</t>
        </is>
      </c>
      <c r="H72" s="19" t="inlineStr">
        <is>
          <t>Plomería</t>
        </is>
      </c>
      <c r="I72" s="20" t="inlineStr">
        <is>
          <t>PlomeriPro</t>
        </is>
      </c>
      <c r="J72" s="20" t="inlineStr">
        <is>
          <t>Metro</t>
        </is>
      </c>
      <c r="K72" s="21" t="inlineStr">
        <is>
          <t>Proveedor Prueba Plomería Nacional</t>
        </is>
      </c>
      <c r="L72" s="18" t="n">
        <v>15</v>
      </c>
      <c r="M72" s="22" t="n">
        <v>10500</v>
      </c>
      <c r="N72" s="22" t="n">
        <v>15000</v>
      </c>
      <c r="O72" s="23" t="n">
        <v>17</v>
      </c>
      <c r="P72" s="24" t="inlineStr">
        <is>
          <t>METRO</t>
        </is>
      </c>
      <c r="Q72" s="20" t="inlineStr">
        <is>
          <t>SI</t>
        </is>
      </c>
      <c r="R72" s="20" t="inlineStr">
        <is>
          <t>NO</t>
        </is>
      </c>
      <c r="S72" s="25" t="n">
        <v>1</v>
      </c>
      <c r="T72" s="20" t="inlineStr">
        <is>
          <t>NO</t>
        </is>
      </c>
      <c r="U72" s="20" t="inlineStr">
        <is>
          <t>Bodega de pruebas</t>
        </is>
      </c>
      <c r="V72" s="21" t="inlineStr">
        <is>
          <t>Producto ficticio de prueba para validacion de busquedas, inventario, ventas y compras en FERREPRO. No corresponde a inventario real.</t>
        </is>
      </c>
      <c r="W72" s="26" t="n">
        <v>70</v>
      </c>
      <c r="X72" s="27" t="n"/>
      <c r="Y72" s="20" t="n"/>
      <c r="Z72" s="20" t="n"/>
      <c r="AA72" s="26">
        <f>IF(X72="","",X72-IF(W72="",0,W72))</f>
        <v/>
      </c>
      <c r="AB72" s="28">
        <f>IF(OR(X72="",M72=""),"",X72*M72)</f>
        <v/>
      </c>
      <c r="AC72" s="28">
        <f>IF(OR(X72="",N72=""),"",X72*N72)</f>
        <v/>
      </c>
      <c r="AD72" s="28">
        <f>IF(OR(M72="",N72=""),"",N72-M72)</f>
        <v/>
      </c>
      <c r="AE72" s="29">
        <f>IFERROR(IF(M72&gt;0,(N72-M72)/M72,""),"")</f>
        <v/>
      </c>
      <c r="AF72" s="30" t="n"/>
      <c r="AG72" s="30" t="inlineStr">
        <is>
          <t>PENDIENTE</t>
        </is>
      </c>
      <c r="AH72" s="18">
        <f>IF(NOT(OR(B72="EXISTENTE",COUNTA(G72,H72,I72,J72,K72,M72,N72,U72,V72,X72,Y72,Z72,AF72,AJ72)&gt;0)),"",IF(AK72&lt;&gt;"","REVISAR",IF(OR(G72="",H72="",M72="",N72="",O72="",P72="",X72=""),"INCOMPLETO",IF(AI72&lt;&gt;"","REVISAR",IF(AND(AF72&lt;&gt;"",AG72="ESCANEADO"),"LISTO_COMPLETO","LISTO_SIN_BARCODE")))))</f>
        <v/>
      </c>
      <c r="AI72" s="17">
        <f>IF(NOT(OR(B72="EXISTENTE",COUNTA(G72,H72,I72,J72,K72,M72,N72,U72,V72,X72,Y72,Z72,AF72,AJ72)&gt;0)),"",TEXTJOIN(" | ",TRUE,IF(A72="","Falta ID staging",""),IF(COUNTIF($A$5:$A$445,A72)&gt;1,"ID staging duplicado",""),IF(G72="","Falta nombre",""),IF(LEN(G72)&gt;150,"Nombre &gt;150 caracteres",""),IF(H72="","Falta categoría",IF(COUNTIF(CategoriasLista,H72)=0,"Categoría inválida","")),IF(M72="","Falta precio compra",IF(OR(NOT(ISNUMBER(M72)),M72&lt;0),"Precio compra inválido","")),IF(N72="","Falta precio venta",IF(OR(NOT(ISNUMBER(N72)),N72&lt;=0,N72&lt;M72),"Precio venta inválido","")),IF(O72="","Falta stock mínimo",IF(OR(NOT(ISNUMBER(O72)),O72&lt;0,MOD(O72,1)&lt;&gt;0),"Stock mínimo inválido","")),IF(P72="","Falta unidad",IF(COUNTIF(UnidadesLista,P72)=0,"Unidad inválida","")),IF(AND(K72&lt;&gt;"",COUNTIF(ProveedoresLista,K72)=0),"Proveedor no catalogado",""),IF(X72="","Falta cantidad contada",IF(OR(NOT(ISNUMBER(X72)),X72&lt;0,ABS(X72*1000-ROUND(X72*1000,0))&gt;0.0000001),"Cantidad inválida",IF(AND(Q72="NO",MOD(X72,1)&lt;&gt;0),"Cantidad fraccionaria no permitida",""))),IF(AND(R72="SI",OR(NOT(ISNUMBER(S72)),S72&lt;1,MOD(S72,1)&lt;&gt;0)),"Empaque inválido",""),IF(OR(AND(AF72="",AG72="ESCANEADO"),AND(AF72&lt;&gt;"",AG72&lt;&gt;"ESCANEADO")),"Barcode/estado inconsistente",""),IF(AK72&lt;&gt;"",AK72,"")))</f>
        <v/>
      </c>
      <c r="AJ72" s="21" t="n"/>
      <c r="AK72" s="17">
        <f>IF(G72="","",IF(OR(COUNTIFS($G$5:$G$445,G72,$I$5:$I$445,I72,$J$5:$J$445,J72,$P$5:$P$445,P72)&gt;1,AND(AF72&lt;&gt;"",COUNTIF($AF$5:$AF$445,AF72)&gt;1)),"REVISAR_POSIBLE_DUPLICADO",""))</f>
        <v/>
      </c>
    </row>
    <row r="73">
      <c r="A73" s="17" t="inlineStr">
        <is>
          <t>c9a02278-bf05-5683-9f31-4c7e20195374</t>
        </is>
      </c>
      <c r="B73" s="18" t="inlineStr">
        <is>
          <t>EXISTENTE</t>
        </is>
      </c>
      <c r="C73" s="18" t="inlineStr">
        <is>
          <t>ACTIVO</t>
        </is>
      </c>
      <c r="D73" s="18" t="n">
        <v>108</v>
      </c>
      <c r="E73" s="17" t="inlineStr">
        <is>
          <t>2a1ba752-644b-420a-89f1-b223aefed993</t>
        </is>
      </c>
      <c r="F73" s="17" t="inlineStr">
        <is>
          <t>PRB-FER-0056</t>
        </is>
      </c>
      <c r="G73" s="19" t="inlineStr">
        <is>
          <t>Tubo PVC presión 3/4 pulgada</t>
        </is>
      </c>
      <c r="H73" s="19" t="inlineStr">
        <is>
          <t>Plomería</t>
        </is>
      </c>
      <c r="I73" s="20" t="inlineStr">
        <is>
          <t>PlomeriPro</t>
        </is>
      </c>
      <c r="J73" s="20" t="inlineStr">
        <is>
          <t>Metro</t>
        </is>
      </c>
      <c r="K73" s="21" t="inlineStr">
        <is>
          <t>Proveedor Prueba Seguridad y Protección</t>
        </is>
      </c>
      <c r="L73" s="18" t="n">
        <v>16</v>
      </c>
      <c r="M73" s="22" t="n">
        <v>15500</v>
      </c>
      <c r="N73" s="22" t="n">
        <v>22000</v>
      </c>
      <c r="O73" s="23" t="n">
        <v>15</v>
      </c>
      <c r="P73" s="24" t="inlineStr">
        <is>
          <t>METRO</t>
        </is>
      </c>
      <c r="Q73" s="20" t="inlineStr">
        <is>
          <t>SI</t>
        </is>
      </c>
      <c r="R73" s="20" t="inlineStr">
        <is>
          <t>NO</t>
        </is>
      </c>
      <c r="S73" s="25" t="n">
        <v>1</v>
      </c>
      <c r="T73" s="20" t="inlineStr">
        <is>
          <t>NO</t>
        </is>
      </c>
      <c r="U73" s="20" t="inlineStr">
        <is>
          <t>Bodega de pruebas</t>
        </is>
      </c>
      <c r="V73" s="21" t="inlineStr">
        <is>
          <t>Producto ficticio de prueba para validacion de busquedas, inventario, ventas y compras en FERREPRO. No corresponde a inventario real.</t>
        </is>
      </c>
      <c r="W73" s="26" t="n">
        <v>60</v>
      </c>
      <c r="X73" s="27" t="n"/>
      <c r="Y73" s="20" t="n"/>
      <c r="Z73" s="20" t="n"/>
      <c r="AA73" s="26">
        <f>IF(X73="","",X73-IF(W73="",0,W73))</f>
        <v/>
      </c>
      <c r="AB73" s="28">
        <f>IF(OR(X73="",M73=""),"",X73*M73)</f>
        <v/>
      </c>
      <c r="AC73" s="28">
        <f>IF(OR(X73="",N73=""),"",X73*N73)</f>
        <v/>
      </c>
      <c r="AD73" s="28">
        <f>IF(OR(M73="",N73=""),"",N73-M73)</f>
        <v/>
      </c>
      <c r="AE73" s="29">
        <f>IFERROR(IF(M73&gt;0,(N73-M73)/M73,""),"")</f>
        <v/>
      </c>
      <c r="AF73" s="30" t="n"/>
      <c r="AG73" s="30" t="inlineStr">
        <is>
          <t>PENDIENTE</t>
        </is>
      </c>
      <c r="AH73" s="18">
        <f>IF(NOT(OR(B73="EXISTENTE",COUNTA(G73,H73,I73,J73,K73,M73,N73,U73,V73,X73,Y73,Z73,AF73,AJ73)&gt;0)),"",IF(AK73&lt;&gt;"","REVISAR",IF(OR(G73="",H73="",M73="",N73="",O73="",P73="",X73=""),"INCOMPLETO",IF(AI73&lt;&gt;"","REVISAR",IF(AND(AF73&lt;&gt;"",AG73="ESCANEADO"),"LISTO_COMPLETO","LISTO_SIN_BARCODE")))))</f>
        <v/>
      </c>
      <c r="AI73" s="17">
        <f>IF(NOT(OR(B73="EXISTENTE",COUNTA(G73,H73,I73,J73,K73,M73,N73,U73,V73,X73,Y73,Z73,AF73,AJ73)&gt;0)),"",TEXTJOIN(" | ",TRUE,IF(A73="","Falta ID staging",""),IF(COUNTIF($A$5:$A$445,A73)&gt;1,"ID staging duplicado",""),IF(G73="","Falta nombre",""),IF(LEN(G73)&gt;150,"Nombre &gt;150 caracteres",""),IF(H73="","Falta categoría",IF(COUNTIF(CategoriasLista,H73)=0,"Categoría inválida","")),IF(M73="","Falta precio compra",IF(OR(NOT(ISNUMBER(M73)),M73&lt;0),"Precio compra inválido","")),IF(N73="","Falta precio venta",IF(OR(NOT(ISNUMBER(N73)),N73&lt;=0,N73&lt;M73),"Precio venta inválido","")),IF(O73="","Falta stock mínimo",IF(OR(NOT(ISNUMBER(O73)),O73&lt;0,MOD(O73,1)&lt;&gt;0),"Stock mínimo inválido","")),IF(P73="","Falta unidad",IF(COUNTIF(UnidadesLista,P73)=0,"Unidad inválida","")),IF(AND(K73&lt;&gt;"",COUNTIF(ProveedoresLista,K73)=0),"Proveedor no catalogado",""),IF(X73="","Falta cantidad contada",IF(OR(NOT(ISNUMBER(X73)),X73&lt;0,ABS(X73*1000-ROUND(X73*1000,0))&gt;0.0000001),"Cantidad inválida",IF(AND(Q73="NO",MOD(X73,1)&lt;&gt;0),"Cantidad fraccionaria no permitida",""))),IF(AND(R73="SI",OR(NOT(ISNUMBER(S73)),S73&lt;1,MOD(S73,1)&lt;&gt;0)),"Empaque inválido",""),IF(OR(AND(AF73="",AG73="ESCANEADO"),AND(AF73&lt;&gt;"",AG73&lt;&gt;"ESCANEADO")),"Barcode/estado inconsistente",""),IF(AK73&lt;&gt;"",AK73,"")))</f>
        <v/>
      </c>
      <c r="AJ73" s="21" t="n"/>
      <c r="AK73" s="17">
        <f>IF(G73="","",IF(OR(COUNTIFS($G$5:$G$445,G73,$I$5:$I$445,I73,$J$5:$J$445,J73,$P$5:$P$445,P73)&gt;1,AND(AF73&lt;&gt;"",COUNTIF($AF$5:$AF$445,AF73)&gt;1)),"REVISAR_POSIBLE_DUPLICADO",""))</f>
        <v/>
      </c>
    </row>
    <row r="74">
      <c r="A74" s="17" t="inlineStr">
        <is>
          <t>052f7884-d1ca-5b23-b4a4-45f2128a279c</t>
        </is>
      </c>
      <c r="B74" s="18" t="inlineStr">
        <is>
          <t>EXISTENTE</t>
        </is>
      </c>
      <c r="C74" s="18" t="inlineStr">
        <is>
          <t>ACTIVO</t>
        </is>
      </c>
      <c r="D74" s="18" t="n">
        <v>109</v>
      </c>
      <c r="E74" s="17" t="inlineStr">
        <is>
          <t>016694ab-8080-4d3b-8c4e-6d746991d7f4</t>
        </is>
      </c>
      <c r="F74" s="17" t="inlineStr">
        <is>
          <t>PRB-FER-0057</t>
        </is>
      </c>
      <c r="G74" s="19" t="inlineStr">
        <is>
          <t>Codo PVC 1/2 pulgada</t>
        </is>
      </c>
      <c r="H74" s="19" t="inlineStr">
        <is>
          <t>Plomería</t>
        </is>
      </c>
      <c r="I74" s="20" t="inlineStr">
        <is>
          <t>PlomeriPro</t>
        </is>
      </c>
      <c r="J74" s="20" t="inlineStr">
        <is>
          <t>Unidad</t>
        </is>
      </c>
      <c r="K74" s="21" t="inlineStr">
        <is>
          <t>Proveedor Prueba Ferretería Central S.A.S.</t>
        </is>
      </c>
      <c r="L74" s="18" t="n">
        <v>9</v>
      </c>
      <c r="M74" s="22" t="n">
        <v>850</v>
      </c>
      <c r="N74" s="22" t="n">
        <v>1200</v>
      </c>
      <c r="O74" s="23" t="n">
        <v>45</v>
      </c>
      <c r="P74" s="24" t="inlineStr">
        <is>
          <t>UNIDAD</t>
        </is>
      </c>
      <c r="Q74" s="20" t="inlineStr">
        <is>
          <t>NO</t>
        </is>
      </c>
      <c r="R74" s="20" t="inlineStr">
        <is>
          <t>NO</t>
        </is>
      </c>
      <c r="S74" s="25" t="n">
        <v>1</v>
      </c>
      <c r="T74" s="20" t="inlineStr">
        <is>
          <t>NO</t>
        </is>
      </c>
      <c r="U74" s="20" t="inlineStr">
        <is>
          <t>Bodega de pruebas</t>
        </is>
      </c>
      <c r="V74" s="21" t="inlineStr">
        <is>
          <t>Producto ficticio de prueba para validacion de busquedas, inventario, ventas y compras en FERREPRO. No corresponde a inventario real.</t>
        </is>
      </c>
      <c r="W74" s="26" t="n">
        <v>180</v>
      </c>
      <c r="X74" s="27" t="n"/>
      <c r="Y74" s="20" t="n"/>
      <c r="Z74" s="20" t="n"/>
      <c r="AA74" s="26">
        <f>IF(X74="","",X74-IF(W74="",0,W74))</f>
        <v/>
      </c>
      <c r="AB74" s="28">
        <f>IF(OR(X74="",M74=""),"",X74*M74)</f>
        <v/>
      </c>
      <c r="AC74" s="28">
        <f>IF(OR(X74="",N74=""),"",X74*N74)</f>
        <v/>
      </c>
      <c r="AD74" s="28">
        <f>IF(OR(M74="",N74=""),"",N74-M74)</f>
        <v/>
      </c>
      <c r="AE74" s="29">
        <f>IFERROR(IF(M74&gt;0,(N74-M74)/M74,""),"")</f>
        <v/>
      </c>
      <c r="AF74" s="30" t="n"/>
      <c r="AG74" s="30" t="inlineStr">
        <is>
          <t>PENDIENTE</t>
        </is>
      </c>
      <c r="AH74" s="18">
        <f>IF(NOT(OR(B74="EXISTENTE",COUNTA(G74,H74,I74,J74,K74,M74,N74,U74,V74,X74,Y74,Z74,AF74,AJ74)&gt;0)),"",IF(AK74&lt;&gt;"","REVISAR",IF(OR(G74="",H74="",M74="",N74="",O74="",P74="",X74=""),"INCOMPLETO",IF(AI74&lt;&gt;"","REVISAR",IF(AND(AF74&lt;&gt;"",AG74="ESCANEADO"),"LISTO_COMPLETO","LISTO_SIN_BARCODE")))))</f>
        <v/>
      </c>
      <c r="AI74" s="17">
        <f>IF(NOT(OR(B74="EXISTENTE",COUNTA(G74,H74,I74,J74,K74,M74,N74,U74,V74,X74,Y74,Z74,AF74,AJ74)&gt;0)),"",TEXTJOIN(" | ",TRUE,IF(A74="","Falta ID staging",""),IF(COUNTIF($A$5:$A$445,A74)&gt;1,"ID staging duplicado",""),IF(G74="","Falta nombre",""),IF(LEN(G74)&gt;150,"Nombre &gt;150 caracteres",""),IF(H74="","Falta categoría",IF(COUNTIF(CategoriasLista,H74)=0,"Categoría inválida","")),IF(M74="","Falta precio compra",IF(OR(NOT(ISNUMBER(M74)),M74&lt;0),"Precio compra inválido","")),IF(N74="","Falta precio venta",IF(OR(NOT(ISNUMBER(N74)),N74&lt;=0,N74&lt;M74),"Precio venta inválido","")),IF(O74="","Falta stock mínimo",IF(OR(NOT(ISNUMBER(O74)),O74&lt;0,MOD(O74,1)&lt;&gt;0),"Stock mínimo inválido","")),IF(P74="","Falta unidad",IF(COUNTIF(UnidadesLista,P74)=0,"Unidad inválida","")),IF(AND(K74&lt;&gt;"",COUNTIF(ProveedoresLista,K74)=0),"Proveedor no catalogado",""),IF(X74="","Falta cantidad contada",IF(OR(NOT(ISNUMBER(X74)),X74&lt;0,ABS(X74*1000-ROUND(X74*1000,0))&gt;0.0000001),"Cantidad inválida",IF(AND(Q74="NO",MOD(X74,1)&lt;&gt;0),"Cantidad fraccionaria no permitida",""))),IF(AND(R74="SI",OR(NOT(ISNUMBER(S74)),S74&lt;1,MOD(S74,1)&lt;&gt;0)),"Empaque inválido",""),IF(OR(AND(AF74="",AG74="ESCANEADO"),AND(AF74&lt;&gt;"",AG74&lt;&gt;"ESCANEADO")),"Barcode/estado inconsistente",""),IF(AK74&lt;&gt;"",AK74,"")))</f>
        <v/>
      </c>
      <c r="AJ74" s="21" t="n"/>
      <c r="AK74" s="17">
        <f>IF(G74="","",IF(OR(COUNTIFS($G$5:$G$445,G74,$I$5:$I$445,I74,$J$5:$J$445,J74,$P$5:$P$445,P74)&gt;1,AND(AF74&lt;&gt;"",COUNTIF($AF$5:$AF$445,AF74)&gt;1)),"REVISAR_POSIBLE_DUPLICADO",""))</f>
        <v/>
      </c>
    </row>
    <row r="75">
      <c r="A75" s="17" t="inlineStr">
        <is>
          <t>cf7f446c-c75d-5e9e-a2d2-ad61d96030f3</t>
        </is>
      </c>
      <c r="B75" s="18" t="inlineStr">
        <is>
          <t>EXISTENTE</t>
        </is>
      </c>
      <c r="C75" s="18" t="inlineStr">
        <is>
          <t>ACTIVO</t>
        </is>
      </c>
      <c r="D75" s="18" t="n">
        <v>110</v>
      </c>
      <c r="E75" s="17" t="inlineStr">
        <is>
          <t>1efedeee-cad8-4769-bef4-11dbede89b06</t>
        </is>
      </c>
      <c r="F75" s="17" t="inlineStr">
        <is>
          <t>PRB-FER-0058</t>
        </is>
      </c>
      <c r="G75" s="19" t="inlineStr">
        <is>
          <t>Codo PVC 3/4 pulgada</t>
        </is>
      </c>
      <c r="H75" s="19" t="inlineStr">
        <is>
          <t>Plomería</t>
        </is>
      </c>
      <c r="I75" s="20" t="inlineStr">
        <is>
          <t>PlomeriPro</t>
        </is>
      </c>
      <c r="J75" s="20" t="inlineStr">
        <is>
          <t>Unidad</t>
        </is>
      </c>
      <c r="K75" s="21" t="inlineStr">
        <is>
          <t>Proveedor Prueba ConstruMateriales del Norte</t>
        </is>
      </c>
      <c r="L75" s="18" t="n">
        <v>10</v>
      </c>
      <c r="M75" s="22" t="n">
        <v>1200</v>
      </c>
      <c r="N75" s="22" t="n">
        <v>1700</v>
      </c>
      <c r="O75" s="23" t="n">
        <v>37</v>
      </c>
      <c r="P75" s="24" t="inlineStr">
        <is>
          <t>UNIDAD</t>
        </is>
      </c>
      <c r="Q75" s="20" t="inlineStr">
        <is>
          <t>NO</t>
        </is>
      </c>
      <c r="R75" s="20" t="inlineStr">
        <is>
          <t>NO</t>
        </is>
      </c>
      <c r="S75" s="25" t="n">
        <v>1</v>
      </c>
      <c r="T75" s="20" t="inlineStr">
        <is>
          <t>NO</t>
        </is>
      </c>
      <c r="U75" s="20" t="inlineStr">
        <is>
          <t>Bodega de pruebas</t>
        </is>
      </c>
      <c r="V75" s="21" t="inlineStr">
        <is>
          <t>Producto ficticio de prueba para validacion de busquedas, inventario, ventas y compras en FERREPRO. No corresponde a inventario real.</t>
        </is>
      </c>
      <c r="W75" s="26" t="n">
        <v>150</v>
      </c>
      <c r="X75" s="27" t="n"/>
      <c r="Y75" s="20" t="n"/>
      <c r="Z75" s="20" t="n"/>
      <c r="AA75" s="26">
        <f>IF(X75="","",X75-IF(W75="",0,W75))</f>
        <v/>
      </c>
      <c r="AB75" s="28">
        <f>IF(OR(X75="",M75=""),"",X75*M75)</f>
        <v/>
      </c>
      <c r="AC75" s="28">
        <f>IF(OR(X75="",N75=""),"",X75*N75)</f>
        <v/>
      </c>
      <c r="AD75" s="28">
        <f>IF(OR(M75="",N75=""),"",N75-M75)</f>
        <v/>
      </c>
      <c r="AE75" s="29">
        <f>IFERROR(IF(M75&gt;0,(N75-M75)/M75,""),"")</f>
        <v/>
      </c>
      <c r="AF75" s="30" t="n"/>
      <c r="AG75" s="30" t="inlineStr">
        <is>
          <t>PENDIENTE</t>
        </is>
      </c>
      <c r="AH75" s="18">
        <f>IF(NOT(OR(B75="EXISTENTE",COUNTA(G75,H75,I75,J75,K75,M75,N75,U75,V75,X75,Y75,Z75,AF75,AJ75)&gt;0)),"",IF(AK75&lt;&gt;"","REVISAR",IF(OR(G75="",H75="",M75="",N75="",O75="",P75="",X75=""),"INCOMPLETO",IF(AI75&lt;&gt;"","REVISAR",IF(AND(AF75&lt;&gt;"",AG75="ESCANEADO"),"LISTO_COMPLETO","LISTO_SIN_BARCODE")))))</f>
        <v/>
      </c>
      <c r="AI75" s="17">
        <f>IF(NOT(OR(B75="EXISTENTE",COUNTA(G75,H75,I75,J75,K75,M75,N75,U75,V75,X75,Y75,Z75,AF75,AJ75)&gt;0)),"",TEXTJOIN(" | ",TRUE,IF(A75="","Falta ID staging",""),IF(COUNTIF($A$5:$A$445,A75)&gt;1,"ID staging duplicado",""),IF(G75="","Falta nombre",""),IF(LEN(G75)&gt;150,"Nombre &gt;150 caracteres",""),IF(H75="","Falta categoría",IF(COUNTIF(CategoriasLista,H75)=0,"Categoría inválida","")),IF(M75="","Falta precio compra",IF(OR(NOT(ISNUMBER(M75)),M75&lt;0),"Precio compra inválido","")),IF(N75="","Falta precio venta",IF(OR(NOT(ISNUMBER(N75)),N75&lt;=0,N75&lt;M75),"Precio venta inválido","")),IF(O75="","Falta stock mínimo",IF(OR(NOT(ISNUMBER(O75)),O75&lt;0,MOD(O75,1)&lt;&gt;0),"Stock mínimo inválido","")),IF(P75="","Falta unidad",IF(COUNTIF(UnidadesLista,P75)=0,"Unidad inválida","")),IF(AND(K75&lt;&gt;"",COUNTIF(ProveedoresLista,K75)=0),"Proveedor no catalogado",""),IF(X75="","Falta cantidad contada",IF(OR(NOT(ISNUMBER(X75)),X75&lt;0,ABS(X75*1000-ROUND(X75*1000,0))&gt;0.0000001),"Cantidad inválida",IF(AND(Q75="NO",MOD(X75,1)&lt;&gt;0),"Cantidad fraccionaria no permitida",""))),IF(AND(R75="SI",OR(NOT(ISNUMBER(S75)),S75&lt;1,MOD(S75,1)&lt;&gt;0)),"Empaque inválido",""),IF(OR(AND(AF75="",AG75="ESCANEADO"),AND(AF75&lt;&gt;"",AG75&lt;&gt;"ESCANEADO")),"Barcode/estado inconsistente",""),IF(AK75&lt;&gt;"",AK75,"")))</f>
        <v/>
      </c>
      <c r="AJ75" s="21" t="n"/>
      <c r="AK75" s="17">
        <f>IF(G75="","",IF(OR(COUNTIFS($G$5:$G$445,G75,$I$5:$I$445,I75,$J$5:$J$445,J75,$P$5:$P$445,P75)&gt;1,AND(AF75&lt;&gt;"",COUNTIF($AF$5:$AF$445,AF75)&gt;1)),"REVISAR_POSIBLE_DUPLICADO",""))</f>
        <v/>
      </c>
    </row>
    <row r="76">
      <c r="A76" s="17" t="inlineStr">
        <is>
          <t>444c8ecb-9fde-5556-bcf6-72a78c383f3d</t>
        </is>
      </c>
      <c r="B76" s="18" t="inlineStr">
        <is>
          <t>EXISTENTE</t>
        </is>
      </c>
      <c r="C76" s="18" t="inlineStr">
        <is>
          <t>ACTIVO</t>
        </is>
      </c>
      <c r="D76" s="18" t="n">
        <v>111</v>
      </c>
      <c r="E76" s="17" t="inlineStr">
        <is>
          <t>b0e2a8d7-df68-444c-801f-34352d277072</t>
        </is>
      </c>
      <c r="F76" s="17" t="inlineStr">
        <is>
          <t>PRB-FER-0059</t>
        </is>
      </c>
      <c r="G76" s="19" t="inlineStr">
        <is>
          <t>Unión PVC 1/2 pulgada</t>
        </is>
      </c>
      <c r="H76" s="19" t="inlineStr">
        <is>
          <t>Plomería</t>
        </is>
      </c>
      <c r="I76" s="20" t="inlineStr">
        <is>
          <t>PlomeriPro</t>
        </is>
      </c>
      <c r="J76" s="20" t="inlineStr">
        <is>
          <t>Unidad</t>
        </is>
      </c>
      <c r="K76" s="21" t="inlineStr">
        <is>
          <t>Proveedor Prueba Tornillos y Fijaciones Andinas</t>
        </is>
      </c>
      <c r="L76" s="18" t="n">
        <v>11</v>
      </c>
      <c r="M76" s="22" t="n">
        <v>1000</v>
      </c>
      <c r="N76" s="22" t="n">
        <v>1450</v>
      </c>
      <c r="O76" s="23" t="n">
        <v>40</v>
      </c>
      <c r="P76" s="24" t="inlineStr">
        <is>
          <t>UNIDAD</t>
        </is>
      </c>
      <c r="Q76" s="20" t="inlineStr">
        <is>
          <t>NO</t>
        </is>
      </c>
      <c r="R76" s="20" t="inlineStr">
        <is>
          <t>NO</t>
        </is>
      </c>
      <c r="S76" s="25" t="n">
        <v>1</v>
      </c>
      <c r="T76" s="20" t="inlineStr">
        <is>
          <t>NO</t>
        </is>
      </c>
      <c r="U76" s="20" t="inlineStr">
        <is>
          <t>Bodega de pruebas</t>
        </is>
      </c>
      <c r="V76" s="21" t="inlineStr">
        <is>
          <t>Producto ficticio de prueba para validacion de busquedas, inventario, ventas y compras en FERREPRO. No corresponde a inventario real.</t>
        </is>
      </c>
      <c r="W76" s="26" t="n">
        <v>160</v>
      </c>
      <c r="X76" s="27" t="n"/>
      <c r="Y76" s="20" t="n"/>
      <c r="Z76" s="20" t="n"/>
      <c r="AA76" s="26">
        <f>IF(X76="","",X76-IF(W76="",0,W76))</f>
        <v/>
      </c>
      <c r="AB76" s="28">
        <f>IF(OR(X76="",M76=""),"",X76*M76)</f>
        <v/>
      </c>
      <c r="AC76" s="28">
        <f>IF(OR(X76="",N76=""),"",X76*N76)</f>
        <v/>
      </c>
      <c r="AD76" s="28">
        <f>IF(OR(M76="",N76=""),"",N76-M76)</f>
        <v/>
      </c>
      <c r="AE76" s="29">
        <f>IFERROR(IF(M76&gt;0,(N76-M76)/M76,""),"")</f>
        <v/>
      </c>
      <c r="AF76" s="30" t="n"/>
      <c r="AG76" s="30" t="inlineStr">
        <is>
          <t>PENDIENTE</t>
        </is>
      </c>
      <c r="AH76" s="18">
        <f>IF(NOT(OR(B76="EXISTENTE",COUNTA(G76,H76,I76,J76,K76,M76,N76,U76,V76,X76,Y76,Z76,AF76,AJ76)&gt;0)),"",IF(AK76&lt;&gt;"","REVISAR",IF(OR(G76="",H76="",M76="",N76="",O76="",P76="",X76=""),"INCOMPLETO",IF(AI76&lt;&gt;"","REVISAR",IF(AND(AF76&lt;&gt;"",AG76="ESCANEADO"),"LISTO_COMPLETO","LISTO_SIN_BARCODE")))))</f>
        <v/>
      </c>
      <c r="AI76" s="17">
        <f>IF(NOT(OR(B76="EXISTENTE",COUNTA(G76,H76,I76,J76,K76,M76,N76,U76,V76,X76,Y76,Z76,AF76,AJ76)&gt;0)),"",TEXTJOIN(" | ",TRUE,IF(A76="","Falta ID staging",""),IF(COUNTIF($A$5:$A$445,A76)&gt;1,"ID staging duplicado",""),IF(G76="","Falta nombre",""),IF(LEN(G76)&gt;150,"Nombre &gt;150 caracteres",""),IF(H76="","Falta categoría",IF(COUNTIF(CategoriasLista,H76)=0,"Categoría inválida","")),IF(M76="","Falta precio compra",IF(OR(NOT(ISNUMBER(M76)),M76&lt;0),"Precio compra inválido","")),IF(N76="","Falta precio venta",IF(OR(NOT(ISNUMBER(N76)),N76&lt;=0,N76&lt;M76),"Precio venta inválido","")),IF(O76="","Falta stock mínimo",IF(OR(NOT(ISNUMBER(O76)),O76&lt;0,MOD(O76,1)&lt;&gt;0),"Stock mínimo inválido","")),IF(P76="","Falta unidad",IF(COUNTIF(UnidadesLista,P76)=0,"Unidad inválida","")),IF(AND(K76&lt;&gt;"",COUNTIF(ProveedoresLista,K76)=0),"Proveedor no catalogado",""),IF(X76="","Falta cantidad contada",IF(OR(NOT(ISNUMBER(X76)),X76&lt;0,ABS(X76*1000-ROUND(X76*1000,0))&gt;0.0000001),"Cantidad inválida",IF(AND(Q76="NO",MOD(X76,1)&lt;&gt;0),"Cantidad fraccionaria no permitida",""))),IF(AND(R76="SI",OR(NOT(ISNUMBER(S76)),S76&lt;1,MOD(S76,1)&lt;&gt;0)),"Empaque inválido",""),IF(OR(AND(AF76="",AG76="ESCANEADO"),AND(AF76&lt;&gt;"",AG76&lt;&gt;"ESCANEADO")),"Barcode/estado inconsistente",""),IF(AK76&lt;&gt;"",AK76,"")))</f>
        <v/>
      </c>
      <c r="AJ76" s="21" t="n"/>
      <c r="AK76" s="17">
        <f>IF(G76="","",IF(OR(COUNTIFS($G$5:$G$445,G76,$I$5:$I$445,I76,$J$5:$J$445,J76,$P$5:$P$445,P76)&gt;1,AND(AF76&lt;&gt;"",COUNTIF($AF$5:$AF$445,AF76)&gt;1)),"REVISAR_POSIBLE_DUPLICADO",""))</f>
        <v/>
      </c>
    </row>
    <row r="77">
      <c r="A77" s="17" t="inlineStr">
        <is>
          <t>46c15cd2-f990-5414-9de5-ae005ef5b5a3</t>
        </is>
      </c>
      <c r="B77" s="18" t="inlineStr">
        <is>
          <t>EXISTENTE</t>
        </is>
      </c>
      <c r="C77" s="18" t="inlineStr">
        <is>
          <t>ACTIVO</t>
        </is>
      </c>
      <c r="D77" s="18" t="n">
        <v>112</v>
      </c>
      <c r="E77" s="17" t="inlineStr">
        <is>
          <t>bed50def-0986-408f-93f7-43c15fb47f91</t>
        </is>
      </c>
      <c r="F77" s="17" t="inlineStr">
        <is>
          <t>PRB-FER-0060</t>
        </is>
      </c>
      <c r="G77" s="19" t="inlineStr">
        <is>
          <t>Tee PVC 1/2 pulgada</t>
        </is>
      </c>
      <c r="H77" s="19" t="inlineStr">
        <is>
          <t>Plomería</t>
        </is>
      </c>
      <c r="I77" s="20" t="inlineStr">
        <is>
          <t>PlomeriPro</t>
        </is>
      </c>
      <c r="J77" s="20" t="inlineStr">
        <is>
          <t>Unidad</t>
        </is>
      </c>
      <c r="K77" s="21" t="inlineStr">
        <is>
          <t>Proveedor Prueba Eléctricos Colombia</t>
        </is>
      </c>
      <c r="L77" s="18" t="n">
        <v>12</v>
      </c>
      <c r="M77" s="22" t="n">
        <v>1400</v>
      </c>
      <c r="N77" s="22" t="n">
        <v>2000</v>
      </c>
      <c r="O77" s="23" t="n">
        <v>36</v>
      </c>
      <c r="P77" s="24" t="inlineStr">
        <is>
          <t>UNIDAD</t>
        </is>
      </c>
      <c r="Q77" s="20" t="inlineStr">
        <is>
          <t>NO</t>
        </is>
      </c>
      <c r="R77" s="20" t="inlineStr">
        <is>
          <t>NO</t>
        </is>
      </c>
      <c r="S77" s="25" t="n">
        <v>1</v>
      </c>
      <c r="T77" s="20" t="inlineStr">
        <is>
          <t>NO</t>
        </is>
      </c>
      <c r="U77" s="20" t="inlineStr">
        <is>
          <t>Bodega de pruebas</t>
        </is>
      </c>
      <c r="V77" s="21" t="inlineStr">
        <is>
          <t>Producto ficticio de prueba para validacion de busquedas, inventario, ventas y compras en FERREPRO. No corresponde a inventario real.</t>
        </is>
      </c>
      <c r="W77" s="26" t="n">
        <v>145</v>
      </c>
      <c r="X77" s="27" t="n"/>
      <c r="Y77" s="20" t="n"/>
      <c r="Z77" s="20" t="n"/>
      <c r="AA77" s="26">
        <f>IF(X77="","",X77-IF(W77="",0,W77))</f>
        <v/>
      </c>
      <c r="AB77" s="28">
        <f>IF(OR(X77="",M77=""),"",X77*M77)</f>
        <v/>
      </c>
      <c r="AC77" s="28">
        <f>IF(OR(X77="",N77=""),"",X77*N77)</f>
        <v/>
      </c>
      <c r="AD77" s="28">
        <f>IF(OR(M77="",N77=""),"",N77-M77)</f>
        <v/>
      </c>
      <c r="AE77" s="29">
        <f>IFERROR(IF(M77&gt;0,(N77-M77)/M77,""),"")</f>
        <v/>
      </c>
      <c r="AF77" s="30" t="n"/>
      <c r="AG77" s="30" t="inlineStr">
        <is>
          <t>PENDIENTE</t>
        </is>
      </c>
      <c r="AH77" s="18">
        <f>IF(NOT(OR(B77="EXISTENTE",COUNTA(G77,H77,I77,J77,K77,M77,N77,U77,V77,X77,Y77,Z77,AF77,AJ77)&gt;0)),"",IF(AK77&lt;&gt;"","REVISAR",IF(OR(G77="",H77="",M77="",N77="",O77="",P77="",X77=""),"INCOMPLETO",IF(AI77&lt;&gt;"","REVISAR",IF(AND(AF77&lt;&gt;"",AG77="ESCANEADO"),"LISTO_COMPLETO","LISTO_SIN_BARCODE")))))</f>
        <v/>
      </c>
      <c r="AI77" s="17">
        <f>IF(NOT(OR(B77="EXISTENTE",COUNTA(G77,H77,I77,J77,K77,M77,N77,U77,V77,X77,Y77,Z77,AF77,AJ77)&gt;0)),"",TEXTJOIN(" | ",TRUE,IF(A77="","Falta ID staging",""),IF(COUNTIF($A$5:$A$445,A77)&gt;1,"ID staging duplicado",""),IF(G77="","Falta nombre",""),IF(LEN(G77)&gt;150,"Nombre &gt;150 caracteres",""),IF(H77="","Falta categoría",IF(COUNTIF(CategoriasLista,H77)=0,"Categoría inválida","")),IF(M77="","Falta precio compra",IF(OR(NOT(ISNUMBER(M77)),M77&lt;0),"Precio compra inválido","")),IF(N77="","Falta precio venta",IF(OR(NOT(ISNUMBER(N77)),N77&lt;=0,N77&lt;M77),"Precio venta inválido","")),IF(O77="","Falta stock mínimo",IF(OR(NOT(ISNUMBER(O77)),O77&lt;0,MOD(O77,1)&lt;&gt;0),"Stock mínimo inválido","")),IF(P77="","Falta unidad",IF(COUNTIF(UnidadesLista,P77)=0,"Unidad inválida","")),IF(AND(K77&lt;&gt;"",COUNTIF(ProveedoresLista,K77)=0),"Proveedor no catalogado",""),IF(X77="","Falta cantidad contada",IF(OR(NOT(ISNUMBER(X77)),X77&lt;0,ABS(X77*1000-ROUND(X77*1000,0))&gt;0.0000001),"Cantidad inválida",IF(AND(Q77="NO",MOD(X77,1)&lt;&gt;0),"Cantidad fraccionaria no permitida",""))),IF(AND(R77="SI",OR(NOT(ISNUMBER(S77)),S77&lt;1,MOD(S77,1)&lt;&gt;0)),"Empaque inválido",""),IF(OR(AND(AF77="",AG77="ESCANEADO"),AND(AF77&lt;&gt;"",AG77&lt;&gt;"ESCANEADO")),"Barcode/estado inconsistente",""),IF(AK77&lt;&gt;"",AK77,"")))</f>
        <v/>
      </c>
      <c r="AJ77" s="21" t="n"/>
      <c r="AK77" s="17">
        <f>IF(G77="","",IF(OR(COUNTIFS($G$5:$G$445,G77,$I$5:$I$445,I77,$J$5:$J$445,J77,$P$5:$P$445,P77)&gt;1,AND(AF77&lt;&gt;"",COUNTIF($AF$5:$AF$445,AF77)&gt;1)),"REVISAR_POSIBLE_DUPLICADO",""))</f>
        <v/>
      </c>
    </row>
    <row r="78">
      <c r="A78" s="17" t="inlineStr">
        <is>
          <t>51ba898e-ec71-5171-800c-2661db8d2e36</t>
        </is>
      </c>
      <c r="B78" s="18" t="inlineStr">
        <is>
          <t>EXISTENTE</t>
        </is>
      </c>
      <c r="C78" s="18" t="inlineStr">
        <is>
          <t>ACTIVO</t>
        </is>
      </c>
      <c r="D78" s="18" t="n">
        <v>113</v>
      </c>
      <c r="E78" s="17" t="inlineStr">
        <is>
          <t>46654d12-4cc2-4083-bf3c-466ddcc3fd1e</t>
        </is>
      </c>
      <c r="F78" s="17" t="inlineStr">
        <is>
          <t>PRB-FER-0061</t>
        </is>
      </c>
      <c r="G78" s="19" t="inlineStr">
        <is>
          <t>Llave terminal cromada</t>
        </is>
      </c>
      <c r="H78" s="19" t="inlineStr">
        <is>
          <t>Plomería</t>
        </is>
      </c>
      <c r="I78" s="20" t="inlineStr">
        <is>
          <t>CasaForte</t>
        </is>
      </c>
      <c r="J78" s="20" t="inlineStr">
        <is>
          <t>Unidad</t>
        </is>
      </c>
      <c r="K78" s="21" t="inlineStr">
        <is>
          <t>Proveedor Prueba Pinturas y Acabados</t>
        </is>
      </c>
      <c r="L78" s="18" t="n">
        <v>13</v>
      </c>
      <c r="M78" s="22" t="n">
        <v>15500</v>
      </c>
      <c r="N78" s="22" t="n">
        <v>22000</v>
      </c>
      <c r="O78" s="23" t="n">
        <v>7</v>
      </c>
      <c r="P78" s="24" t="inlineStr">
        <is>
          <t>UNIDAD</t>
        </is>
      </c>
      <c r="Q78" s="20" t="inlineStr">
        <is>
          <t>NO</t>
        </is>
      </c>
      <c r="R78" s="20" t="inlineStr">
        <is>
          <t>NO</t>
        </is>
      </c>
      <c r="S78" s="25" t="n">
        <v>1</v>
      </c>
      <c r="T78" s="20" t="inlineStr">
        <is>
          <t>NO</t>
        </is>
      </c>
      <c r="U78" s="20" t="inlineStr">
        <is>
          <t>Bodega de pruebas</t>
        </is>
      </c>
      <c r="V78" s="21" t="inlineStr">
        <is>
          <t>Producto ficticio de prueba para validacion de busquedas, inventario, ventas y compras en FERREPRO. No corresponde a inventario real.</t>
        </is>
      </c>
      <c r="W78" s="26" t="n">
        <v>30</v>
      </c>
      <c r="X78" s="27" t="n"/>
      <c r="Y78" s="20" t="n"/>
      <c r="Z78" s="20" t="n"/>
      <c r="AA78" s="26">
        <f>IF(X78="","",X78-IF(W78="",0,W78))</f>
        <v/>
      </c>
      <c r="AB78" s="28">
        <f>IF(OR(X78="",M78=""),"",X78*M78)</f>
        <v/>
      </c>
      <c r="AC78" s="28">
        <f>IF(OR(X78="",N78=""),"",X78*N78)</f>
        <v/>
      </c>
      <c r="AD78" s="28">
        <f>IF(OR(M78="",N78=""),"",N78-M78)</f>
        <v/>
      </c>
      <c r="AE78" s="29">
        <f>IFERROR(IF(M78&gt;0,(N78-M78)/M78,""),"")</f>
        <v/>
      </c>
      <c r="AF78" s="30" t="n"/>
      <c r="AG78" s="30" t="inlineStr">
        <is>
          <t>PENDIENTE</t>
        </is>
      </c>
      <c r="AH78" s="18">
        <f>IF(NOT(OR(B78="EXISTENTE",COUNTA(G78,H78,I78,J78,K78,M78,N78,U78,V78,X78,Y78,Z78,AF78,AJ78)&gt;0)),"",IF(AK78&lt;&gt;"","REVISAR",IF(OR(G78="",H78="",M78="",N78="",O78="",P78="",X78=""),"INCOMPLETO",IF(AI78&lt;&gt;"","REVISAR",IF(AND(AF78&lt;&gt;"",AG78="ESCANEADO"),"LISTO_COMPLETO","LISTO_SIN_BARCODE")))))</f>
        <v/>
      </c>
      <c r="AI78" s="17">
        <f>IF(NOT(OR(B78="EXISTENTE",COUNTA(G78,H78,I78,J78,K78,M78,N78,U78,V78,X78,Y78,Z78,AF78,AJ78)&gt;0)),"",TEXTJOIN(" | ",TRUE,IF(A78="","Falta ID staging",""),IF(COUNTIF($A$5:$A$445,A78)&gt;1,"ID staging duplicado",""),IF(G78="","Falta nombre",""),IF(LEN(G78)&gt;150,"Nombre &gt;150 caracteres",""),IF(H78="","Falta categoría",IF(COUNTIF(CategoriasLista,H78)=0,"Categoría inválida","")),IF(M78="","Falta precio compra",IF(OR(NOT(ISNUMBER(M78)),M78&lt;0),"Precio compra inválido","")),IF(N78="","Falta precio venta",IF(OR(NOT(ISNUMBER(N78)),N78&lt;=0,N78&lt;M78),"Precio venta inválido","")),IF(O78="","Falta stock mínimo",IF(OR(NOT(ISNUMBER(O78)),O78&lt;0,MOD(O78,1)&lt;&gt;0),"Stock mínimo inválido","")),IF(P78="","Falta unidad",IF(COUNTIF(UnidadesLista,P78)=0,"Unidad inválida","")),IF(AND(K78&lt;&gt;"",COUNTIF(ProveedoresLista,K78)=0),"Proveedor no catalogado",""),IF(X78="","Falta cantidad contada",IF(OR(NOT(ISNUMBER(X78)),X78&lt;0,ABS(X78*1000-ROUND(X78*1000,0))&gt;0.0000001),"Cantidad inválida",IF(AND(Q78="NO",MOD(X78,1)&lt;&gt;0),"Cantidad fraccionaria no permitida",""))),IF(AND(R78="SI",OR(NOT(ISNUMBER(S78)),S78&lt;1,MOD(S78,1)&lt;&gt;0)),"Empaque inválido",""),IF(OR(AND(AF78="",AG78="ESCANEADO"),AND(AF78&lt;&gt;"",AG78&lt;&gt;"ESCANEADO")),"Barcode/estado inconsistente",""),IF(AK78&lt;&gt;"",AK78,"")))</f>
        <v/>
      </c>
      <c r="AJ78" s="21" t="n"/>
      <c r="AK78" s="17">
        <f>IF(G78="","",IF(OR(COUNTIFS($G$5:$G$445,G78,$I$5:$I$445,I78,$J$5:$J$445,J78,$P$5:$P$445,P78)&gt;1,AND(AF78&lt;&gt;"",COUNTIF($AF$5:$AF$445,AF78)&gt;1)),"REVISAR_POSIBLE_DUPLICADO",""))</f>
        <v/>
      </c>
    </row>
    <row r="79">
      <c r="A79" s="17" t="inlineStr">
        <is>
          <t>41d694f7-21de-5039-b997-e2fcbdbc5be7</t>
        </is>
      </c>
      <c r="B79" s="18" t="inlineStr">
        <is>
          <t>EXISTENTE</t>
        </is>
      </c>
      <c r="C79" s="18" t="inlineStr">
        <is>
          <t>ACTIVO</t>
        </is>
      </c>
      <c r="D79" s="18" t="n">
        <v>114</v>
      </c>
      <c r="E79" s="17" t="inlineStr">
        <is>
          <t>5526d587-985b-4084-87fa-281c246268dc</t>
        </is>
      </c>
      <c r="F79" s="17" t="inlineStr">
        <is>
          <t>PRB-FER-0062</t>
        </is>
      </c>
      <c r="G79" s="19" t="inlineStr">
        <is>
          <t>Válvula bola PVC 1/2</t>
        </is>
      </c>
      <c r="H79" s="19" t="inlineStr">
        <is>
          <t>Plomería</t>
        </is>
      </c>
      <c r="I79" s="20" t="inlineStr">
        <is>
          <t>PlomeriPro</t>
        </is>
      </c>
      <c r="J79" s="20" t="inlineStr">
        <is>
          <t>Unidad</t>
        </is>
      </c>
      <c r="K79" s="21" t="inlineStr">
        <is>
          <t>Proveedor Prueba Herramientas Industriales</t>
        </is>
      </c>
      <c r="L79" s="18" t="n">
        <v>14</v>
      </c>
      <c r="M79" s="22" t="n">
        <v>8500</v>
      </c>
      <c r="N79" s="22" t="n">
        <v>12000</v>
      </c>
      <c r="O79" s="23" t="n">
        <v>10</v>
      </c>
      <c r="P79" s="24" t="inlineStr">
        <is>
          <t>UNIDAD</t>
        </is>
      </c>
      <c r="Q79" s="20" t="inlineStr">
        <is>
          <t>NO</t>
        </is>
      </c>
      <c r="R79" s="20" t="inlineStr">
        <is>
          <t>NO</t>
        </is>
      </c>
      <c r="S79" s="25" t="n">
        <v>1</v>
      </c>
      <c r="T79" s="20" t="inlineStr">
        <is>
          <t>NO</t>
        </is>
      </c>
      <c r="U79" s="20" t="inlineStr">
        <is>
          <t>Bodega de pruebas</t>
        </is>
      </c>
      <c r="V79" s="21" t="inlineStr">
        <is>
          <t>Producto ficticio de prueba para validacion de busquedas, inventario, ventas y compras en FERREPRO. No corresponde a inventario real.</t>
        </is>
      </c>
      <c r="W79" s="26" t="n">
        <v>40</v>
      </c>
      <c r="X79" s="27" t="n"/>
      <c r="Y79" s="20" t="n"/>
      <c r="Z79" s="20" t="n"/>
      <c r="AA79" s="26">
        <f>IF(X79="","",X79-IF(W79="",0,W79))</f>
        <v/>
      </c>
      <c r="AB79" s="28">
        <f>IF(OR(X79="",M79=""),"",X79*M79)</f>
        <v/>
      </c>
      <c r="AC79" s="28">
        <f>IF(OR(X79="",N79=""),"",X79*N79)</f>
        <v/>
      </c>
      <c r="AD79" s="28">
        <f>IF(OR(M79="",N79=""),"",N79-M79)</f>
        <v/>
      </c>
      <c r="AE79" s="29">
        <f>IFERROR(IF(M79&gt;0,(N79-M79)/M79,""),"")</f>
        <v/>
      </c>
      <c r="AF79" s="30" t="n"/>
      <c r="AG79" s="30" t="inlineStr">
        <is>
          <t>PENDIENTE</t>
        </is>
      </c>
      <c r="AH79" s="18">
        <f>IF(NOT(OR(B79="EXISTENTE",COUNTA(G79,H79,I79,J79,K79,M79,N79,U79,V79,X79,Y79,Z79,AF79,AJ79)&gt;0)),"",IF(AK79&lt;&gt;"","REVISAR",IF(OR(G79="",H79="",M79="",N79="",O79="",P79="",X79=""),"INCOMPLETO",IF(AI79&lt;&gt;"","REVISAR",IF(AND(AF79&lt;&gt;"",AG79="ESCANEADO"),"LISTO_COMPLETO","LISTO_SIN_BARCODE")))))</f>
        <v/>
      </c>
      <c r="AI79" s="17">
        <f>IF(NOT(OR(B79="EXISTENTE",COUNTA(G79,H79,I79,J79,K79,M79,N79,U79,V79,X79,Y79,Z79,AF79,AJ79)&gt;0)),"",TEXTJOIN(" | ",TRUE,IF(A79="","Falta ID staging",""),IF(COUNTIF($A$5:$A$445,A79)&gt;1,"ID staging duplicado",""),IF(G79="","Falta nombre",""),IF(LEN(G79)&gt;150,"Nombre &gt;150 caracteres",""),IF(H79="","Falta categoría",IF(COUNTIF(CategoriasLista,H79)=0,"Categoría inválida","")),IF(M79="","Falta precio compra",IF(OR(NOT(ISNUMBER(M79)),M79&lt;0),"Precio compra inválido","")),IF(N79="","Falta precio venta",IF(OR(NOT(ISNUMBER(N79)),N79&lt;=0,N79&lt;M79),"Precio venta inválido","")),IF(O79="","Falta stock mínimo",IF(OR(NOT(ISNUMBER(O79)),O79&lt;0,MOD(O79,1)&lt;&gt;0),"Stock mínimo inválido","")),IF(P79="","Falta unidad",IF(COUNTIF(UnidadesLista,P79)=0,"Unidad inválida","")),IF(AND(K79&lt;&gt;"",COUNTIF(ProveedoresLista,K79)=0),"Proveedor no catalogado",""),IF(X79="","Falta cantidad contada",IF(OR(NOT(ISNUMBER(X79)),X79&lt;0,ABS(X79*1000-ROUND(X79*1000,0))&gt;0.0000001),"Cantidad inválida",IF(AND(Q79="NO",MOD(X79,1)&lt;&gt;0),"Cantidad fraccionaria no permitida",""))),IF(AND(R79="SI",OR(NOT(ISNUMBER(S79)),S79&lt;1,MOD(S79,1)&lt;&gt;0)),"Empaque inválido",""),IF(OR(AND(AF79="",AG79="ESCANEADO"),AND(AF79&lt;&gt;"",AG79&lt;&gt;"ESCANEADO")),"Barcode/estado inconsistente",""),IF(AK79&lt;&gt;"",AK79,"")))</f>
        <v/>
      </c>
      <c r="AJ79" s="21" t="n"/>
      <c r="AK79" s="17">
        <f>IF(G79="","",IF(OR(COUNTIFS($G$5:$G$445,G79,$I$5:$I$445,I79,$J$5:$J$445,J79,$P$5:$P$445,P79)&gt;1,AND(AF79&lt;&gt;"",COUNTIF($AF$5:$AF$445,AF79)&gt;1)),"REVISAR_POSIBLE_DUPLICADO",""))</f>
        <v/>
      </c>
    </row>
    <row r="80">
      <c r="A80" s="17" t="inlineStr">
        <is>
          <t>4d4e41bb-0c4e-516d-b57f-36ae6d97806e</t>
        </is>
      </c>
      <c r="B80" s="18" t="inlineStr">
        <is>
          <t>EXISTENTE</t>
        </is>
      </c>
      <c r="C80" s="18" t="inlineStr">
        <is>
          <t>ACTIVO</t>
        </is>
      </c>
      <c r="D80" s="18" t="n">
        <v>115</v>
      </c>
      <c r="E80" s="17" t="inlineStr">
        <is>
          <t>827da107-de50-45ea-84ef-6cd8497f9d2a</t>
        </is>
      </c>
      <c r="F80" s="17" t="inlineStr">
        <is>
          <t>PRB-FER-0063</t>
        </is>
      </c>
      <c r="G80" s="19" t="inlineStr">
        <is>
          <t>Cinta teflón 12 metros</t>
        </is>
      </c>
      <c r="H80" s="19" t="inlineStr">
        <is>
          <t>Plomería</t>
        </is>
      </c>
      <c r="I80" s="20" t="inlineStr">
        <is>
          <t>FixMaster</t>
        </is>
      </c>
      <c r="J80" s="20" t="inlineStr">
        <is>
          <t>Unidad</t>
        </is>
      </c>
      <c r="K80" s="21" t="inlineStr">
        <is>
          <t>Proveedor Prueba Plomería Nacional</t>
        </is>
      </c>
      <c r="L80" s="18" t="n">
        <v>15</v>
      </c>
      <c r="M80" s="22" t="n">
        <v>1600</v>
      </c>
      <c r="N80" s="22" t="n">
        <v>2300</v>
      </c>
      <c r="O80" s="23" t="n">
        <v>30</v>
      </c>
      <c r="P80" s="24" t="inlineStr">
        <is>
          <t>UNIDAD</t>
        </is>
      </c>
      <c r="Q80" s="20" t="inlineStr">
        <is>
          <t>NO</t>
        </is>
      </c>
      <c r="R80" s="20" t="inlineStr">
        <is>
          <t>NO</t>
        </is>
      </c>
      <c r="S80" s="25" t="n">
        <v>1</v>
      </c>
      <c r="T80" s="20" t="inlineStr">
        <is>
          <t>NO</t>
        </is>
      </c>
      <c r="U80" s="20" t="inlineStr">
        <is>
          <t>Bodega de pruebas</t>
        </is>
      </c>
      <c r="V80" s="21" t="inlineStr">
        <is>
          <t>Producto ficticio de prueba para validacion de busquedas, inventario, ventas y compras en FERREPRO. No corresponde a inventario real.</t>
        </is>
      </c>
      <c r="W80" s="26" t="n">
        <v>120</v>
      </c>
      <c r="X80" s="27" t="n"/>
      <c r="Y80" s="20" t="n"/>
      <c r="Z80" s="20" t="n"/>
      <c r="AA80" s="26">
        <f>IF(X80="","",X80-IF(W80="",0,W80))</f>
        <v/>
      </c>
      <c r="AB80" s="28">
        <f>IF(OR(X80="",M80=""),"",X80*M80)</f>
        <v/>
      </c>
      <c r="AC80" s="28">
        <f>IF(OR(X80="",N80=""),"",X80*N80)</f>
        <v/>
      </c>
      <c r="AD80" s="28">
        <f>IF(OR(M80="",N80=""),"",N80-M80)</f>
        <v/>
      </c>
      <c r="AE80" s="29">
        <f>IFERROR(IF(M80&gt;0,(N80-M80)/M80,""),"")</f>
        <v/>
      </c>
      <c r="AF80" s="30" t="n"/>
      <c r="AG80" s="30" t="inlineStr">
        <is>
          <t>PENDIENTE</t>
        </is>
      </c>
      <c r="AH80" s="18">
        <f>IF(NOT(OR(B80="EXISTENTE",COUNTA(G80,H80,I80,J80,K80,M80,N80,U80,V80,X80,Y80,Z80,AF80,AJ80)&gt;0)),"",IF(AK80&lt;&gt;"","REVISAR",IF(OR(G80="",H80="",M80="",N80="",O80="",P80="",X80=""),"INCOMPLETO",IF(AI80&lt;&gt;"","REVISAR",IF(AND(AF80&lt;&gt;"",AG80="ESCANEADO"),"LISTO_COMPLETO","LISTO_SIN_BARCODE")))))</f>
        <v/>
      </c>
      <c r="AI80" s="17">
        <f>IF(NOT(OR(B80="EXISTENTE",COUNTA(G80,H80,I80,J80,K80,M80,N80,U80,V80,X80,Y80,Z80,AF80,AJ80)&gt;0)),"",TEXTJOIN(" | ",TRUE,IF(A80="","Falta ID staging",""),IF(COUNTIF($A$5:$A$445,A80)&gt;1,"ID staging duplicado",""),IF(G80="","Falta nombre",""),IF(LEN(G80)&gt;150,"Nombre &gt;150 caracteres",""),IF(H80="","Falta categoría",IF(COUNTIF(CategoriasLista,H80)=0,"Categoría inválida","")),IF(M80="","Falta precio compra",IF(OR(NOT(ISNUMBER(M80)),M80&lt;0),"Precio compra inválido","")),IF(N80="","Falta precio venta",IF(OR(NOT(ISNUMBER(N80)),N80&lt;=0,N80&lt;M80),"Precio venta inválido","")),IF(O80="","Falta stock mínimo",IF(OR(NOT(ISNUMBER(O80)),O80&lt;0,MOD(O80,1)&lt;&gt;0),"Stock mínimo inválido","")),IF(P80="","Falta unidad",IF(COUNTIF(UnidadesLista,P80)=0,"Unidad inválida","")),IF(AND(K80&lt;&gt;"",COUNTIF(ProveedoresLista,K80)=0),"Proveedor no catalogado",""),IF(X80="","Falta cantidad contada",IF(OR(NOT(ISNUMBER(X80)),X80&lt;0,ABS(X80*1000-ROUND(X80*1000,0))&gt;0.0000001),"Cantidad inválida",IF(AND(Q80="NO",MOD(X80,1)&lt;&gt;0),"Cantidad fraccionaria no permitida",""))),IF(AND(R80="SI",OR(NOT(ISNUMBER(S80)),S80&lt;1,MOD(S80,1)&lt;&gt;0)),"Empaque inválido",""),IF(OR(AND(AF80="",AG80="ESCANEADO"),AND(AF80&lt;&gt;"",AG80&lt;&gt;"ESCANEADO")),"Barcode/estado inconsistente",""),IF(AK80&lt;&gt;"",AK80,"")))</f>
        <v/>
      </c>
      <c r="AJ80" s="21" t="n"/>
      <c r="AK80" s="17">
        <f>IF(G80="","",IF(OR(COUNTIFS($G$5:$G$445,G80,$I$5:$I$445,I80,$J$5:$J$445,J80,$P$5:$P$445,P80)&gt;1,AND(AF80&lt;&gt;"",COUNTIF($AF$5:$AF$445,AF80)&gt;1)),"REVISAR_POSIBLE_DUPLICADO",""))</f>
        <v/>
      </c>
    </row>
    <row r="81">
      <c r="A81" s="17" t="inlineStr">
        <is>
          <t>56fe2fbd-42e1-5b0d-9365-a866300646ff</t>
        </is>
      </c>
      <c r="B81" s="18" t="inlineStr">
        <is>
          <t>EXISTENTE</t>
        </is>
      </c>
      <c r="C81" s="18" t="inlineStr">
        <is>
          <t>ACTIVO</t>
        </is>
      </c>
      <c r="D81" s="18" t="n">
        <v>116</v>
      </c>
      <c r="E81" s="17" t="inlineStr">
        <is>
          <t>aab8c5a1-2942-413e-bede-dfdb3b7ca8c8</t>
        </is>
      </c>
      <c r="F81" s="17" t="inlineStr">
        <is>
          <t>PRB-FER-0064</t>
        </is>
      </c>
      <c r="G81" s="19" t="inlineStr">
        <is>
          <t>Sifón lavamanos</t>
        </is>
      </c>
      <c r="H81" s="19" t="inlineStr">
        <is>
          <t>Plomería</t>
        </is>
      </c>
      <c r="I81" s="20" t="inlineStr">
        <is>
          <t>CasaForte</t>
        </is>
      </c>
      <c r="J81" s="20" t="inlineStr">
        <is>
          <t>Unidad</t>
        </is>
      </c>
      <c r="K81" s="21" t="inlineStr">
        <is>
          <t>Proveedor Prueba Seguridad y Protección</t>
        </is>
      </c>
      <c r="L81" s="18" t="n">
        <v>16</v>
      </c>
      <c r="M81" s="22" t="n">
        <v>11000</v>
      </c>
      <c r="N81" s="22" t="n">
        <v>15500</v>
      </c>
      <c r="O81" s="23" t="n">
        <v>6</v>
      </c>
      <c r="P81" s="24" t="inlineStr">
        <is>
          <t>UNIDAD</t>
        </is>
      </c>
      <c r="Q81" s="20" t="inlineStr">
        <is>
          <t>NO</t>
        </is>
      </c>
      <c r="R81" s="20" t="inlineStr">
        <is>
          <t>NO</t>
        </is>
      </c>
      <c r="S81" s="25" t="n">
        <v>1</v>
      </c>
      <c r="T81" s="20" t="inlineStr">
        <is>
          <t>NO</t>
        </is>
      </c>
      <c r="U81" s="20" t="inlineStr">
        <is>
          <t>Bodega de pruebas</t>
        </is>
      </c>
      <c r="V81" s="21" t="inlineStr">
        <is>
          <t>Producto ficticio de prueba para validacion de busquedas, inventario, ventas y compras en FERREPRO. No corresponde a inventario real.</t>
        </is>
      </c>
      <c r="W81" s="26" t="n">
        <v>25</v>
      </c>
      <c r="X81" s="27" t="n"/>
      <c r="Y81" s="20" t="n"/>
      <c r="Z81" s="20" t="n"/>
      <c r="AA81" s="26">
        <f>IF(X81="","",X81-IF(W81="",0,W81))</f>
        <v/>
      </c>
      <c r="AB81" s="28">
        <f>IF(OR(X81="",M81=""),"",X81*M81)</f>
        <v/>
      </c>
      <c r="AC81" s="28">
        <f>IF(OR(X81="",N81=""),"",X81*N81)</f>
        <v/>
      </c>
      <c r="AD81" s="28">
        <f>IF(OR(M81="",N81=""),"",N81-M81)</f>
        <v/>
      </c>
      <c r="AE81" s="29">
        <f>IFERROR(IF(M81&gt;0,(N81-M81)/M81,""),"")</f>
        <v/>
      </c>
      <c r="AF81" s="30" t="n"/>
      <c r="AG81" s="30" t="inlineStr">
        <is>
          <t>PENDIENTE</t>
        </is>
      </c>
      <c r="AH81" s="18">
        <f>IF(NOT(OR(B81="EXISTENTE",COUNTA(G81,H81,I81,J81,K81,M81,N81,U81,V81,X81,Y81,Z81,AF81,AJ81)&gt;0)),"",IF(AK81&lt;&gt;"","REVISAR",IF(OR(G81="",H81="",M81="",N81="",O81="",P81="",X81=""),"INCOMPLETO",IF(AI81&lt;&gt;"","REVISAR",IF(AND(AF81&lt;&gt;"",AG81="ESCANEADO"),"LISTO_COMPLETO","LISTO_SIN_BARCODE")))))</f>
        <v/>
      </c>
      <c r="AI81" s="17">
        <f>IF(NOT(OR(B81="EXISTENTE",COUNTA(G81,H81,I81,J81,K81,M81,N81,U81,V81,X81,Y81,Z81,AF81,AJ81)&gt;0)),"",TEXTJOIN(" | ",TRUE,IF(A81="","Falta ID staging",""),IF(COUNTIF($A$5:$A$445,A81)&gt;1,"ID staging duplicado",""),IF(G81="","Falta nombre",""),IF(LEN(G81)&gt;150,"Nombre &gt;150 caracteres",""),IF(H81="","Falta categoría",IF(COUNTIF(CategoriasLista,H81)=0,"Categoría inválida","")),IF(M81="","Falta precio compra",IF(OR(NOT(ISNUMBER(M81)),M81&lt;0),"Precio compra inválido","")),IF(N81="","Falta precio venta",IF(OR(NOT(ISNUMBER(N81)),N81&lt;=0,N81&lt;M81),"Precio venta inválido","")),IF(O81="","Falta stock mínimo",IF(OR(NOT(ISNUMBER(O81)),O81&lt;0,MOD(O81,1)&lt;&gt;0),"Stock mínimo inválido","")),IF(P81="","Falta unidad",IF(COUNTIF(UnidadesLista,P81)=0,"Unidad inválida","")),IF(AND(K81&lt;&gt;"",COUNTIF(ProveedoresLista,K81)=0),"Proveedor no catalogado",""),IF(X81="","Falta cantidad contada",IF(OR(NOT(ISNUMBER(X81)),X81&lt;0,ABS(X81*1000-ROUND(X81*1000,0))&gt;0.0000001),"Cantidad inválida",IF(AND(Q81="NO",MOD(X81,1)&lt;&gt;0),"Cantidad fraccionaria no permitida",""))),IF(AND(R81="SI",OR(NOT(ISNUMBER(S81)),S81&lt;1,MOD(S81,1)&lt;&gt;0)),"Empaque inválido",""),IF(OR(AND(AF81="",AG81="ESCANEADO"),AND(AF81&lt;&gt;"",AG81&lt;&gt;"ESCANEADO")),"Barcode/estado inconsistente",""),IF(AK81&lt;&gt;"",AK81,"")))</f>
        <v/>
      </c>
      <c r="AJ81" s="21" t="n"/>
      <c r="AK81" s="17">
        <f>IF(G81="","",IF(OR(COUNTIFS($G$5:$G$445,G81,$I$5:$I$445,I81,$J$5:$J$445,J81,$P$5:$P$445,P81)&gt;1,AND(AF81&lt;&gt;"",COUNTIF($AF$5:$AF$445,AF81)&gt;1)),"REVISAR_POSIBLE_DUPLICADO",""))</f>
        <v/>
      </c>
    </row>
    <row r="82">
      <c r="A82" s="17" t="inlineStr">
        <is>
          <t>d125dbea-faef-558b-b0d9-5d01c57729ce</t>
        </is>
      </c>
      <c r="B82" s="18" t="inlineStr">
        <is>
          <t>EXISTENTE</t>
        </is>
      </c>
      <c r="C82" s="18" t="inlineStr">
        <is>
          <t>ACTIVO</t>
        </is>
      </c>
      <c r="D82" s="18" t="n">
        <v>117</v>
      </c>
      <c r="E82" s="17" t="inlineStr">
        <is>
          <t>aa4cf48e-f449-474c-a68d-85b87f03f413</t>
        </is>
      </c>
      <c r="F82" s="17" t="inlineStr">
        <is>
          <t>PRB-FER-0065</t>
        </is>
      </c>
      <c r="G82" s="19" t="inlineStr">
        <is>
          <t>Manguera lavadora 1.5 metros</t>
        </is>
      </c>
      <c r="H82" s="19" t="inlineStr">
        <is>
          <t>Plomería</t>
        </is>
      </c>
      <c r="I82" s="20" t="inlineStr">
        <is>
          <t>CasaForte</t>
        </is>
      </c>
      <c r="J82" s="20" t="inlineStr">
        <is>
          <t>Unidad</t>
        </is>
      </c>
      <c r="K82" s="21" t="inlineStr">
        <is>
          <t>Proveedor Prueba Ferretería Central S.A.S.</t>
        </is>
      </c>
      <c r="L82" s="18" t="n">
        <v>9</v>
      </c>
      <c r="M82" s="22" t="n">
        <v>15000</v>
      </c>
      <c r="N82" s="22" t="n">
        <v>21500</v>
      </c>
      <c r="O82" s="23" t="n">
        <v>5</v>
      </c>
      <c r="P82" s="24" t="inlineStr">
        <is>
          <t>UNIDAD</t>
        </is>
      </c>
      <c r="Q82" s="20" t="inlineStr">
        <is>
          <t>NO</t>
        </is>
      </c>
      <c r="R82" s="20" t="inlineStr">
        <is>
          <t>NO</t>
        </is>
      </c>
      <c r="S82" s="25" t="n">
        <v>1</v>
      </c>
      <c r="T82" s="20" t="inlineStr">
        <is>
          <t>NO</t>
        </is>
      </c>
      <c r="U82" s="20" t="inlineStr">
        <is>
          <t>Bodega de pruebas</t>
        </is>
      </c>
      <c r="V82" s="21" t="inlineStr">
        <is>
          <t>Producto ficticio de prueba para validacion de busquedas, inventario, ventas y compras en FERREPRO. No corresponde a inventario real.</t>
        </is>
      </c>
      <c r="W82" s="26" t="n">
        <v>20</v>
      </c>
      <c r="X82" s="27" t="n"/>
      <c r="Y82" s="20" t="n"/>
      <c r="Z82" s="20" t="n"/>
      <c r="AA82" s="26">
        <f>IF(X82="","",X82-IF(W82="",0,W82))</f>
        <v/>
      </c>
      <c r="AB82" s="28">
        <f>IF(OR(X82="",M82=""),"",X82*M82)</f>
        <v/>
      </c>
      <c r="AC82" s="28">
        <f>IF(OR(X82="",N82=""),"",X82*N82)</f>
        <v/>
      </c>
      <c r="AD82" s="28">
        <f>IF(OR(M82="",N82=""),"",N82-M82)</f>
        <v/>
      </c>
      <c r="AE82" s="29">
        <f>IFERROR(IF(M82&gt;0,(N82-M82)/M82,""),"")</f>
        <v/>
      </c>
      <c r="AF82" s="30" t="n"/>
      <c r="AG82" s="30" t="inlineStr">
        <is>
          <t>PENDIENTE</t>
        </is>
      </c>
      <c r="AH82" s="18">
        <f>IF(NOT(OR(B82="EXISTENTE",COUNTA(G82,H82,I82,J82,K82,M82,N82,U82,V82,X82,Y82,Z82,AF82,AJ82)&gt;0)),"",IF(AK82&lt;&gt;"","REVISAR",IF(OR(G82="",H82="",M82="",N82="",O82="",P82="",X82=""),"INCOMPLETO",IF(AI82&lt;&gt;"","REVISAR",IF(AND(AF82&lt;&gt;"",AG82="ESCANEADO"),"LISTO_COMPLETO","LISTO_SIN_BARCODE")))))</f>
        <v/>
      </c>
      <c r="AI82" s="17">
        <f>IF(NOT(OR(B82="EXISTENTE",COUNTA(G82,H82,I82,J82,K82,M82,N82,U82,V82,X82,Y82,Z82,AF82,AJ82)&gt;0)),"",TEXTJOIN(" | ",TRUE,IF(A82="","Falta ID staging",""),IF(COUNTIF($A$5:$A$445,A82)&gt;1,"ID staging duplicado",""),IF(G82="","Falta nombre",""),IF(LEN(G82)&gt;150,"Nombre &gt;150 caracteres",""),IF(H82="","Falta categoría",IF(COUNTIF(CategoriasLista,H82)=0,"Categoría inválida","")),IF(M82="","Falta precio compra",IF(OR(NOT(ISNUMBER(M82)),M82&lt;0),"Precio compra inválido","")),IF(N82="","Falta precio venta",IF(OR(NOT(ISNUMBER(N82)),N82&lt;=0,N82&lt;M82),"Precio venta inválido","")),IF(O82="","Falta stock mínimo",IF(OR(NOT(ISNUMBER(O82)),O82&lt;0,MOD(O82,1)&lt;&gt;0),"Stock mínimo inválido","")),IF(P82="","Falta unidad",IF(COUNTIF(UnidadesLista,P82)=0,"Unidad inválida","")),IF(AND(K82&lt;&gt;"",COUNTIF(ProveedoresLista,K82)=0),"Proveedor no catalogado",""),IF(X82="","Falta cantidad contada",IF(OR(NOT(ISNUMBER(X82)),X82&lt;0,ABS(X82*1000-ROUND(X82*1000,0))&gt;0.0000001),"Cantidad inválida",IF(AND(Q82="NO",MOD(X82,1)&lt;&gt;0),"Cantidad fraccionaria no permitida",""))),IF(AND(R82="SI",OR(NOT(ISNUMBER(S82)),S82&lt;1,MOD(S82,1)&lt;&gt;0)),"Empaque inválido",""),IF(OR(AND(AF82="",AG82="ESCANEADO"),AND(AF82&lt;&gt;"",AG82&lt;&gt;"ESCANEADO")),"Barcode/estado inconsistente",""),IF(AK82&lt;&gt;"",AK82,"")))</f>
        <v/>
      </c>
      <c r="AJ82" s="21" t="n"/>
      <c r="AK82" s="17">
        <f>IF(G82="","",IF(OR(COUNTIFS($G$5:$G$445,G82,$I$5:$I$445,I82,$J$5:$J$445,J82,$P$5:$P$445,P82)&gt;1,AND(AF82&lt;&gt;"",COUNTIF($AF$5:$AF$445,AF82)&gt;1)),"REVISAR_POSIBLE_DUPLICADO",""))</f>
        <v/>
      </c>
    </row>
    <row r="83">
      <c r="A83" s="17" t="inlineStr">
        <is>
          <t>a65bccde-3f9b-5d0f-80b1-13beab402930</t>
        </is>
      </c>
      <c r="B83" s="18" t="inlineStr">
        <is>
          <t>EXISTENTE</t>
        </is>
      </c>
      <c r="C83" s="18" t="inlineStr">
        <is>
          <t>ACTIVO</t>
        </is>
      </c>
      <c r="D83" s="18" t="n">
        <v>118</v>
      </c>
      <c r="E83" s="17" t="inlineStr">
        <is>
          <t>3e61fd34-044b-4322-978e-ebdd490da335</t>
        </is>
      </c>
      <c r="F83" s="17" t="inlineStr">
        <is>
          <t>PRB-FER-0066</t>
        </is>
      </c>
      <c r="G83" s="19" t="inlineStr">
        <is>
          <t>Pegante PVC 1/4 galón</t>
        </is>
      </c>
      <c r="H83" s="19" t="inlineStr">
        <is>
          <t>Plomería</t>
        </is>
      </c>
      <c r="I83" s="20" t="inlineStr">
        <is>
          <t>PlomeriPro</t>
        </is>
      </c>
      <c r="J83" s="20" t="inlineStr">
        <is>
          <t>1/4 galón</t>
        </is>
      </c>
      <c r="K83" s="21" t="inlineStr">
        <is>
          <t>Proveedor Prueba ConstruMateriales del Norte</t>
        </is>
      </c>
      <c r="L83" s="18" t="n">
        <v>10</v>
      </c>
      <c r="M83" s="22" t="n">
        <v>72000</v>
      </c>
      <c r="N83" s="22" t="n">
        <v>102000</v>
      </c>
      <c r="O83" s="23" t="n">
        <v>3</v>
      </c>
      <c r="P83" s="24" t="inlineStr">
        <is>
          <t>GALON</t>
        </is>
      </c>
      <c r="Q83" s="20" t="inlineStr">
        <is>
          <t>SI</t>
        </is>
      </c>
      <c r="R83" s="20" t="inlineStr">
        <is>
          <t>NO</t>
        </is>
      </c>
      <c r="S83" s="25" t="n">
        <v>1</v>
      </c>
      <c r="T83" s="20" t="inlineStr">
        <is>
          <t>NO</t>
        </is>
      </c>
      <c r="U83" s="20" t="inlineStr">
        <is>
          <t>Bodega de pruebas</t>
        </is>
      </c>
      <c r="V83" s="21" t="inlineStr">
        <is>
          <t>Producto ficticio de prueba para validacion de busquedas, inventario, ventas y compras en FERREPRO. No corresponde a inventario real.</t>
        </is>
      </c>
      <c r="W83" s="26" t="n">
        <v>5</v>
      </c>
      <c r="X83" s="27" t="n"/>
      <c r="Y83" s="20" t="n"/>
      <c r="Z83" s="20" t="n"/>
      <c r="AA83" s="26">
        <f>IF(X83="","",X83-IF(W83="",0,W83))</f>
        <v/>
      </c>
      <c r="AB83" s="28">
        <f>IF(OR(X83="",M83=""),"",X83*M83)</f>
        <v/>
      </c>
      <c r="AC83" s="28">
        <f>IF(OR(X83="",N83=""),"",X83*N83)</f>
        <v/>
      </c>
      <c r="AD83" s="28">
        <f>IF(OR(M83="",N83=""),"",N83-M83)</f>
        <v/>
      </c>
      <c r="AE83" s="29">
        <f>IFERROR(IF(M83&gt;0,(N83-M83)/M83,""),"")</f>
        <v/>
      </c>
      <c r="AF83" s="30" t="n"/>
      <c r="AG83" s="30" t="inlineStr">
        <is>
          <t>PENDIENTE</t>
        </is>
      </c>
      <c r="AH83" s="18">
        <f>IF(NOT(OR(B83="EXISTENTE",COUNTA(G83,H83,I83,J83,K83,M83,N83,U83,V83,X83,Y83,Z83,AF83,AJ83)&gt;0)),"",IF(AK83&lt;&gt;"","REVISAR",IF(OR(G83="",H83="",M83="",N83="",O83="",P83="",X83=""),"INCOMPLETO",IF(AI83&lt;&gt;"","REVISAR",IF(AND(AF83&lt;&gt;"",AG83="ESCANEADO"),"LISTO_COMPLETO","LISTO_SIN_BARCODE")))))</f>
        <v/>
      </c>
      <c r="AI83" s="17">
        <f>IF(NOT(OR(B83="EXISTENTE",COUNTA(G83,H83,I83,J83,K83,M83,N83,U83,V83,X83,Y83,Z83,AF83,AJ83)&gt;0)),"",TEXTJOIN(" | ",TRUE,IF(A83="","Falta ID staging",""),IF(COUNTIF($A$5:$A$445,A83)&gt;1,"ID staging duplicado",""),IF(G83="","Falta nombre",""),IF(LEN(G83)&gt;150,"Nombre &gt;150 caracteres",""),IF(H83="","Falta categoría",IF(COUNTIF(CategoriasLista,H83)=0,"Categoría inválida","")),IF(M83="","Falta precio compra",IF(OR(NOT(ISNUMBER(M83)),M83&lt;0),"Precio compra inválido","")),IF(N83="","Falta precio venta",IF(OR(NOT(ISNUMBER(N83)),N83&lt;=0,N83&lt;M83),"Precio venta inválido","")),IF(O83="","Falta stock mínimo",IF(OR(NOT(ISNUMBER(O83)),O83&lt;0,MOD(O83,1)&lt;&gt;0),"Stock mínimo inválido","")),IF(P83="","Falta unidad",IF(COUNTIF(UnidadesLista,P83)=0,"Unidad inválida","")),IF(AND(K83&lt;&gt;"",COUNTIF(ProveedoresLista,K83)=0),"Proveedor no catalogado",""),IF(X83="","Falta cantidad contada",IF(OR(NOT(ISNUMBER(X83)),X83&lt;0,ABS(X83*1000-ROUND(X83*1000,0))&gt;0.0000001),"Cantidad inválida",IF(AND(Q83="NO",MOD(X83,1)&lt;&gt;0),"Cantidad fraccionaria no permitida",""))),IF(AND(R83="SI",OR(NOT(ISNUMBER(S83)),S83&lt;1,MOD(S83,1)&lt;&gt;0)),"Empaque inválido",""),IF(OR(AND(AF83="",AG83="ESCANEADO"),AND(AF83&lt;&gt;"",AG83&lt;&gt;"ESCANEADO")),"Barcode/estado inconsistente",""),IF(AK83&lt;&gt;"",AK83,"")))</f>
        <v/>
      </c>
      <c r="AJ83" s="21" t="n"/>
      <c r="AK83" s="17">
        <f>IF(G83="","",IF(OR(COUNTIFS($G$5:$G$445,G83,$I$5:$I$445,I83,$J$5:$J$445,J83,$P$5:$P$445,P83)&gt;1,AND(AF83&lt;&gt;"",COUNTIF($AF$5:$AF$445,AF83)&gt;1)),"REVISAR_POSIBLE_DUPLICADO",""))</f>
        <v/>
      </c>
    </row>
    <row r="84">
      <c r="A84" s="17" t="inlineStr">
        <is>
          <t>d6ef52eb-d39e-5351-bb72-c7e53562bc7f</t>
        </is>
      </c>
      <c r="B84" s="18" t="inlineStr">
        <is>
          <t>EXISTENTE</t>
        </is>
      </c>
      <c r="C84" s="18" t="inlineStr">
        <is>
          <t>ACTIVO</t>
        </is>
      </c>
      <c r="D84" s="18" t="n">
        <v>119</v>
      </c>
      <c r="E84" s="17" t="inlineStr">
        <is>
          <t>a490a580-9190-4a6e-b7e8-b03f46c4a8dc</t>
        </is>
      </c>
      <c r="F84" s="17" t="inlineStr">
        <is>
          <t>PRB-FER-0067</t>
        </is>
      </c>
      <c r="G84" s="19" t="inlineStr">
        <is>
          <t>Cable eléctrico calibre 12</t>
        </is>
      </c>
      <c r="H84" s="19" t="inlineStr">
        <is>
          <t>Electricidad</t>
        </is>
      </c>
      <c r="I84" s="20" t="inlineStr">
        <is>
          <t>ElectroAndes</t>
        </is>
      </c>
      <c r="J84" s="20" t="inlineStr">
        <is>
          <t>Metro</t>
        </is>
      </c>
      <c r="K84" s="21" t="inlineStr">
        <is>
          <t>Proveedor Prueba Tornillos y Fijaciones Andinas</t>
        </is>
      </c>
      <c r="L84" s="18" t="n">
        <v>11</v>
      </c>
      <c r="M84" s="22" t="n">
        <v>5800</v>
      </c>
      <c r="N84" s="22" t="n">
        <v>8200</v>
      </c>
      <c r="O84" s="23" t="n">
        <v>45</v>
      </c>
      <c r="P84" s="24" t="inlineStr">
        <is>
          <t>METRO</t>
        </is>
      </c>
      <c r="Q84" s="20" t="inlineStr">
        <is>
          <t>SI</t>
        </is>
      </c>
      <c r="R84" s="20" t="inlineStr">
        <is>
          <t>NO</t>
        </is>
      </c>
      <c r="S84" s="25" t="n">
        <v>1</v>
      </c>
      <c r="T84" s="20" t="inlineStr">
        <is>
          <t>NO</t>
        </is>
      </c>
      <c r="U84" s="20" t="inlineStr">
        <is>
          <t>Bodega de pruebas</t>
        </is>
      </c>
      <c r="V84" s="21" t="inlineStr">
        <is>
          <t>Producto ficticio de prueba para validacion de busquedas, inventario, ventas y compras en FERREPRO. No corresponde a inventario real.</t>
        </is>
      </c>
      <c r="W84" s="26" t="n">
        <v>180</v>
      </c>
      <c r="X84" s="27" t="n"/>
      <c r="Y84" s="20" t="n"/>
      <c r="Z84" s="20" t="n"/>
      <c r="AA84" s="26">
        <f>IF(X84="","",X84-IF(W84="",0,W84))</f>
        <v/>
      </c>
      <c r="AB84" s="28">
        <f>IF(OR(X84="",M84=""),"",X84*M84)</f>
        <v/>
      </c>
      <c r="AC84" s="28">
        <f>IF(OR(X84="",N84=""),"",X84*N84)</f>
        <v/>
      </c>
      <c r="AD84" s="28">
        <f>IF(OR(M84="",N84=""),"",N84-M84)</f>
        <v/>
      </c>
      <c r="AE84" s="29">
        <f>IFERROR(IF(M84&gt;0,(N84-M84)/M84,""),"")</f>
        <v/>
      </c>
      <c r="AF84" s="30" t="n"/>
      <c r="AG84" s="30" t="inlineStr">
        <is>
          <t>PENDIENTE</t>
        </is>
      </c>
      <c r="AH84" s="18">
        <f>IF(NOT(OR(B84="EXISTENTE",COUNTA(G84,H84,I84,J84,K84,M84,N84,U84,V84,X84,Y84,Z84,AF84,AJ84)&gt;0)),"",IF(AK84&lt;&gt;"","REVISAR",IF(OR(G84="",H84="",M84="",N84="",O84="",P84="",X84=""),"INCOMPLETO",IF(AI84&lt;&gt;"","REVISAR",IF(AND(AF84&lt;&gt;"",AG84="ESCANEADO"),"LISTO_COMPLETO","LISTO_SIN_BARCODE")))))</f>
        <v/>
      </c>
      <c r="AI84" s="17">
        <f>IF(NOT(OR(B84="EXISTENTE",COUNTA(G84,H84,I84,J84,K84,M84,N84,U84,V84,X84,Y84,Z84,AF84,AJ84)&gt;0)),"",TEXTJOIN(" | ",TRUE,IF(A84="","Falta ID staging",""),IF(COUNTIF($A$5:$A$445,A84)&gt;1,"ID staging duplicado",""),IF(G84="","Falta nombre",""),IF(LEN(G84)&gt;150,"Nombre &gt;150 caracteres",""),IF(H84="","Falta categoría",IF(COUNTIF(CategoriasLista,H84)=0,"Categoría inválida","")),IF(M84="","Falta precio compra",IF(OR(NOT(ISNUMBER(M84)),M84&lt;0),"Precio compra inválido","")),IF(N84="","Falta precio venta",IF(OR(NOT(ISNUMBER(N84)),N84&lt;=0,N84&lt;M84),"Precio venta inválido","")),IF(O84="","Falta stock mínimo",IF(OR(NOT(ISNUMBER(O84)),O84&lt;0,MOD(O84,1)&lt;&gt;0),"Stock mínimo inválido","")),IF(P84="","Falta unidad",IF(COUNTIF(UnidadesLista,P84)=0,"Unidad inválida","")),IF(AND(K84&lt;&gt;"",COUNTIF(ProveedoresLista,K84)=0),"Proveedor no catalogado",""),IF(X84="","Falta cantidad contada",IF(OR(NOT(ISNUMBER(X84)),X84&lt;0,ABS(X84*1000-ROUND(X84*1000,0))&gt;0.0000001),"Cantidad inválida",IF(AND(Q84="NO",MOD(X84,1)&lt;&gt;0),"Cantidad fraccionaria no permitida",""))),IF(AND(R84="SI",OR(NOT(ISNUMBER(S84)),S84&lt;1,MOD(S84,1)&lt;&gt;0)),"Empaque inválido",""),IF(OR(AND(AF84="",AG84="ESCANEADO"),AND(AF84&lt;&gt;"",AG84&lt;&gt;"ESCANEADO")),"Barcode/estado inconsistente",""),IF(AK84&lt;&gt;"",AK84,"")))</f>
        <v/>
      </c>
      <c r="AJ84" s="21" t="n"/>
      <c r="AK84" s="17">
        <f>IF(G84="","",IF(OR(COUNTIFS($G$5:$G$445,G84,$I$5:$I$445,I84,$J$5:$J$445,J84,$P$5:$P$445,P84)&gt;1,AND(AF84&lt;&gt;"",COUNTIF($AF$5:$AF$445,AF84)&gt;1)),"REVISAR_POSIBLE_DUPLICADO",""))</f>
        <v/>
      </c>
    </row>
    <row r="85">
      <c r="A85" s="17" t="inlineStr">
        <is>
          <t>0130a456-25cc-5744-a511-f8a29c27571a</t>
        </is>
      </c>
      <c r="B85" s="18" t="inlineStr">
        <is>
          <t>EXISTENTE</t>
        </is>
      </c>
      <c r="C85" s="18" t="inlineStr">
        <is>
          <t>ACTIVO</t>
        </is>
      </c>
      <c r="D85" s="18" t="n">
        <v>120</v>
      </c>
      <c r="E85" s="17" t="inlineStr">
        <is>
          <t>6797ecbb-9c98-400f-bc95-ddbd1df1e69c</t>
        </is>
      </c>
      <c r="F85" s="17" t="inlineStr">
        <is>
          <t>PRB-FER-0068</t>
        </is>
      </c>
      <c r="G85" s="19" t="inlineStr">
        <is>
          <t>Cable eléctrico calibre 14</t>
        </is>
      </c>
      <c r="H85" s="19" t="inlineStr">
        <is>
          <t>Electricidad</t>
        </is>
      </c>
      <c r="I85" s="20" t="inlineStr">
        <is>
          <t>ElectroAndes</t>
        </is>
      </c>
      <c r="J85" s="20" t="inlineStr">
        <is>
          <t>Metro</t>
        </is>
      </c>
      <c r="K85" s="21" t="inlineStr">
        <is>
          <t>Proveedor Prueba Eléctricos Colombia</t>
        </is>
      </c>
      <c r="L85" s="18" t="n">
        <v>12</v>
      </c>
      <c r="M85" s="22" t="n">
        <v>4300</v>
      </c>
      <c r="N85" s="22" t="n">
        <v>6100</v>
      </c>
      <c r="O85" s="23" t="n">
        <v>50</v>
      </c>
      <c r="P85" s="24" t="inlineStr">
        <is>
          <t>METRO</t>
        </is>
      </c>
      <c r="Q85" s="20" t="inlineStr">
        <is>
          <t>SI</t>
        </is>
      </c>
      <c r="R85" s="20" t="inlineStr">
        <is>
          <t>NO</t>
        </is>
      </c>
      <c r="S85" s="25" t="n">
        <v>1</v>
      </c>
      <c r="T85" s="20" t="inlineStr">
        <is>
          <t>NO</t>
        </is>
      </c>
      <c r="U85" s="20" t="inlineStr">
        <is>
          <t>Bodega de pruebas</t>
        </is>
      </c>
      <c r="V85" s="21" t="inlineStr">
        <is>
          <t>Producto ficticio de prueba para validacion de busquedas, inventario, ventas y compras en FERREPRO. No corresponde a inventario real.</t>
        </is>
      </c>
      <c r="W85" s="26" t="n">
        <v>200</v>
      </c>
      <c r="X85" s="27" t="n"/>
      <c r="Y85" s="20" t="n"/>
      <c r="Z85" s="20" t="n"/>
      <c r="AA85" s="26">
        <f>IF(X85="","",X85-IF(W85="",0,W85))</f>
        <v/>
      </c>
      <c r="AB85" s="28">
        <f>IF(OR(X85="",M85=""),"",X85*M85)</f>
        <v/>
      </c>
      <c r="AC85" s="28">
        <f>IF(OR(X85="",N85=""),"",X85*N85)</f>
        <v/>
      </c>
      <c r="AD85" s="28">
        <f>IF(OR(M85="",N85=""),"",N85-M85)</f>
        <v/>
      </c>
      <c r="AE85" s="29">
        <f>IFERROR(IF(M85&gt;0,(N85-M85)/M85,""),"")</f>
        <v/>
      </c>
      <c r="AF85" s="30" t="n"/>
      <c r="AG85" s="30" t="inlineStr">
        <is>
          <t>PENDIENTE</t>
        </is>
      </c>
      <c r="AH85" s="18">
        <f>IF(NOT(OR(B85="EXISTENTE",COUNTA(G85,H85,I85,J85,K85,M85,N85,U85,V85,X85,Y85,Z85,AF85,AJ85)&gt;0)),"",IF(AK85&lt;&gt;"","REVISAR",IF(OR(G85="",H85="",M85="",N85="",O85="",P85="",X85=""),"INCOMPLETO",IF(AI85&lt;&gt;"","REVISAR",IF(AND(AF85&lt;&gt;"",AG85="ESCANEADO"),"LISTO_COMPLETO","LISTO_SIN_BARCODE")))))</f>
        <v/>
      </c>
      <c r="AI85" s="17">
        <f>IF(NOT(OR(B85="EXISTENTE",COUNTA(G85,H85,I85,J85,K85,M85,N85,U85,V85,X85,Y85,Z85,AF85,AJ85)&gt;0)),"",TEXTJOIN(" | ",TRUE,IF(A85="","Falta ID staging",""),IF(COUNTIF($A$5:$A$445,A85)&gt;1,"ID staging duplicado",""),IF(G85="","Falta nombre",""),IF(LEN(G85)&gt;150,"Nombre &gt;150 caracteres",""),IF(H85="","Falta categoría",IF(COUNTIF(CategoriasLista,H85)=0,"Categoría inválida","")),IF(M85="","Falta precio compra",IF(OR(NOT(ISNUMBER(M85)),M85&lt;0),"Precio compra inválido","")),IF(N85="","Falta precio venta",IF(OR(NOT(ISNUMBER(N85)),N85&lt;=0,N85&lt;M85),"Precio venta inválido","")),IF(O85="","Falta stock mínimo",IF(OR(NOT(ISNUMBER(O85)),O85&lt;0,MOD(O85,1)&lt;&gt;0),"Stock mínimo inválido","")),IF(P85="","Falta unidad",IF(COUNTIF(UnidadesLista,P85)=0,"Unidad inválida","")),IF(AND(K85&lt;&gt;"",COUNTIF(ProveedoresLista,K85)=0),"Proveedor no catalogado",""),IF(X85="","Falta cantidad contada",IF(OR(NOT(ISNUMBER(X85)),X85&lt;0,ABS(X85*1000-ROUND(X85*1000,0))&gt;0.0000001),"Cantidad inválida",IF(AND(Q85="NO",MOD(X85,1)&lt;&gt;0),"Cantidad fraccionaria no permitida",""))),IF(AND(R85="SI",OR(NOT(ISNUMBER(S85)),S85&lt;1,MOD(S85,1)&lt;&gt;0)),"Empaque inválido",""),IF(OR(AND(AF85="",AG85="ESCANEADO"),AND(AF85&lt;&gt;"",AG85&lt;&gt;"ESCANEADO")),"Barcode/estado inconsistente",""),IF(AK85&lt;&gt;"",AK85,"")))</f>
        <v/>
      </c>
      <c r="AJ85" s="21" t="n"/>
      <c r="AK85" s="17">
        <f>IF(G85="","",IF(OR(COUNTIFS($G$5:$G$445,G85,$I$5:$I$445,I85,$J$5:$J$445,J85,$P$5:$P$445,P85)&gt;1,AND(AF85&lt;&gt;"",COUNTIF($AF$5:$AF$445,AF85)&gt;1)),"REVISAR_POSIBLE_DUPLICADO",""))</f>
        <v/>
      </c>
    </row>
    <row r="86">
      <c r="A86" s="17" t="inlineStr">
        <is>
          <t>b13f5a1c-7b6f-5fb2-85ba-04835d5ddc68</t>
        </is>
      </c>
      <c r="B86" s="18" t="inlineStr">
        <is>
          <t>EXISTENTE</t>
        </is>
      </c>
      <c r="C86" s="18" t="inlineStr">
        <is>
          <t>ACTIVO</t>
        </is>
      </c>
      <c r="D86" s="18" t="n">
        <v>121</v>
      </c>
      <c r="E86" s="17" t="inlineStr">
        <is>
          <t>049b32aa-284e-4762-a618-c696fb01440d</t>
        </is>
      </c>
      <c r="F86" s="17" t="inlineStr">
        <is>
          <t>PRB-FER-0069</t>
        </is>
      </c>
      <c r="G86" s="19" t="inlineStr">
        <is>
          <t>Tomacorriente doble blanco</t>
        </is>
      </c>
      <c r="H86" s="19" t="inlineStr">
        <is>
          <t>Electricidad</t>
        </is>
      </c>
      <c r="I86" s="20" t="inlineStr">
        <is>
          <t>ElectroAndes</t>
        </is>
      </c>
      <c r="J86" s="20" t="inlineStr">
        <is>
          <t>Unidad</t>
        </is>
      </c>
      <c r="K86" s="21" t="inlineStr">
        <is>
          <t>Proveedor Prueba Pinturas y Acabados</t>
        </is>
      </c>
      <c r="L86" s="18" t="n">
        <v>13</v>
      </c>
      <c r="M86" s="22" t="n">
        <v>6200</v>
      </c>
      <c r="N86" s="22" t="n">
        <v>8800</v>
      </c>
      <c r="O86" s="23" t="n">
        <v>17</v>
      </c>
      <c r="P86" s="24" t="inlineStr">
        <is>
          <t>UNIDAD</t>
        </is>
      </c>
      <c r="Q86" s="20" t="inlineStr">
        <is>
          <t>NO</t>
        </is>
      </c>
      <c r="R86" s="20" t="inlineStr">
        <is>
          <t>NO</t>
        </is>
      </c>
      <c r="S86" s="25" t="n">
        <v>1</v>
      </c>
      <c r="T86" s="20" t="inlineStr">
        <is>
          <t>NO</t>
        </is>
      </c>
      <c r="U86" s="20" t="inlineStr">
        <is>
          <t>Bodega de pruebas</t>
        </is>
      </c>
      <c r="V86" s="21" t="inlineStr">
        <is>
          <t>Producto ficticio de prueba para validacion de busquedas, inventario, ventas y compras en FERREPRO. No corresponde a inventario real.</t>
        </is>
      </c>
      <c r="W86" s="26" t="n">
        <v>70</v>
      </c>
      <c r="X86" s="27" t="n"/>
      <c r="Y86" s="20" t="n"/>
      <c r="Z86" s="20" t="n"/>
      <c r="AA86" s="26">
        <f>IF(X86="","",X86-IF(W86="",0,W86))</f>
        <v/>
      </c>
      <c r="AB86" s="28">
        <f>IF(OR(X86="",M86=""),"",X86*M86)</f>
        <v/>
      </c>
      <c r="AC86" s="28">
        <f>IF(OR(X86="",N86=""),"",X86*N86)</f>
        <v/>
      </c>
      <c r="AD86" s="28">
        <f>IF(OR(M86="",N86=""),"",N86-M86)</f>
        <v/>
      </c>
      <c r="AE86" s="29">
        <f>IFERROR(IF(M86&gt;0,(N86-M86)/M86,""),"")</f>
        <v/>
      </c>
      <c r="AF86" s="30" t="n"/>
      <c r="AG86" s="30" t="inlineStr">
        <is>
          <t>PENDIENTE</t>
        </is>
      </c>
      <c r="AH86" s="18">
        <f>IF(NOT(OR(B86="EXISTENTE",COUNTA(G86,H86,I86,J86,K86,M86,N86,U86,V86,X86,Y86,Z86,AF86,AJ86)&gt;0)),"",IF(AK86&lt;&gt;"","REVISAR",IF(OR(G86="",H86="",M86="",N86="",O86="",P86="",X86=""),"INCOMPLETO",IF(AI86&lt;&gt;"","REVISAR",IF(AND(AF86&lt;&gt;"",AG86="ESCANEADO"),"LISTO_COMPLETO","LISTO_SIN_BARCODE")))))</f>
        <v/>
      </c>
      <c r="AI86" s="17">
        <f>IF(NOT(OR(B86="EXISTENTE",COUNTA(G86,H86,I86,J86,K86,M86,N86,U86,V86,X86,Y86,Z86,AF86,AJ86)&gt;0)),"",TEXTJOIN(" | ",TRUE,IF(A86="","Falta ID staging",""),IF(COUNTIF($A$5:$A$445,A86)&gt;1,"ID staging duplicado",""),IF(G86="","Falta nombre",""),IF(LEN(G86)&gt;150,"Nombre &gt;150 caracteres",""),IF(H86="","Falta categoría",IF(COUNTIF(CategoriasLista,H86)=0,"Categoría inválida","")),IF(M86="","Falta precio compra",IF(OR(NOT(ISNUMBER(M86)),M86&lt;0),"Precio compra inválido","")),IF(N86="","Falta precio venta",IF(OR(NOT(ISNUMBER(N86)),N86&lt;=0,N86&lt;M86),"Precio venta inválido","")),IF(O86="","Falta stock mínimo",IF(OR(NOT(ISNUMBER(O86)),O86&lt;0,MOD(O86,1)&lt;&gt;0),"Stock mínimo inválido","")),IF(P86="","Falta unidad",IF(COUNTIF(UnidadesLista,P86)=0,"Unidad inválida","")),IF(AND(K86&lt;&gt;"",COUNTIF(ProveedoresLista,K86)=0),"Proveedor no catalogado",""),IF(X86="","Falta cantidad contada",IF(OR(NOT(ISNUMBER(X86)),X86&lt;0,ABS(X86*1000-ROUND(X86*1000,0))&gt;0.0000001),"Cantidad inválida",IF(AND(Q86="NO",MOD(X86,1)&lt;&gt;0),"Cantidad fraccionaria no permitida",""))),IF(AND(R86="SI",OR(NOT(ISNUMBER(S86)),S86&lt;1,MOD(S86,1)&lt;&gt;0)),"Empaque inválido",""),IF(OR(AND(AF86="",AG86="ESCANEADO"),AND(AF86&lt;&gt;"",AG86&lt;&gt;"ESCANEADO")),"Barcode/estado inconsistente",""),IF(AK86&lt;&gt;"",AK86,"")))</f>
        <v/>
      </c>
      <c r="AJ86" s="21" t="n"/>
      <c r="AK86" s="17">
        <f>IF(G86="","",IF(OR(COUNTIFS($G$5:$G$445,G86,$I$5:$I$445,I86,$J$5:$J$445,J86,$P$5:$P$445,P86)&gt;1,AND(AF86&lt;&gt;"",COUNTIF($AF$5:$AF$445,AF86)&gt;1)),"REVISAR_POSIBLE_DUPLICADO",""))</f>
        <v/>
      </c>
    </row>
    <row r="87">
      <c r="A87" s="17" t="inlineStr">
        <is>
          <t>cf49e0a1-43d2-5dcc-89b7-6f13a8833f63</t>
        </is>
      </c>
      <c r="B87" s="18" t="inlineStr">
        <is>
          <t>EXISTENTE</t>
        </is>
      </c>
      <c r="C87" s="18" t="inlineStr">
        <is>
          <t>ACTIVO</t>
        </is>
      </c>
      <c r="D87" s="18" t="n">
        <v>122</v>
      </c>
      <c r="E87" s="17" t="inlineStr">
        <is>
          <t>0c473119-7b06-4e39-9c5c-8e62e4ee580f</t>
        </is>
      </c>
      <c r="F87" s="17" t="inlineStr">
        <is>
          <t>PRB-FER-0070</t>
        </is>
      </c>
      <c r="G87" s="19" t="inlineStr">
        <is>
          <t>Interruptor sencillo blanco</t>
        </is>
      </c>
      <c r="H87" s="19" t="inlineStr">
        <is>
          <t>Electricidad</t>
        </is>
      </c>
      <c r="I87" s="20" t="inlineStr">
        <is>
          <t>ElectroAndes</t>
        </is>
      </c>
      <c r="J87" s="20" t="inlineStr">
        <is>
          <t>Unidad</t>
        </is>
      </c>
      <c r="K87" s="21" t="inlineStr">
        <is>
          <t>Proveedor Prueba Herramientas Industriales</t>
        </is>
      </c>
      <c r="L87" s="18" t="n">
        <v>14</v>
      </c>
      <c r="M87" s="22" t="n">
        <v>4800</v>
      </c>
      <c r="N87" s="22" t="n">
        <v>6800</v>
      </c>
      <c r="O87" s="23" t="n">
        <v>18</v>
      </c>
      <c r="P87" s="24" t="inlineStr">
        <is>
          <t>UNIDAD</t>
        </is>
      </c>
      <c r="Q87" s="20" t="inlineStr">
        <is>
          <t>NO</t>
        </is>
      </c>
      <c r="R87" s="20" t="inlineStr">
        <is>
          <t>NO</t>
        </is>
      </c>
      <c r="S87" s="25" t="n">
        <v>1</v>
      </c>
      <c r="T87" s="20" t="inlineStr">
        <is>
          <t>NO</t>
        </is>
      </c>
      <c r="U87" s="20" t="inlineStr">
        <is>
          <t>Bodega de pruebas</t>
        </is>
      </c>
      <c r="V87" s="21" t="inlineStr">
        <is>
          <t>Producto ficticio de prueba para validacion de busquedas, inventario, ventas y compras en FERREPRO. No corresponde a inventario real.</t>
        </is>
      </c>
      <c r="W87" s="26" t="n">
        <v>75</v>
      </c>
      <c r="X87" s="27" t="n"/>
      <c r="Y87" s="20" t="n"/>
      <c r="Z87" s="20" t="n"/>
      <c r="AA87" s="26">
        <f>IF(X87="","",X87-IF(W87="",0,W87))</f>
        <v/>
      </c>
      <c r="AB87" s="28">
        <f>IF(OR(X87="",M87=""),"",X87*M87)</f>
        <v/>
      </c>
      <c r="AC87" s="28">
        <f>IF(OR(X87="",N87=""),"",X87*N87)</f>
        <v/>
      </c>
      <c r="AD87" s="28">
        <f>IF(OR(M87="",N87=""),"",N87-M87)</f>
        <v/>
      </c>
      <c r="AE87" s="29">
        <f>IFERROR(IF(M87&gt;0,(N87-M87)/M87,""),"")</f>
        <v/>
      </c>
      <c r="AF87" s="30" t="n"/>
      <c r="AG87" s="30" t="inlineStr">
        <is>
          <t>PENDIENTE</t>
        </is>
      </c>
      <c r="AH87" s="18">
        <f>IF(NOT(OR(B87="EXISTENTE",COUNTA(G87,H87,I87,J87,K87,M87,N87,U87,V87,X87,Y87,Z87,AF87,AJ87)&gt;0)),"",IF(AK87&lt;&gt;"","REVISAR",IF(OR(G87="",H87="",M87="",N87="",O87="",P87="",X87=""),"INCOMPLETO",IF(AI87&lt;&gt;"","REVISAR",IF(AND(AF87&lt;&gt;"",AG87="ESCANEADO"),"LISTO_COMPLETO","LISTO_SIN_BARCODE")))))</f>
        <v/>
      </c>
      <c r="AI87" s="17">
        <f>IF(NOT(OR(B87="EXISTENTE",COUNTA(G87,H87,I87,J87,K87,M87,N87,U87,V87,X87,Y87,Z87,AF87,AJ87)&gt;0)),"",TEXTJOIN(" | ",TRUE,IF(A87="","Falta ID staging",""),IF(COUNTIF($A$5:$A$445,A87)&gt;1,"ID staging duplicado",""),IF(G87="","Falta nombre",""),IF(LEN(G87)&gt;150,"Nombre &gt;150 caracteres",""),IF(H87="","Falta categoría",IF(COUNTIF(CategoriasLista,H87)=0,"Categoría inválida","")),IF(M87="","Falta precio compra",IF(OR(NOT(ISNUMBER(M87)),M87&lt;0),"Precio compra inválido","")),IF(N87="","Falta precio venta",IF(OR(NOT(ISNUMBER(N87)),N87&lt;=0,N87&lt;M87),"Precio venta inválido","")),IF(O87="","Falta stock mínimo",IF(OR(NOT(ISNUMBER(O87)),O87&lt;0,MOD(O87,1)&lt;&gt;0),"Stock mínimo inválido","")),IF(P87="","Falta unidad",IF(COUNTIF(UnidadesLista,P87)=0,"Unidad inválida","")),IF(AND(K87&lt;&gt;"",COUNTIF(ProveedoresLista,K87)=0),"Proveedor no catalogado",""),IF(X87="","Falta cantidad contada",IF(OR(NOT(ISNUMBER(X87)),X87&lt;0,ABS(X87*1000-ROUND(X87*1000,0))&gt;0.0000001),"Cantidad inválida",IF(AND(Q87="NO",MOD(X87,1)&lt;&gt;0),"Cantidad fraccionaria no permitida",""))),IF(AND(R87="SI",OR(NOT(ISNUMBER(S87)),S87&lt;1,MOD(S87,1)&lt;&gt;0)),"Empaque inválido",""),IF(OR(AND(AF87="",AG87="ESCANEADO"),AND(AF87&lt;&gt;"",AG87&lt;&gt;"ESCANEADO")),"Barcode/estado inconsistente",""),IF(AK87&lt;&gt;"",AK87,"")))</f>
        <v/>
      </c>
      <c r="AJ87" s="21" t="n"/>
      <c r="AK87" s="17">
        <f>IF(G87="","",IF(OR(COUNTIFS($G$5:$G$445,G87,$I$5:$I$445,I87,$J$5:$J$445,J87,$P$5:$P$445,P87)&gt;1,AND(AF87&lt;&gt;"",COUNTIF($AF$5:$AF$445,AF87)&gt;1)),"REVISAR_POSIBLE_DUPLICADO",""))</f>
        <v/>
      </c>
    </row>
    <row r="88">
      <c r="A88" s="17" t="inlineStr">
        <is>
          <t>2160d60c-b699-5090-9ab0-968000ea3cb7</t>
        </is>
      </c>
      <c r="B88" s="18" t="inlineStr">
        <is>
          <t>EXISTENTE</t>
        </is>
      </c>
      <c r="C88" s="18" t="inlineStr">
        <is>
          <t>ACTIVO</t>
        </is>
      </c>
      <c r="D88" s="18" t="n">
        <v>123</v>
      </c>
      <c r="E88" s="17" t="inlineStr">
        <is>
          <t>656f16ea-c2ac-43c6-8ecf-61e1d55d7a06</t>
        </is>
      </c>
      <c r="F88" s="17" t="inlineStr">
        <is>
          <t>PRB-FER-0071</t>
        </is>
      </c>
      <c r="G88" s="19" t="inlineStr">
        <is>
          <t>Breaker monopolar 20A</t>
        </is>
      </c>
      <c r="H88" s="19" t="inlineStr">
        <is>
          <t>Electricidad</t>
        </is>
      </c>
      <c r="I88" s="20" t="inlineStr">
        <is>
          <t>ElectroAndes</t>
        </is>
      </c>
      <c r="J88" s="20" t="inlineStr">
        <is>
          <t>Unidad</t>
        </is>
      </c>
      <c r="K88" s="21" t="inlineStr">
        <is>
          <t>Proveedor Prueba Plomería Nacional</t>
        </is>
      </c>
      <c r="L88" s="18" t="n">
        <v>15</v>
      </c>
      <c r="M88" s="22" t="n">
        <v>13500</v>
      </c>
      <c r="N88" s="22" t="n">
        <v>19000</v>
      </c>
      <c r="O88" s="23" t="n">
        <v>8</v>
      </c>
      <c r="P88" s="24" t="inlineStr">
        <is>
          <t>UNIDAD</t>
        </is>
      </c>
      <c r="Q88" s="20" t="inlineStr">
        <is>
          <t>NO</t>
        </is>
      </c>
      <c r="R88" s="20" t="inlineStr">
        <is>
          <t>NO</t>
        </is>
      </c>
      <c r="S88" s="25" t="n">
        <v>1</v>
      </c>
      <c r="T88" s="20" t="inlineStr">
        <is>
          <t>NO</t>
        </is>
      </c>
      <c r="U88" s="20" t="inlineStr">
        <is>
          <t>Bodega de pruebas</t>
        </is>
      </c>
      <c r="V88" s="21" t="inlineStr">
        <is>
          <t>Producto ficticio de prueba para validacion de busquedas, inventario, ventas y compras en FERREPRO. No corresponde a inventario real.</t>
        </is>
      </c>
      <c r="W88" s="26" t="n">
        <v>35</v>
      </c>
      <c r="X88" s="27" t="n"/>
      <c r="Y88" s="20" t="n"/>
      <c r="Z88" s="20" t="n"/>
      <c r="AA88" s="26">
        <f>IF(X88="","",X88-IF(W88="",0,W88))</f>
        <v/>
      </c>
      <c r="AB88" s="28">
        <f>IF(OR(X88="",M88=""),"",X88*M88)</f>
        <v/>
      </c>
      <c r="AC88" s="28">
        <f>IF(OR(X88="",N88=""),"",X88*N88)</f>
        <v/>
      </c>
      <c r="AD88" s="28">
        <f>IF(OR(M88="",N88=""),"",N88-M88)</f>
        <v/>
      </c>
      <c r="AE88" s="29">
        <f>IFERROR(IF(M88&gt;0,(N88-M88)/M88,""),"")</f>
        <v/>
      </c>
      <c r="AF88" s="30" t="n"/>
      <c r="AG88" s="30" t="inlineStr">
        <is>
          <t>PENDIENTE</t>
        </is>
      </c>
      <c r="AH88" s="18">
        <f>IF(NOT(OR(B88="EXISTENTE",COUNTA(G88,H88,I88,J88,K88,M88,N88,U88,V88,X88,Y88,Z88,AF88,AJ88)&gt;0)),"",IF(AK88&lt;&gt;"","REVISAR",IF(OR(G88="",H88="",M88="",N88="",O88="",P88="",X88=""),"INCOMPLETO",IF(AI88&lt;&gt;"","REVISAR",IF(AND(AF88&lt;&gt;"",AG88="ESCANEADO"),"LISTO_COMPLETO","LISTO_SIN_BARCODE")))))</f>
        <v/>
      </c>
      <c r="AI88" s="17">
        <f>IF(NOT(OR(B88="EXISTENTE",COUNTA(G88,H88,I88,J88,K88,M88,N88,U88,V88,X88,Y88,Z88,AF88,AJ88)&gt;0)),"",TEXTJOIN(" | ",TRUE,IF(A88="","Falta ID staging",""),IF(COUNTIF($A$5:$A$445,A88)&gt;1,"ID staging duplicado",""),IF(G88="","Falta nombre",""),IF(LEN(G88)&gt;150,"Nombre &gt;150 caracteres",""),IF(H88="","Falta categoría",IF(COUNTIF(CategoriasLista,H88)=0,"Categoría inválida","")),IF(M88="","Falta precio compra",IF(OR(NOT(ISNUMBER(M88)),M88&lt;0),"Precio compra inválido","")),IF(N88="","Falta precio venta",IF(OR(NOT(ISNUMBER(N88)),N88&lt;=0,N88&lt;M88),"Precio venta inválido","")),IF(O88="","Falta stock mínimo",IF(OR(NOT(ISNUMBER(O88)),O88&lt;0,MOD(O88,1)&lt;&gt;0),"Stock mínimo inválido","")),IF(P88="","Falta unidad",IF(COUNTIF(UnidadesLista,P88)=0,"Unidad inválida","")),IF(AND(K88&lt;&gt;"",COUNTIF(ProveedoresLista,K88)=0),"Proveedor no catalogado",""),IF(X88="","Falta cantidad contada",IF(OR(NOT(ISNUMBER(X88)),X88&lt;0,ABS(X88*1000-ROUND(X88*1000,0))&gt;0.0000001),"Cantidad inválida",IF(AND(Q88="NO",MOD(X88,1)&lt;&gt;0),"Cantidad fraccionaria no permitida",""))),IF(AND(R88="SI",OR(NOT(ISNUMBER(S88)),S88&lt;1,MOD(S88,1)&lt;&gt;0)),"Empaque inválido",""),IF(OR(AND(AF88="",AG88="ESCANEADO"),AND(AF88&lt;&gt;"",AG88&lt;&gt;"ESCANEADO")),"Barcode/estado inconsistente",""),IF(AK88&lt;&gt;"",AK88,"")))</f>
        <v/>
      </c>
      <c r="AJ88" s="21" t="n"/>
      <c r="AK88" s="17">
        <f>IF(G88="","",IF(OR(COUNTIFS($G$5:$G$445,G88,$I$5:$I$445,I88,$J$5:$J$445,J88,$P$5:$P$445,P88)&gt;1,AND(AF88&lt;&gt;"",COUNTIF($AF$5:$AF$445,AF88)&gt;1)),"REVISAR_POSIBLE_DUPLICADO",""))</f>
        <v/>
      </c>
    </row>
    <row r="89">
      <c r="A89" s="17" t="inlineStr">
        <is>
          <t>0a5f9efa-770d-5f50-9740-23657a3bfb7e</t>
        </is>
      </c>
      <c r="B89" s="18" t="inlineStr">
        <is>
          <t>EXISTENTE</t>
        </is>
      </c>
      <c r="C89" s="18" t="inlineStr">
        <is>
          <t>ACTIVO</t>
        </is>
      </c>
      <c r="D89" s="18" t="n">
        <v>124</v>
      </c>
      <c r="E89" s="17" t="inlineStr">
        <is>
          <t>2bef9f4c-0686-4370-b1e9-7c89c96182b6</t>
        </is>
      </c>
      <c r="F89" s="17" t="inlineStr">
        <is>
          <t>PRB-FER-0072</t>
        </is>
      </c>
      <c r="G89" s="19" t="inlineStr">
        <is>
          <t>Breaker monopolar 30A</t>
        </is>
      </c>
      <c r="H89" s="19" t="inlineStr">
        <is>
          <t>Electricidad</t>
        </is>
      </c>
      <c r="I89" s="20" t="inlineStr">
        <is>
          <t>ElectroAndes</t>
        </is>
      </c>
      <c r="J89" s="20" t="inlineStr">
        <is>
          <t>Unidad</t>
        </is>
      </c>
      <c r="K89" s="21" t="inlineStr">
        <is>
          <t>Proveedor Prueba Seguridad y Protección</t>
        </is>
      </c>
      <c r="L89" s="18" t="n">
        <v>16</v>
      </c>
      <c r="M89" s="22" t="n">
        <v>14500</v>
      </c>
      <c r="N89" s="22" t="n">
        <v>20500</v>
      </c>
      <c r="O89" s="23" t="n">
        <v>7</v>
      </c>
      <c r="P89" s="24" t="inlineStr">
        <is>
          <t>UNIDAD</t>
        </is>
      </c>
      <c r="Q89" s="20" t="inlineStr">
        <is>
          <t>NO</t>
        </is>
      </c>
      <c r="R89" s="20" t="inlineStr">
        <is>
          <t>NO</t>
        </is>
      </c>
      <c r="S89" s="25" t="n">
        <v>1</v>
      </c>
      <c r="T89" s="20" t="inlineStr">
        <is>
          <t>NO</t>
        </is>
      </c>
      <c r="U89" s="20" t="inlineStr">
        <is>
          <t>Bodega de pruebas</t>
        </is>
      </c>
      <c r="V89" s="21" t="inlineStr">
        <is>
          <t>Producto ficticio de prueba para validacion de busquedas, inventario, ventas y compras en FERREPRO. No corresponde a inventario real.</t>
        </is>
      </c>
      <c r="W89" s="26" t="n">
        <v>30</v>
      </c>
      <c r="X89" s="27" t="n"/>
      <c r="Y89" s="20" t="n"/>
      <c r="Z89" s="20" t="n"/>
      <c r="AA89" s="26">
        <f>IF(X89="","",X89-IF(W89="",0,W89))</f>
        <v/>
      </c>
      <c r="AB89" s="28">
        <f>IF(OR(X89="",M89=""),"",X89*M89)</f>
        <v/>
      </c>
      <c r="AC89" s="28">
        <f>IF(OR(X89="",N89=""),"",X89*N89)</f>
        <v/>
      </c>
      <c r="AD89" s="28">
        <f>IF(OR(M89="",N89=""),"",N89-M89)</f>
        <v/>
      </c>
      <c r="AE89" s="29">
        <f>IFERROR(IF(M89&gt;0,(N89-M89)/M89,""),"")</f>
        <v/>
      </c>
      <c r="AF89" s="30" t="n"/>
      <c r="AG89" s="30" t="inlineStr">
        <is>
          <t>PENDIENTE</t>
        </is>
      </c>
      <c r="AH89" s="18">
        <f>IF(NOT(OR(B89="EXISTENTE",COUNTA(G89,H89,I89,J89,K89,M89,N89,U89,V89,X89,Y89,Z89,AF89,AJ89)&gt;0)),"",IF(AK89&lt;&gt;"","REVISAR",IF(OR(G89="",H89="",M89="",N89="",O89="",P89="",X89=""),"INCOMPLETO",IF(AI89&lt;&gt;"","REVISAR",IF(AND(AF89&lt;&gt;"",AG89="ESCANEADO"),"LISTO_COMPLETO","LISTO_SIN_BARCODE")))))</f>
        <v/>
      </c>
      <c r="AI89" s="17">
        <f>IF(NOT(OR(B89="EXISTENTE",COUNTA(G89,H89,I89,J89,K89,M89,N89,U89,V89,X89,Y89,Z89,AF89,AJ89)&gt;0)),"",TEXTJOIN(" | ",TRUE,IF(A89="","Falta ID staging",""),IF(COUNTIF($A$5:$A$445,A89)&gt;1,"ID staging duplicado",""),IF(G89="","Falta nombre",""),IF(LEN(G89)&gt;150,"Nombre &gt;150 caracteres",""),IF(H89="","Falta categoría",IF(COUNTIF(CategoriasLista,H89)=0,"Categoría inválida","")),IF(M89="","Falta precio compra",IF(OR(NOT(ISNUMBER(M89)),M89&lt;0),"Precio compra inválido","")),IF(N89="","Falta precio venta",IF(OR(NOT(ISNUMBER(N89)),N89&lt;=0,N89&lt;M89),"Precio venta inválido","")),IF(O89="","Falta stock mínimo",IF(OR(NOT(ISNUMBER(O89)),O89&lt;0,MOD(O89,1)&lt;&gt;0),"Stock mínimo inválido","")),IF(P89="","Falta unidad",IF(COUNTIF(UnidadesLista,P89)=0,"Unidad inválida","")),IF(AND(K89&lt;&gt;"",COUNTIF(ProveedoresLista,K89)=0),"Proveedor no catalogado",""),IF(X89="","Falta cantidad contada",IF(OR(NOT(ISNUMBER(X89)),X89&lt;0,ABS(X89*1000-ROUND(X89*1000,0))&gt;0.0000001),"Cantidad inválida",IF(AND(Q89="NO",MOD(X89,1)&lt;&gt;0),"Cantidad fraccionaria no permitida",""))),IF(AND(R89="SI",OR(NOT(ISNUMBER(S89)),S89&lt;1,MOD(S89,1)&lt;&gt;0)),"Empaque inválido",""),IF(OR(AND(AF89="",AG89="ESCANEADO"),AND(AF89&lt;&gt;"",AG89&lt;&gt;"ESCANEADO")),"Barcode/estado inconsistente",""),IF(AK89&lt;&gt;"",AK89,"")))</f>
        <v/>
      </c>
      <c r="AJ89" s="21" t="n"/>
      <c r="AK89" s="17">
        <f>IF(G89="","",IF(OR(COUNTIFS($G$5:$G$445,G89,$I$5:$I$445,I89,$J$5:$J$445,J89,$P$5:$P$445,P89)&gt;1,AND(AF89&lt;&gt;"",COUNTIF($AF$5:$AF$445,AF89)&gt;1)),"REVISAR_POSIBLE_DUPLICADO",""))</f>
        <v/>
      </c>
    </row>
    <row r="90">
      <c r="A90" s="17" t="inlineStr">
        <is>
          <t>92bd3230-b005-5f9c-a404-fe4be04e23af</t>
        </is>
      </c>
      <c r="B90" s="18" t="inlineStr">
        <is>
          <t>EXISTENTE</t>
        </is>
      </c>
      <c r="C90" s="18" t="inlineStr">
        <is>
          <t>ACTIVO</t>
        </is>
      </c>
      <c r="D90" s="18" t="n">
        <v>125</v>
      </c>
      <c r="E90" s="17" t="inlineStr">
        <is>
          <t>b592de7c-9600-40fb-a641-3bc9a20916a2</t>
        </is>
      </c>
      <c r="F90" s="17" t="inlineStr">
        <is>
          <t>PRB-FER-0073</t>
        </is>
      </c>
      <c r="G90" s="19" t="inlineStr">
        <is>
          <t>Caja eléctrica plástica</t>
        </is>
      </c>
      <c r="H90" s="19" t="inlineStr">
        <is>
          <t>Electricidad</t>
        </is>
      </c>
      <c r="I90" s="20" t="inlineStr">
        <is>
          <t>ElectroAndes</t>
        </is>
      </c>
      <c r="J90" s="20" t="inlineStr">
        <is>
          <t>Unidad</t>
        </is>
      </c>
      <c r="K90" s="21" t="inlineStr">
        <is>
          <t>Proveedor Prueba Ferretería Central S.A.S.</t>
        </is>
      </c>
      <c r="L90" s="18" t="n">
        <v>9</v>
      </c>
      <c r="M90" s="22" t="n">
        <v>2600</v>
      </c>
      <c r="N90" s="22" t="n">
        <v>3700</v>
      </c>
      <c r="O90" s="23" t="n">
        <v>25</v>
      </c>
      <c r="P90" s="24" t="inlineStr">
        <is>
          <t>UNIDAD</t>
        </is>
      </c>
      <c r="Q90" s="20" t="inlineStr">
        <is>
          <t>NO</t>
        </is>
      </c>
      <c r="R90" s="20" t="inlineStr">
        <is>
          <t>NO</t>
        </is>
      </c>
      <c r="S90" s="25" t="n">
        <v>1</v>
      </c>
      <c r="T90" s="20" t="inlineStr">
        <is>
          <t>NO</t>
        </is>
      </c>
      <c r="U90" s="20" t="inlineStr">
        <is>
          <t>Bodega de pruebas</t>
        </is>
      </c>
      <c r="V90" s="21" t="inlineStr">
        <is>
          <t>Producto ficticio de prueba para validacion de busquedas, inventario, ventas y compras en FERREPRO. No corresponde a inventario real.</t>
        </is>
      </c>
      <c r="W90" s="26" t="n">
        <v>100</v>
      </c>
      <c r="X90" s="27" t="n"/>
      <c r="Y90" s="20" t="n"/>
      <c r="Z90" s="20" t="n"/>
      <c r="AA90" s="26">
        <f>IF(X90="","",X90-IF(W90="",0,W90))</f>
        <v/>
      </c>
      <c r="AB90" s="28">
        <f>IF(OR(X90="",M90=""),"",X90*M90)</f>
        <v/>
      </c>
      <c r="AC90" s="28">
        <f>IF(OR(X90="",N90=""),"",X90*N90)</f>
        <v/>
      </c>
      <c r="AD90" s="28">
        <f>IF(OR(M90="",N90=""),"",N90-M90)</f>
        <v/>
      </c>
      <c r="AE90" s="29">
        <f>IFERROR(IF(M90&gt;0,(N90-M90)/M90,""),"")</f>
        <v/>
      </c>
      <c r="AF90" s="30" t="n"/>
      <c r="AG90" s="30" t="inlineStr">
        <is>
          <t>PENDIENTE</t>
        </is>
      </c>
      <c r="AH90" s="18">
        <f>IF(NOT(OR(B90="EXISTENTE",COUNTA(G90,H90,I90,J90,K90,M90,N90,U90,V90,X90,Y90,Z90,AF90,AJ90)&gt;0)),"",IF(AK90&lt;&gt;"","REVISAR",IF(OR(G90="",H90="",M90="",N90="",O90="",P90="",X90=""),"INCOMPLETO",IF(AI90&lt;&gt;"","REVISAR",IF(AND(AF90&lt;&gt;"",AG90="ESCANEADO"),"LISTO_COMPLETO","LISTO_SIN_BARCODE")))))</f>
        <v/>
      </c>
      <c r="AI90" s="17">
        <f>IF(NOT(OR(B90="EXISTENTE",COUNTA(G90,H90,I90,J90,K90,M90,N90,U90,V90,X90,Y90,Z90,AF90,AJ90)&gt;0)),"",TEXTJOIN(" | ",TRUE,IF(A90="","Falta ID staging",""),IF(COUNTIF($A$5:$A$445,A90)&gt;1,"ID staging duplicado",""),IF(G90="","Falta nombre",""),IF(LEN(G90)&gt;150,"Nombre &gt;150 caracteres",""),IF(H90="","Falta categoría",IF(COUNTIF(CategoriasLista,H90)=0,"Categoría inválida","")),IF(M90="","Falta precio compra",IF(OR(NOT(ISNUMBER(M90)),M90&lt;0),"Precio compra inválido","")),IF(N90="","Falta precio venta",IF(OR(NOT(ISNUMBER(N90)),N90&lt;=0,N90&lt;M90),"Precio venta inválido","")),IF(O90="","Falta stock mínimo",IF(OR(NOT(ISNUMBER(O90)),O90&lt;0,MOD(O90,1)&lt;&gt;0),"Stock mínimo inválido","")),IF(P90="","Falta unidad",IF(COUNTIF(UnidadesLista,P90)=0,"Unidad inválida","")),IF(AND(K90&lt;&gt;"",COUNTIF(ProveedoresLista,K90)=0),"Proveedor no catalogado",""),IF(X90="","Falta cantidad contada",IF(OR(NOT(ISNUMBER(X90)),X90&lt;0,ABS(X90*1000-ROUND(X90*1000,0))&gt;0.0000001),"Cantidad inválida",IF(AND(Q90="NO",MOD(X90,1)&lt;&gt;0),"Cantidad fraccionaria no permitida",""))),IF(AND(R90="SI",OR(NOT(ISNUMBER(S90)),S90&lt;1,MOD(S90,1)&lt;&gt;0)),"Empaque inválido",""),IF(OR(AND(AF90="",AG90="ESCANEADO"),AND(AF90&lt;&gt;"",AG90&lt;&gt;"ESCANEADO")),"Barcode/estado inconsistente",""),IF(AK90&lt;&gt;"",AK90,"")))</f>
        <v/>
      </c>
      <c r="AJ90" s="21" t="n"/>
      <c r="AK90" s="17">
        <f>IF(G90="","",IF(OR(COUNTIFS($G$5:$G$445,G90,$I$5:$I$445,I90,$J$5:$J$445,J90,$P$5:$P$445,P90)&gt;1,AND(AF90&lt;&gt;"",COUNTIF($AF$5:$AF$445,AF90)&gt;1)),"REVISAR_POSIBLE_DUPLICADO",""))</f>
        <v/>
      </c>
    </row>
    <row r="91">
      <c r="A91" s="17" t="inlineStr">
        <is>
          <t>9f8fde1b-6e0a-53cc-be6b-39c3a5f2053c</t>
        </is>
      </c>
      <c r="B91" s="18" t="inlineStr">
        <is>
          <t>EXISTENTE</t>
        </is>
      </c>
      <c r="C91" s="18" t="inlineStr">
        <is>
          <t>ACTIVO</t>
        </is>
      </c>
      <c r="D91" s="18" t="n">
        <v>126</v>
      </c>
      <c r="E91" s="17" t="inlineStr">
        <is>
          <t>8d9fc81e-042b-4918-b08a-5d0eda5d88ea</t>
        </is>
      </c>
      <c r="F91" s="17" t="inlineStr">
        <is>
          <t>PRB-FER-0074</t>
        </is>
      </c>
      <c r="G91" s="19" t="inlineStr">
        <is>
          <t>Canaleta adhesiva 20x12</t>
        </is>
      </c>
      <c r="H91" s="19" t="inlineStr">
        <is>
          <t>Electricidad</t>
        </is>
      </c>
      <c r="I91" s="20" t="inlineStr">
        <is>
          <t>ElectroAndes</t>
        </is>
      </c>
      <c r="J91" s="20" t="inlineStr">
        <is>
          <t>Metro</t>
        </is>
      </c>
      <c r="K91" s="21" t="inlineStr">
        <is>
          <t>Proveedor Prueba ConstruMateriales del Norte</t>
        </is>
      </c>
      <c r="L91" s="18" t="n">
        <v>10</v>
      </c>
      <c r="M91" s="22" t="n">
        <v>5000</v>
      </c>
      <c r="N91" s="22" t="n">
        <v>7200</v>
      </c>
      <c r="O91" s="23" t="n">
        <v>20</v>
      </c>
      <c r="P91" s="24" t="inlineStr">
        <is>
          <t>METRO</t>
        </is>
      </c>
      <c r="Q91" s="20" t="inlineStr">
        <is>
          <t>SI</t>
        </is>
      </c>
      <c r="R91" s="20" t="inlineStr">
        <is>
          <t>NO</t>
        </is>
      </c>
      <c r="S91" s="25" t="n">
        <v>1</v>
      </c>
      <c r="T91" s="20" t="inlineStr">
        <is>
          <t>NO</t>
        </is>
      </c>
      <c r="U91" s="20" t="inlineStr">
        <is>
          <t>Bodega de pruebas</t>
        </is>
      </c>
      <c r="V91" s="21" t="inlineStr">
        <is>
          <t>Producto ficticio de prueba para validacion de busquedas, inventario, ventas y compras en FERREPRO. No corresponde a inventario real.</t>
        </is>
      </c>
      <c r="W91" s="26" t="n">
        <v>80</v>
      </c>
      <c r="X91" s="27" t="n"/>
      <c r="Y91" s="20" t="n"/>
      <c r="Z91" s="20" t="n"/>
      <c r="AA91" s="26">
        <f>IF(X91="","",X91-IF(W91="",0,W91))</f>
        <v/>
      </c>
      <c r="AB91" s="28">
        <f>IF(OR(X91="",M91=""),"",X91*M91)</f>
        <v/>
      </c>
      <c r="AC91" s="28">
        <f>IF(OR(X91="",N91=""),"",X91*N91)</f>
        <v/>
      </c>
      <c r="AD91" s="28">
        <f>IF(OR(M91="",N91=""),"",N91-M91)</f>
        <v/>
      </c>
      <c r="AE91" s="29">
        <f>IFERROR(IF(M91&gt;0,(N91-M91)/M91,""),"")</f>
        <v/>
      </c>
      <c r="AF91" s="30" t="n"/>
      <c r="AG91" s="30" t="inlineStr">
        <is>
          <t>PENDIENTE</t>
        </is>
      </c>
      <c r="AH91" s="18">
        <f>IF(NOT(OR(B91="EXISTENTE",COUNTA(G91,H91,I91,J91,K91,M91,N91,U91,V91,X91,Y91,Z91,AF91,AJ91)&gt;0)),"",IF(AK91&lt;&gt;"","REVISAR",IF(OR(G91="",H91="",M91="",N91="",O91="",P91="",X91=""),"INCOMPLETO",IF(AI91&lt;&gt;"","REVISAR",IF(AND(AF91&lt;&gt;"",AG91="ESCANEADO"),"LISTO_COMPLETO","LISTO_SIN_BARCODE")))))</f>
        <v/>
      </c>
      <c r="AI91" s="17">
        <f>IF(NOT(OR(B91="EXISTENTE",COUNTA(G91,H91,I91,J91,K91,M91,N91,U91,V91,X91,Y91,Z91,AF91,AJ91)&gt;0)),"",TEXTJOIN(" | ",TRUE,IF(A91="","Falta ID staging",""),IF(COUNTIF($A$5:$A$445,A91)&gt;1,"ID staging duplicado",""),IF(G91="","Falta nombre",""),IF(LEN(G91)&gt;150,"Nombre &gt;150 caracteres",""),IF(H91="","Falta categoría",IF(COUNTIF(CategoriasLista,H91)=0,"Categoría inválida","")),IF(M91="","Falta precio compra",IF(OR(NOT(ISNUMBER(M91)),M91&lt;0),"Precio compra inválido","")),IF(N91="","Falta precio venta",IF(OR(NOT(ISNUMBER(N91)),N91&lt;=0,N91&lt;M91),"Precio venta inválido","")),IF(O91="","Falta stock mínimo",IF(OR(NOT(ISNUMBER(O91)),O91&lt;0,MOD(O91,1)&lt;&gt;0),"Stock mínimo inválido","")),IF(P91="","Falta unidad",IF(COUNTIF(UnidadesLista,P91)=0,"Unidad inválida","")),IF(AND(K91&lt;&gt;"",COUNTIF(ProveedoresLista,K91)=0),"Proveedor no catalogado",""),IF(X91="","Falta cantidad contada",IF(OR(NOT(ISNUMBER(X91)),X91&lt;0,ABS(X91*1000-ROUND(X91*1000,0))&gt;0.0000001),"Cantidad inválida",IF(AND(Q91="NO",MOD(X91,1)&lt;&gt;0),"Cantidad fraccionaria no permitida",""))),IF(AND(R91="SI",OR(NOT(ISNUMBER(S91)),S91&lt;1,MOD(S91,1)&lt;&gt;0)),"Empaque inválido",""),IF(OR(AND(AF91="",AG91="ESCANEADO"),AND(AF91&lt;&gt;"",AG91&lt;&gt;"ESCANEADO")),"Barcode/estado inconsistente",""),IF(AK91&lt;&gt;"",AK91,"")))</f>
        <v/>
      </c>
      <c r="AJ91" s="21" t="n"/>
      <c r="AK91" s="17">
        <f>IF(G91="","",IF(OR(COUNTIFS($G$5:$G$445,G91,$I$5:$I$445,I91,$J$5:$J$445,J91,$P$5:$P$445,P91)&gt;1,AND(AF91&lt;&gt;"",COUNTIF($AF$5:$AF$445,AF91)&gt;1)),"REVISAR_POSIBLE_DUPLICADO",""))</f>
        <v/>
      </c>
    </row>
    <row r="92">
      <c r="A92" s="17" t="inlineStr">
        <is>
          <t>a3674a3c-0a70-52b3-ba06-3e9f57f86e6b</t>
        </is>
      </c>
      <c r="B92" s="18" t="inlineStr">
        <is>
          <t>EXISTENTE</t>
        </is>
      </c>
      <c r="C92" s="18" t="inlineStr">
        <is>
          <t>ACTIVO</t>
        </is>
      </c>
      <c r="D92" s="18" t="n">
        <v>127</v>
      </c>
      <c r="E92" s="17" t="inlineStr">
        <is>
          <t>a3d6adcb-122f-44f9-99d9-94f7eb423de9</t>
        </is>
      </c>
      <c r="F92" s="17" t="inlineStr">
        <is>
          <t>PRB-FER-0075</t>
        </is>
      </c>
      <c r="G92" s="19" t="inlineStr">
        <is>
          <t>Bombillo LED 9W</t>
        </is>
      </c>
      <c r="H92" s="19" t="inlineStr">
        <is>
          <t>Electricidad</t>
        </is>
      </c>
      <c r="I92" s="20" t="inlineStr">
        <is>
          <t>ElectroAndes</t>
        </is>
      </c>
      <c r="J92" s="20" t="inlineStr">
        <is>
          <t>Unidad</t>
        </is>
      </c>
      <c r="K92" s="21" t="inlineStr">
        <is>
          <t>Proveedor Prueba Tornillos y Fijaciones Andinas</t>
        </is>
      </c>
      <c r="L92" s="18" t="n">
        <v>11</v>
      </c>
      <c r="M92" s="22" t="n">
        <v>5800</v>
      </c>
      <c r="N92" s="22" t="n">
        <v>8200</v>
      </c>
      <c r="O92" s="23" t="n">
        <v>22</v>
      </c>
      <c r="P92" s="24" t="inlineStr">
        <is>
          <t>UNIDAD</t>
        </is>
      </c>
      <c r="Q92" s="20" t="inlineStr">
        <is>
          <t>NO</t>
        </is>
      </c>
      <c r="R92" s="20" t="inlineStr">
        <is>
          <t>NO</t>
        </is>
      </c>
      <c r="S92" s="25" t="n">
        <v>1</v>
      </c>
      <c r="T92" s="20" t="inlineStr">
        <is>
          <t>NO</t>
        </is>
      </c>
      <c r="U92" s="20" t="inlineStr">
        <is>
          <t>Bodega de pruebas</t>
        </is>
      </c>
      <c r="V92" s="21" t="inlineStr">
        <is>
          <t>Producto ficticio de prueba para validacion de busquedas, inventario, ventas y compras en FERREPRO. No corresponde a inventario real.</t>
        </is>
      </c>
      <c r="W92" s="26" t="n">
        <v>90</v>
      </c>
      <c r="X92" s="27" t="n"/>
      <c r="Y92" s="20" t="n"/>
      <c r="Z92" s="20" t="n"/>
      <c r="AA92" s="26">
        <f>IF(X92="","",X92-IF(W92="",0,W92))</f>
        <v/>
      </c>
      <c r="AB92" s="28">
        <f>IF(OR(X92="",M92=""),"",X92*M92)</f>
        <v/>
      </c>
      <c r="AC92" s="28">
        <f>IF(OR(X92="",N92=""),"",X92*N92)</f>
        <v/>
      </c>
      <c r="AD92" s="28">
        <f>IF(OR(M92="",N92=""),"",N92-M92)</f>
        <v/>
      </c>
      <c r="AE92" s="29">
        <f>IFERROR(IF(M92&gt;0,(N92-M92)/M92,""),"")</f>
        <v/>
      </c>
      <c r="AF92" s="30" t="n"/>
      <c r="AG92" s="30" t="inlineStr">
        <is>
          <t>PENDIENTE</t>
        </is>
      </c>
      <c r="AH92" s="18">
        <f>IF(NOT(OR(B92="EXISTENTE",COUNTA(G92,H92,I92,J92,K92,M92,N92,U92,V92,X92,Y92,Z92,AF92,AJ92)&gt;0)),"",IF(AK92&lt;&gt;"","REVISAR",IF(OR(G92="",H92="",M92="",N92="",O92="",P92="",X92=""),"INCOMPLETO",IF(AI92&lt;&gt;"","REVISAR",IF(AND(AF92&lt;&gt;"",AG92="ESCANEADO"),"LISTO_COMPLETO","LISTO_SIN_BARCODE")))))</f>
        <v/>
      </c>
      <c r="AI92" s="17">
        <f>IF(NOT(OR(B92="EXISTENTE",COUNTA(G92,H92,I92,J92,K92,M92,N92,U92,V92,X92,Y92,Z92,AF92,AJ92)&gt;0)),"",TEXTJOIN(" | ",TRUE,IF(A92="","Falta ID staging",""),IF(COUNTIF($A$5:$A$445,A92)&gt;1,"ID staging duplicado",""),IF(G92="","Falta nombre",""),IF(LEN(G92)&gt;150,"Nombre &gt;150 caracteres",""),IF(H92="","Falta categoría",IF(COUNTIF(CategoriasLista,H92)=0,"Categoría inválida","")),IF(M92="","Falta precio compra",IF(OR(NOT(ISNUMBER(M92)),M92&lt;0),"Precio compra inválido","")),IF(N92="","Falta precio venta",IF(OR(NOT(ISNUMBER(N92)),N92&lt;=0,N92&lt;M92),"Precio venta inválido","")),IF(O92="","Falta stock mínimo",IF(OR(NOT(ISNUMBER(O92)),O92&lt;0,MOD(O92,1)&lt;&gt;0),"Stock mínimo inválido","")),IF(P92="","Falta unidad",IF(COUNTIF(UnidadesLista,P92)=0,"Unidad inválida","")),IF(AND(K92&lt;&gt;"",COUNTIF(ProveedoresLista,K92)=0),"Proveedor no catalogado",""),IF(X92="","Falta cantidad contada",IF(OR(NOT(ISNUMBER(X92)),X92&lt;0,ABS(X92*1000-ROUND(X92*1000,0))&gt;0.0000001),"Cantidad inválida",IF(AND(Q92="NO",MOD(X92,1)&lt;&gt;0),"Cantidad fraccionaria no permitida",""))),IF(AND(R92="SI",OR(NOT(ISNUMBER(S92)),S92&lt;1,MOD(S92,1)&lt;&gt;0)),"Empaque inválido",""),IF(OR(AND(AF92="",AG92="ESCANEADO"),AND(AF92&lt;&gt;"",AG92&lt;&gt;"ESCANEADO")),"Barcode/estado inconsistente",""),IF(AK92&lt;&gt;"",AK92,"")))</f>
        <v/>
      </c>
      <c r="AJ92" s="21" t="n"/>
      <c r="AK92" s="17">
        <f>IF(G92="","",IF(OR(COUNTIFS($G$5:$G$445,G92,$I$5:$I$445,I92,$J$5:$J$445,J92,$P$5:$P$445,P92)&gt;1,AND(AF92&lt;&gt;"",COUNTIF($AF$5:$AF$445,AF92)&gt;1)),"REVISAR_POSIBLE_DUPLICADO",""))</f>
        <v/>
      </c>
    </row>
    <row r="93">
      <c r="A93" s="17" t="inlineStr">
        <is>
          <t>a2461a13-cc25-5224-b6ec-2950f4683782</t>
        </is>
      </c>
      <c r="B93" s="18" t="inlineStr">
        <is>
          <t>EXISTENTE</t>
        </is>
      </c>
      <c r="C93" s="18" t="inlineStr">
        <is>
          <t>ACTIVO</t>
        </is>
      </c>
      <c r="D93" s="18" t="n">
        <v>128</v>
      </c>
      <c r="E93" s="17" t="inlineStr">
        <is>
          <t>275b9c99-9875-44ce-8e20-b41dc5743330</t>
        </is>
      </c>
      <c r="F93" s="17" t="inlineStr">
        <is>
          <t>PRB-FER-0076</t>
        </is>
      </c>
      <c r="G93" s="19" t="inlineStr">
        <is>
          <t>Bombillo LED 12W</t>
        </is>
      </c>
      <c r="H93" s="19" t="inlineStr">
        <is>
          <t>Electricidad</t>
        </is>
      </c>
      <c r="I93" s="20" t="inlineStr">
        <is>
          <t>ElectroAndes</t>
        </is>
      </c>
      <c r="J93" s="20" t="inlineStr">
        <is>
          <t>Unidad</t>
        </is>
      </c>
      <c r="K93" s="21" t="inlineStr">
        <is>
          <t>Proveedor Prueba Eléctricos Colombia</t>
        </is>
      </c>
      <c r="L93" s="18" t="n">
        <v>12</v>
      </c>
      <c r="M93" s="22" t="n">
        <v>7400</v>
      </c>
      <c r="N93" s="22" t="n">
        <v>10500</v>
      </c>
      <c r="O93" s="23" t="n">
        <v>18</v>
      </c>
      <c r="P93" s="24" t="inlineStr">
        <is>
          <t>UNIDAD</t>
        </is>
      </c>
      <c r="Q93" s="20" t="inlineStr">
        <is>
          <t>NO</t>
        </is>
      </c>
      <c r="R93" s="20" t="inlineStr">
        <is>
          <t>NO</t>
        </is>
      </c>
      <c r="S93" s="25" t="n">
        <v>1</v>
      </c>
      <c r="T93" s="20" t="inlineStr">
        <is>
          <t>NO</t>
        </is>
      </c>
      <c r="U93" s="20" t="inlineStr">
        <is>
          <t>Bodega de pruebas</t>
        </is>
      </c>
      <c r="V93" s="21" t="inlineStr">
        <is>
          <t>Producto ficticio de prueba para validacion de busquedas, inventario, ventas y compras en FERREPRO. No corresponde a inventario real.</t>
        </is>
      </c>
      <c r="W93" s="26" t="n">
        <v>75</v>
      </c>
      <c r="X93" s="27" t="n"/>
      <c r="Y93" s="20" t="n"/>
      <c r="Z93" s="20" t="n"/>
      <c r="AA93" s="26">
        <f>IF(X93="","",X93-IF(W93="",0,W93))</f>
        <v/>
      </c>
      <c r="AB93" s="28">
        <f>IF(OR(X93="",M93=""),"",X93*M93)</f>
        <v/>
      </c>
      <c r="AC93" s="28">
        <f>IF(OR(X93="",N93=""),"",X93*N93)</f>
        <v/>
      </c>
      <c r="AD93" s="28">
        <f>IF(OR(M93="",N93=""),"",N93-M93)</f>
        <v/>
      </c>
      <c r="AE93" s="29">
        <f>IFERROR(IF(M93&gt;0,(N93-M93)/M93,""),"")</f>
        <v/>
      </c>
      <c r="AF93" s="30" t="n"/>
      <c r="AG93" s="30" t="inlineStr">
        <is>
          <t>PENDIENTE</t>
        </is>
      </c>
      <c r="AH93" s="18">
        <f>IF(NOT(OR(B93="EXISTENTE",COUNTA(G93,H93,I93,J93,K93,M93,N93,U93,V93,X93,Y93,Z93,AF93,AJ93)&gt;0)),"",IF(AK93&lt;&gt;"","REVISAR",IF(OR(G93="",H93="",M93="",N93="",O93="",P93="",X93=""),"INCOMPLETO",IF(AI93&lt;&gt;"","REVISAR",IF(AND(AF93&lt;&gt;"",AG93="ESCANEADO"),"LISTO_COMPLETO","LISTO_SIN_BARCODE")))))</f>
        <v/>
      </c>
      <c r="AI93" s="17">
        <f>IF(NOT(OR(B93="EXISTENTE",COUNTA(G93,H93,I93,J93,K93,M93,N93,U93,V93,X93,Y93,Z93,AF93,AJ93)&gt;0)),"",TEXTJOIN(" | ",TRUE,IF(A93="","Falta ID staging",""),IF(COUNTIF($A$5:$A$445,A93)&gt;1,"ID staging duplicado",""),IF(G93="","Falta nombre",""),IF(LEN(G93)&gt;150,"Nombre &gt;150 caracteres",""),IF(H93="","Falta categoría",IF(COUNTIF(CategoriasLista,H93)=0,"Categoría inválida","")),IF(M93="","Falta precio compra",IF(OR(NOT(ISNUMBER(M93)),M93&lt;0),"Precio compra inválido","")),IF(N93="","Falta precio venta",IF(OR(NOT(ISNUMBER(N93)),N93&lt;=0,N93&lt;M93),"Precio venta inválido","")),IF(O93="","Falta stock mínimo",IF(OR(NOT(ISNUMBER(O93)),O93&lt;0,MOD(O93,1)&lt;&gt;0),"Stock mínimo inválido","")),IF(P93="","Falta unidad",IF(COUNTIF(UnidadesLista,P93)=0,"Unidad inválida","")),IF(AND(K93&lt;&gt;"",COUNTIF(ProveedoresLista,K93)=0),"Proveedor no catalogado",""),IF(X93="","Falta cantidad contada",IF(OR(NOT(ISNUMBER(X93)),X93&lt;0,ABS(X93*1000-ROUND(X93*1000,0))&gt;0.0000001),"Cantidad inválida",IF(AND(Q93="NO",MOD(X93,1)&lt;&gt;0),"Cantidad fraccionaria no permitida",""))),IF(AND(R93="SI",OR(NOT(ISNUMBER(S93)),S93&lt;1,MOD(S93,1)&lt;&gt;0)),"Empaque inválido",""),IF(OR(AND(AF93="",AG93="ESCANEADO"),AND(AF93&lt;&gt;"",AG93&lt;&gt;"ESCANEADO")),"Barcode/estado inconsistente",""),IF(AK93&lt;&gt;"",AK93,"")))</f>
        <v/>
      </c>
      <c r="AJ93" s="21" t="n"/>
      <c r="AK93" s="17">
        <f>IF(G93="","",IF(OR(COUNTIFS($G$5:$G$445,G93,$I$5:$I$445,I93,$J$5:$J$445,J93,$P$5:$P$445,P93)&gt;1,AND(AF93&lt;&gt;"",COUNTIF($AF$5:$AF$445,AF93)&gt;1)),"REVISAR_POSIBLE_DUPLICADO",""))</f>
        <v/>
      </c>
    </row>
    <row r="94">
      <c r="A94" s="17" t="inlineStr">
        <is>
          <t>3cda89eb-5bd9-563c-81c8-aa82c13d25e6</t>
        </is>
      </c>
      <c r="B94" s="18" t="inlineStr">
        <is>
          <t>EXISTENTE</t>
        </is>
      </c>
      <c r="C94" s="18" t="inlineStr">
        <is>
          <t>ACTIVO</t>
        </is>
      </c>
      <c r="D94" s="18" t="n">
        <v>129</v>
      </c>
      <c r="E94" s="17" t="inlineStr">
        <is>
          <t>27a2ce6b-19da-4db0-986a-880ab1ecb4d1</t>
        </is>
      </c>
      <c r="F94" s="17" t="inlineStr">
        <is>
          <t>PRB-FER-0077</t>
        </is>
      </c>
      <c r="G94" s="19" t="inlineStr">
        <is>
          <t>Cinta aislante negra</t>
        </is>
      </c>
      <c r="H94" s="19" t="inlineStr">
        <is>
          <t>Electricidad</t>
        </is>
      </c>
      <c r="I94" s="20" t="inlineStr">
        <is>
          <t>ElectroAndes</t>
        </is>
      </c>
      <c r="J94" s="20" t="inlineStr">
        <is>
          <t>Unidad</t>
        </is>
      </c>
      <c r="K94" s="21" t="inlineStr">
        <is>
          <t>Proveedor Prueba Pinturas y Acabados</t>
        </is>
      </c>
      <c r="L94" s="18" t="n">
        <v>13</v>
      </c>
      <c r="M94" s="22" t="n">
        <v>1900</v>
      </c>
      <c r="N94" s="22" t="n">
        <v>2800</v>
      </c>
      <c r="O94" s="23" t="n">
        <v>32</v>
      </c>
      <c r="P94" s="24" t="inlineStr">
        <is>
          <t>UNIDAD</t>
        </is>
      </c>
      <c r="Q94" s="20" t="inlineStr">
        <is>
          <t>NO</t>
        </is>
      </c>
      <c r="R94" s="20" t="inlineStr">
        <is>
          <t>NO</t>
        </is>
      </c>
      <c r="S94" s="25" t="n">
        <v>1</v>
      </c>
      <c r="T94" s="20" t="inlineStr">
        <is>
          <t>NO</t>
        </is>
      </c>
      <c r="U94" s="20" t="inlineStr">
        <is>
          <t>Bodega de pruebas</t>
        </is>
      </c>
      <c r="V94" s="21" t="inlineStr">
        <is>
          <t>Producto ficticio de prueba para validacion de busquedas, inventario, ventas y compras en FERREPRO. No corresponde a inventario real.</t>
        </is>
      </c>
      <c r="W94" s="26" t="n">
        <v>130</v>
      </c>
      <c r="X94" s="27" t="n"/>
      <c r="Y94" s="20" t="n"/>
      <c r="Z94" s="20" t="n"/>
      <c r="AA94" s="26">
        <f>IF(X94="","",X94-IF(W94="",0,W94))</f>
        <v/>
      </c>
      <c r="AB94" s="28">
        <f>IF(OR(X94="",M94=""),"",X94*M94)</f>
        <v/>
      </c>
      <c r="AC94" s="28">
        <f>IF(OR(X94="",N94=""),"",X94*N94)</f>
        <v/>
      </c>
      <c r="AD94" s="28">
        <f>IF(OR(M94="",N94=""),"",N94-M94)</f>
        <v/>
      </c>
      <c r="AE94" s="29">
        <f>IFERROR(IF(M94&gt;0,(N94-M94)/M94,""),"")</f>
        <v/>
      </c>
      <c r="AF94" s="30" t="n"/>
      <c r="AG94" s="30" t="inlineStr">
        <is>
          <t>PENDIENTE</t>
        </is>
      </c>
      <c r="AH94" s="18">
        <f>IF(NOT(OR(B94="EXISTENTE",COUNTA(G94,H94,I94,J94,K94,M94,N94,U94,V94,X94,Y94,Z94,AF94,AJ94)&gt;0)),"",IF(AK94&lt;&gt;"","REVISAR",IF(OR(G94="",H94="",M94="",N94="",O94="",P94="",X94=""),"INCOMPLETO",IF(AI94&lt;&gt;"","REVISAR",IF(AND(AF94&lt;&gt;"",AG94="ESCANEADO"),"LISTO_COMPLETO","LISTO_SIN_BARCODE")))))</f>
        <v/>
      </c>
      <c r="AI94" s="17">
        <f>IF(NOT(OR(B94="EXISTENTE",COUNTA(G94,H94,I94,J94,K94,M94,N94,U94,V94,X94,Y94,Z94,AF94,AJ94)&gt;0)),"",TEXTJOIN(" | ",TRUE,IF(A94="","Falta ID staging",""),IF(COUNTIF($A$5:$A$445,A94)&gt;1,"ID staging duplicado",""),IF(G94="","Falta nombre",""),IF(LEN(G94)&gt;150,"Nombre &gt;150 caracteres",""),IF(H94="","Falta categoría",IF(COUNTIF(CategoriasLista,H94)=0,"Categoría inválida","")),IF(M94="","Falta precio compra",IF(OR(NOT(ISNUMBER(M94)),M94&lt;0),"Precio compra inválido","")),IF(N94="","Falta precio venta",IF(OR(NOT(ISNUMBER(N94)),N94&lt;=0,N94&lt;M94),"Precio venta inválido","")),IF(O94="","Falta stock mínimo",IF(OR(NOT(ISNUMBER(O94)),O94&lt;0,MOD(O94,1)&lt;&gt;0),"Stock mínimo inválido","")),IF(P94="","Falta unidad",IF(COUNTIF(UnidadesLista,P94)=0,"Unidad inválida","")),IF(AND(K94&lt;&gt;"",COUNTIF(ProveedoresLista,K94)=0),"Proveedor no catalogado",""),IF(X94="","Falta cantidad contada",IF(OR(NOT(ISNUMBER(X94)),X94&lt;0,ABS(X94*1000-ROUND(X94*1000,0))&gt;0.0000001),"Cantidad inválida",IF(AND(Q94="NO",MOD(X94,1)&lt;&gt;0),"Cantidad fraccionaria no permitida",""))),IF(AND(R94="SI",OR(NOT(ISNUMBER(S94)),S94&lt;1,MOD(S94,1)&lt;&gt;0)),"Empaque inválido",""),IF(OR(AND(AF94="",AG94="ESCANEADO"),AND(AF94&lt;&gt;"",AG94&lt;&gt;"ESCANEADO")),"Barcode/estado inconsistente",""),IF(AK94&lt;&gt;"",AK94,"")))</f>
        <v/>
      </c>
      <c r="AJ94" s="21" t="n"/>
      <c r="AK94" s="17">
        <f>IF(G94="","",IF(OR(COUNTIFS($G$5:$G$445,G94,$I$5:$I$445,I94,$J$5:$J$445,J94,$P$5:$P$445,P94)&gt;1,AND(AF94&lt;&gt;"",COUNTIF($AF$5:$AF$445,AF94)&gt;1)),"REVISAR_POSIBLE_DUPLICADO",""))</f>
        <v/>
      </c>
    </row>
    <row r="95">
      <c r="A95" s="17" t="inlineStr">
        <is>
          <t>934162b0-9487-5f98-9be9-8a1a97a1d3ab</t>
        </is>
      </c>
      <c r="B95" s="18" t="inlineStr">
        <is>
          <t>EXISTENTE</t>
        </is>
      </c>
      <c r="C95" s="18" t="inlineStr">
        <is>
          <t>ACTIVO</t>
        </is>
      </c>
      <c r="D95" s="18" t="n">
        <v>130</v>
      </c>
      <c r="E95" s="17" t="inlineStr">
        <is>
          <t>cdd5522f-3eda-4adc-b97f-aa49652d178d</t>
        </is>
      </c>
      <c r="F95" s="17" t="inlineStr">
        <is>
          <t>PRB-FER-0078</t>
        </is>
      </c>
      <c r="G95" s="19" t="inlineStr">
        <is>
          <t>Multitoma 6 salidas</t>
        </is>
      </c>
      <c r="H95" s="19" t="inlineStr">
        <is>
          <t>Electricidad</t>
        </is>
      </c>
      <c r="I95" s="20" t="inlineStr">
        <is>
          <t>CasaForte</t>
        </is>
      </c>
      <c r="J95" s="20" t="inlineStr">
        <is>
          <t>Unidad</t>
        </is>
      </c>
      <c r="K95" s="21" t="inlineStr">
        <is>
          <t>Proveedor Prueba Herramientas Industriales</t>
        </is>
      </c>
      <c r="L95" s="18" t="n">
        <v>14</v>
      </c>
      <c r="M95" s="22" t="n">
        <v>18500</v>
      </c>
      <c r="N95" s="22" t="n">
        <v>26500</v>
      </c>
      <c r="O95" s="23" t="n">
        <v>6</v>
      </c>
      <c r="P95" s="24" t="inlineStr">
        <is>
          <t>UNIDAD</t>
        </is>
      </c>
      <c r="Q95" s="20" t="inlineStr">
        <is>
          <t>NO</t>
        </is>
      </c>
      <c r="R95" s="20" t="inlineStr">
        <is>
          <t>NO</t>
        </is>
      </c>
      <c r="S95" s="25" t="n">
        <v>1</v>
      </c>
      <c r="T95" s="20" t="inlineStr">
        <is>
          <t>NO</t>
        </is>
      </c>
      <c r="U95" s="20" t="inlineStr">
        <is>
          <t>Bodega de pruebas</t>
        </is>
      </c>
      <c r="V95" s="21" t="inlineStr">
        <is>
          <t>Producto ficticio de prueba para validacion de busquedas, inventario, ventas y compras en FERREPRO. No corresponde a inventario real.</t>
        </is>
      </c>
      <c r="W95" s="26" t="n">
        <v>25</v>
      </c>
      <c r="X95" s="27" t="n"/>
      <c r="Y95" s="20" t="n"/>
      <c r="Z95" s="20" t="n"/>
      <c r="AA95" s="26">
        <f>IF(X95="","",X95-IF(W95="",0,W95))</f>
        <v/>
      </c>
      <c r="AB95" s="28">
        <f>IF(OR(X95="",M95=""),"",X95*M95)</f>
        <v/>
      </c>
      <c r="AC95" s="28">
        <f>IF(OR(X95="",N95=""),"",X95*N95)</f>
        <v/>
      </c>
      <c r="AD95" s="28">
        <f>IF(OR(M95="",N95=""),"",N95-M95)</f>
        <v/>
      </c>
      <c r="AE95" s="29">
        <f>IFERROR(IF(M95&gt;0,(N95-M95)/M95,""),"")</f>
        <v/>
      </c>
      <c r="AF95" s="30" t="n"/>
      <c r="AG95" s="30" t="inlineStr">
        <is>
          <t>PENDIENTE</t>
        </is>
      </c>
      <c r="AH95" s="18">
        <f>IF(NOT(OR(B95="EXISTENTE",COUNTA(G95,H95,I95,J95,K95,M95,N95,U95,V95,X95,Y95,Z95,AF95,AJ95)&gt;0)),"",IF(AK95&lt;&gt;"","REVISAR",IF(OR(G95="",H95="",M95="",N95="",O95="",P95="",X95=""),"INCOMPLETO",IF(AI95&lt;&gt;"","REVISAR",IF(AND(AF95&lt;&gt;"",AG95="ESCANEADO"),"LISTO_COMPLETO","LISTO_SIN_BARCODE")))))</f>
        <v/>
      </c>
      <c r="AI95" s="17">
        <f>IF(NOT(OR(B95="EXISTENTE",COUNTA(G95,H95,I95,J95,K95,M95,N95,U95,V95,X95,Y95,Z95,AF95,AJ95)&gt;0)),"",TEXTJOIN(" | ",TRUE,IF(A95="","Falta ID staging",""),IF(COUNTIF($A$5:$A$445,A95)&gt;1,"ID staging duplicado",""),IF(G95="","Falta nombre",""),IF(LEN(G95)&gt;150,"Nombre &gt;150 caracteres",""),IF(H95="","Falta categoría",IF(COUNTIF(CategoriasLista,H95)=0,"Categoría inválida","")),IF(M95="","Falta precio compra",IF(OR(NOT(ISNUMBER(M95)),M95&lt;0),"Precio compra inválido","")),IF(N95="","Falta precio venta",IF(OR(NOT(ISNUMBER(N95)),N95&lt;=0,N95&lt;M95),"Precio venta inválido","")),IF(O95="","Falta stock mínimo",IF(OR(NOT(ISNUMBER(O95)),O95&lt;0,MOD(O95,1)&lt;&gt;0),"Stock mínimo inválido","")),IF(P95="","Falta unidad",IF(COUNTIF(UnidadesLista,P95)=0,"Unidad inválida","")),IF(AND(K95&lt;&gt;"",COUNTIF(ProveedoresLista,K95)=0),"Proveedor no catalogado",""),IF(X95="","Falta cantidad contada",IF(OR(NOT(ISNUMBER(X95)),X95&lt;0,ABS(X95*1000-ROUND(X95*1000,0))&gt;0.0000001),"Cantidad inválida",IF(AND(Q95="NO",MOD(X95,1)&lt;&gt;0),"Cantidad fraccionaria no permitida",""))),IF(AND(R95="SI",OR(NOT(ISNUMBER(S95)),S95&lt;1,MOD(S95,1)&lt;&gt;0)),"Empaque inválido",""),IF(OR(AND(AF95="",AG95="ESCANEADO"),AND(AF95&lt;&gt;"",AG95&lt;&gt;"ESCANEADO")),"Barcode/estado inconsistente",""),IF(AK95&lt;&gt;"",AK95,"")))</f>
        <v/>
      </c>
      <c r="AJ95" s="21" t="n"/>
      <c r="AK95" s="17">
        <f>IF(G95="","",IF(OR(COUNTIFS($G$5:$G$445,G95,$I$5:$I$445,I95,$J$5:$J$445,J95,$P$5:$P$445,P95)&gt;1,AND(AF95&lt;&gt;"",COUNTIF($AF$5:$AF$445,AF95)&gt;1)),"REVISAR_POSIBLE_DUPLICADO",""))</f>
        <v/>
      </c>
    </row>
    <row r="96">
      <c r="A96" s="17" t="inlineStr">
        <is>
          <t>1c8dde13-720e-590a-96a4-3d07adf479e6</t>
        </is>
      </c>
      <c r="B96" s="18" t="inlineStr">
        <is>
          <t>EXISTENTE</t>
        </is>
      </c>
      <c r="C96" s="18" t="inlineStr">
        <is>
          <t>ACTIVO</t>
        </is>
      </c>
      <c r="D96" s="18" t="n">
        <v>131</v>
      </c>
      <c r="E96" s="17" t="inlineStr">
        <is>
          <t>e14e8075-d045-458e-9e73-a51fecabbef2</t>
        </is>
      </c>
      <c r="F96" s="17" t="inlineStr">
        <is>
          <t>PRB-FER-0079</t>
        </is>
      </c>
      <c r="G96" s="19" t="inlineStr">
        <is>
          <t>Cemento gris bulto 50 kg</t>
        </is>
      </c>
      <c r="H96" s="19" t="inlineStr">
        <is>
          <t>Construcción</t>
        </is>
      </c>
      <c r="I96" s="20" t="inlineStr">
        <is>
          <t>ConstruPro</t>
        </is>
      </c>
      <c r="J96" s="20" t="inlineStr">
        <is>
          <t>Bulto 50 kg</t>
        </is>
      </c>
      <c r="K96" s="21" t="inlineStr">
        <is>
          <t>Proveedor Prueba Plomería Nacional</t>
        </is>
      </c>
      <c r="L96" s="18" t="n">
        <v>15</v>
      </c>
      <c r="M96" s="22" t="n">
        <v>33500</v>
      </c>
      <c r="N96" s="22" t="n">
        <v>43000</v>
      </c>
      <c r="O96" s="23" t="n">
        <v>5</v>
      </c>
      <c r="P96" s="24" t="inlineStr">
        <is>
          <t>BULTO</t>
        </is>
      </c>
      <c r="Q96" s="20" t="inlineStr">
        <is>
          <t>NO</t>
        </is>
      </c>
      <c r="R96" s="20" t="inlineStr">
        <is>
          <t>NO</t>
        </is>
      </c>
      <c r="S96" s="25" t="n">
        <v>1</v>
      </c>
      <c r="T96" s="20" t="inlineStr">
        <is>
          <t>NO</t>
        </is>
      </c>
      <c r="U96" s="20" t="inlineStr">
        <is>
          <t>Bodega de pruebas</t>
        </is>
      </c>
      <c r="V96" s="21" t="inlineStr">
        <is>
          <t>Producto ficticio de prueba para validacion de busquedas, inventario, ventas y compras en FERREPRO. No corresponde a inventario real.</t>
        </is>
      </c>
      <c r="W96" s="26" t="n">
        <v>20</v>
      </c>
      <c r="X96" s="27" t="n"/>
      <c r="Y96" s="20" t="n"/>
      <c r="Z96" s="20" t="n"/>
      <c r="AA96" s="26">
        <f>IF(X96="","",X96-IF(W96="",0,W96))</f>
        <v/>
      </c>
      <c r="AB96" s="28">
        <f>IF(OR(X96="",M96=""),"",X96*M96)</f>
        <v/>
      </c>
      <c r="AC96" s="28">
        <f>IF(OR(X96="",N96=""),"",X96*N96)</f>
        <v/>
      </c>
      <c r="AD96" s="28">
        <f>IF(OR(M96="",N96=""),"",N96-M96)</f>
        <v/>
      </c>
      <c r="AE96" s="29">
        <f>IFERROR(IF(M96&gt;0,(N96-M96)/M96,""),"")</f>
        <v/>
      </c>
      <c r="AF96" s="30" t="n"/>
      <c r="AG96" s="30" t="inlineStr">
        <is>
          <t>PENDIENTE</t>
        </is>
      </c>
      <c r="AH96" s="18">
        <f>IF(NOT(OR(B96="EXISTENTE",COUNTA(G96,H96,I96,J96,K96,M96,N96,U96,V96,X96,Y96,Z96,AF96,AJ96)&gt;0)),"",IF(AK96&lt;&gt;"","REVISAR",IF(OR(G96="",H96="",M96="",N96="",O96="",P96="",X96=""),"INCOMPLETO",IF(AI96&lt;&gt;"","REVISAR",IF(AND(AF96&lt;&gt;"",AG96="ESCANEADO"),"LISTO_COMPLETO","LISTO_SIN_BARCODE")))))</f>
        <v/>
      </c>
      <c r="AI96" s="17">
        <f>IF(NOT(OR(B96="EXISTENTE",COUNTA(G96,H96,I96,J96,K96,M96,N96,U96,V96,X96,Y96,Z96,AF96,AJ96)&gt;0)),"",TEXTJOIN(" | ",TRUE,IF(A96="","Falta ID staging",""),IF(COUNTIF($A$5:$A$445,A96)&gt;1,"ID staging duplicado",""),IF(G96="","Falta nombre",""),IF(LEN(G96)&gt;150,"Nombre &gt;150 caracteres",""),IF(H96="","Falta categoría",IF(COUNTIF(CategoriasLista,H96)=0,"Categoría inválida","")),IF(M96="","Falta precio compra",IF(OR(NOT(ISNUMBER(M96)),M96&lt;0),"Precio compra inválido","")),IF(N96="","Falta precio venta",IF(OR(NOT(ISNUMBER(N96)),N96&lt;=0,N96&lt;M96),"Precio venta inválido","")),IF(O96="","Falta stock mínimo",IF(OR(NOT(ISNUMBER(O96)),O96&lt;0,MOD(O96,1)&lt;&gt;0),"Stock mínimo inválido","")),IF(P96="","Falta unidad",IF(COUNTIF(UnidadesLista,P96)=0,"Unidad inválida","")),IF(AND(K96&lt;&gt;"",COUNTIF(ProveedoresLista,K96)=0),"Proveedor no catalogado",""),IF(X96="","Falta cantidad contada",IF(OR(NOT(ISNUMBER(X96)),X96&lt;0,ABS(X96*1000-ROUND(X96*1000,0))&gt;0.0000001),"Cantidad inválida",IF(AND(Q96="NO",MOD(X96,1)&lt;&gt;0),"Cantidad fraccionaria no permitida",""))),IF(AND(R96="SI",OR(NOT(ISNUMBER(S96)),S96&lt;1,MOD(S96,1)&lt;&gt;0)),"Empaque inválido",""),IF(OR(AND(AF96="",AG96="ESCANEADO"),AND(AF96&lt;&gt;"",AG96&lt;&gt;"ESCANEADO")),"Barcode/estado inconsistente",""),IF(AK96&lt;&gt;"",AK96,"")))</f>
        <v/>
      </c>
      <c r="AJ96" s="21" t="n"/>
      <c r="AK96" s="17">
        <f>IF(G96="","",IF(OR(COUNTIFS($G$5:$G$445,G96,$I$5:$I$445,I96,$J$5:$J$445,J96,$P$5:$P$445,P96)&gt;1,AND(AF96&lt;&gt;"",COUNTIF($AF$5:$AF$445,AF96)&gt;1)),"REVISAR_POSIBLE_DUPLICADO",""))</f>
        <v/>
      </c>
    </row>
    <row r="97">
      <c r="A97" s="17" t="inlineStr">
        <is>
          <t>6b576c44-3533-5681-b77c-c14249235425</t>
        </is>
      </c>
      <c r="B97" s="18" t="inlineStr">
        <is>
          <t>EXISTENTE</t>
        </is>
      </c>
      <c r="C97" s="18" t="inlineStr">
        <is>
          <t>ACTIVO</t>
        </is>
      </c>
      <c r="D97" s="18" t="n">
        <v>132</v>
      </c>
      <c r="E97" s="17" t="inlineStr">
        <is>
          <t>70d9bd60-3401-4ee7-9208-0598f705c383</t>
        </is>
      </c>
      <c r="F97" s="17" t="inlineStr">
        <is>
          <t>PRB-FER-0080</t>
        </is>
      </c>
      <c r="G97" s="19" t="inlineStr">
        <is>
          <t>Yeso construcción 25 kg</t>
        </is>
      </c>
      <c r="H97" s="19" t="inlineStr">
        <is>
          <t>Construcción</t>
        </is>
      </c>
      <c r="I97" s="20" t="inlineStr">
        <is>
          <t>ConstruPro</t>
        </is>
      </c>
      <c r="J97" s="20" t="inlineStr">
        <is>
          <t>Bulto 25 kg</t>
        </is>
      </c>
      <c r="K97" s="21" t="inlineStr">
        <is>
          <t>Proveedor Prueba Seguridad y Protección</t>
        </is>
      </c>
      <c r="L97" s="18" t="n">
        <v>16</v>
      </c>
      <c r="M97" s="22" t="n">
        <v>21000</v>
      </c>
      <c r="N97" s="22" t="n">
        <v>29500</v>
      </c>
      <c r="O97" s="23" t="n">
        <v>5</v>
      </c>
      <c r="P97" s="24" t="inlineStr">
        <is>
          <t>BULTO</t>
        </is>
      </c>
      <c r="Q97" s="20" t="inlineStr">
        <is>
          <t>NO</t>
        </is>
      </c>
      <c r="R97" s="20" t="inlineStr">
        <is>
          <t>NO</t>
        </is>
      </c>
      <c r="S97" s="25" t="n">
        <v>1</v>
      </c>
      <c r="T97" s="20" t="inlineStr">
        <is>
          <t>NO</t>
        </is>
      </c>
      <c r="U97" s="20" t="inlineStr">
        <is>
          <t>Bodega de pruebas</t>
        </is>
      </c>
      <c r="V97" s="21" t="inlineStr">
        <is>
          <t>Producto ficticio de prueba para validacion de busquedas, inventario, ventas y compras en FERREPRO. No corresponde a inventario real.</t>
        </is>
      </c>
      <c r="W97" s="26" t="n">
        <v>18</v>
      </c>
      <c r="X97" s="27" t="n"/>
      <c r="Y97" s="20" t="n"/>
      <c r="Z97" s="20" t="n"/>
      <c r="AA97" s="26">
        <f>IF(X97="","",X97-IF(W97="",0,W97))</f>
        <v/>
      </c>
      <c r="AB97" s="28">
        <f>IF(OR(X97="",M97=""),"",X97*M97)</f>
        <v/>
      </c>
      <c r="AC97" s="28">
        <f>IF(OR(X97="",N97=""),"",X97*N97)</f>
        <v/>
      </c>
      <c r="AD97" s="28">
        <f>IF(OR(M97="",N97=""),"",N97-M97)</f>
        <v/>
      </c>
      <c r="AE97" s="29">
        <f>IFERROR(IF(M97&gt;0,(N97-M97)/M97,""),"")</f>
        <v/>
      </c>
      <c r="AF97" s="30" t="n"/>
      <c r="AG97" s="30" t="inlineStr">
        <is>
          <t>PENDIENTE</t>
        </is>
      </c>
      <c r="AH97" s="18">
        <f>IF(NOT(OR(B97="EXISTENTE",COUNTA(G97,H97,I97,J97,K97,M97,N97,U97,V97,X97,Y97,Z97,AF97,AJ97)&gt;0)),"",IF(AK97&lt;&gt;"","REVISAR",IF(OR(G97="",H97="",M97="",N97="",O97="",P97="",X97=""),"INCOMPLETO",IF(AI97&lt;&gt;"","REVISAR",IF(AND(AF97&lt;&gt;"",AG97="ESCANEADO"),"LISTO_COMPLETO","LISTO_SIN_BARCODE")))))</f>
        <v/>
      </c>
      <c r="AI97" s="17">
        <f>IF(NOT(OR(B97="EXISTENTE",COUNTA(G97,H97,I97,J97,K97,M97,N97,U97,V97,X97,Y97,Z97,AF97,AJ97)&gt;0)),"",TEXTJOIN(" | ",TRUE,IF(A97="","Falta ID staging",""),IF(COUNTIF($A$5:$A$445,A97)&gt;1,"ID staging duplicado",""),IF(G97="","Falta nombre",""),IF(LEN(G97)&gt;150,"Nombre &gt;150 caracteres",""),IF(H97="","Falta categoría",IF(COUNTIF(CategoriasLista,H97)=0,"Categoría inválida","")),IF(M97="","Falta precio compra",IF(OR(NOT(ISNUMBER(M97)),M97&lt;0),"Precio compra inválido","")),IF(N97="","Falta precio venta",IF(OR(NOT(ISNUMBER(N97)),N97&lt;=0,N97&lt;M97),"Precio venta inválido","")),IF(O97="","Falta stock mínimo",IF(OR(NOT(ISNUMBER(O97)),O97&lt;0,MOD(O97,1)&lt;&gt;0),"Stock mínimo inválido","")),IF(P97="","Falta unidad",IF(COUNTIF(UnidadesLista,P97)=0,"Unidad inválida","")),IF(AND(K97&lt;&gt;"",COUNTIF(ProveedoresLista,K97)=0),"Proveedor no catalogado",""),IF(X97="","Falta cantidad contada",IF(OR(NOT(ISNUMBER(X97)),X97&lt;0,ABS(X97*1000-ROUND(X97*1000,0))&gt;0.0000001),"Cantidad inválida",IF(AND(Q97="NO",MOD(X97,1)&lt;&gt;0),"Cantidad fraccionaria no permitida",""))),IF(AND(R97="SI",OR(NOT(ISNUMBER(S97)),S97&lt;1,MOD(S97,1)&lt;&gt;0)),"Empaque inválido",""),IF(OR(AND(AF97="",AG97="ESCANEADO"),AND(AF97&lt;&gt;"",AG97&lt;&gt;"ESCANEADO")),"Barcode/estado inconsistente",""),IF(AK97&lt;&gt;"",AK97,"")))</f>
        <v/>
      </c>
      <c r="AJ97" s="21" t="n"/>
      <c r="AK97" s="17">
        <f>IF(G97="","",IF(OR(COUNTIFS($G$5:$G$445,G97,$I$5:$I$445,I97,$J$5:$J$445,J97,$P$5:$P$445,P97)&gt;1,AND(AF97&lt;&gt;"",COUNTIF($AF$5:$AF$445,AF97)&gt;1)),"REVISAR_POSIBLE_DUPLICADO",""))</f>
        <v/>
      </c>
    </row>
    <row r="98">
      <c r="A98" s="17" t="inlineStr">
        <is>
          <t>90aad2eb-9caf-5bb5-acd5-84604b47a3d4</t>
        </is>
      </c>
      <c r="B98" s="18" t="inlineStr">
        <is>
          <t>EXISTENTE</t>
        </is>
      </c>
      <c r="C98" s="18" t="inlineStr">
        <is>
          <t>ACTIVO</t>
        </is>
      </c>
      <c r="D98" s="18" t="n">
        <v>133</v>
      </c>
      <c r="E98" s="17" t="inlineStr">
        <is>
          <t>81c8185f-d892-4f9c-b336-4548891e29b2</t>
        </is>
      </c>
      <c r="F98" s="17" t="inlineStr">
        <is>
          <t>PRB-FER-0081</t>
        </is>
      </c>
      <c r="G98" s="19" t="inlineStr">
        <is>
          <t>Arena lavada saco</t>
        </is>
      </c>
      <c r="H98" s="19" t="inlineStr">
        <is>
          <t>Construcción</t>
        </is>
      </c>
      <c r="I98" s="20" t="inlineStr">
        <is>
          <t>Genérico</t>
        </is>
      </c>
      <c r="J98" s="20" t="inlineStr">
        <is>
          <t>Saco</t>
        </is>
      </c>
      <c r="K98" s="21" t="inlineStr">
        <is>
          <t>Proveedor Prueba Ferretería Central S.A.S.</t>
        </is>
      </c>
      <c r="L98" s="18" t="n">
        <v>9</v>
      </c>
      <c r="M98" s="22" t="n">
        <v>6500</v>
      </c>
      <c r="N98" s="22" t="n">
        <v>9000</v>
      </c>
      <c r="O98" s="23" t="n">
        <v>11</v>
      </c>
      <c r="P98" s="24" t="inlineStr">
        <is>
          <t>SACO</t>
        </is>
      </c>
      <c r="Q98" s="20" t="inlineStr">
        <is>
          <t>NO</t>
        </is>
      </c>
      <c r="R98" s="20" t="inlineStr">
        <is>
          <t>NO</t>
        </is>
      </c>
      <c r="S98" s="25" t="n">
        <v>1</v>
      </c>
      <c r="T98" s="20" t="inlineStr">
        <is>
          <t>NO</t>
        </is>
      </c>
      <c r="U98" s="20" t="inlineStr">
        <is>
          <t>Bodega de pruebas</t>
        </is>
      </c>
      <c r="V98" s="21" t="inlineStr">
        <is>
          <t>Producto ficticio de prueba para validacion de busquedas, inventario, ventas y compras en FERREPRO. No corresponde a inventario real.</t>
        </is>
      </c>
      <c r="W98" s="26" t="n">
        <v>45</v>
      </c>
      <c r="X98" s="27" t="n"/>
      <c r="Y98" s="20" t="n"/>
      <c r="Z98" s="20" t="n"/>
      <c r="AA98" s="26">
        <f>IF(X98="","",X98-IF(W98="",0,W98))</f>
        <v/>
      </c>
      <c r="AB98" s="28">
        <f>IF(OR(X98="",M98=""),"",X98*M98)</f>
        <v/>
      </c>
      <c r="AC98" s="28">
        <f>IF(OR(X98="",N98=""),"",X98*N98)</f>
        <v/>
      </c>
      <c r="AD98" s="28">
        <f>IF(OR(M98="",N98=""),"",N98-M98)</f>
        <v/>
      </c>
      <c r="AE98" s="29">
        <f>IFERROR(IF(M98&gt;0,(N98-M98)/M98,""),"")</f>
        <v/>
      </c>
      <c r="AF98" s="30" t="n"/>
      <c r="AG98" s="30" t="inlineStr">
        <is>
          <t>PENDIENTE</t>
        </is>
      </c>
      <c r="AH98" s="18">
        <f>IF(NOT(OR(B98="EXISTENTE",COUNTA(G98,H98,I98,J98,K98,M98,N98,U98,V98,X98,Y98,Z98,AF98,AJ98)&gt;0)),"",IF(AK98&lt;&gt;"","REVISAR",IF(OR(G98="",H98="",M98="",N98="",O98="",P98="",X98=""),"INCOMPLETO",IF(AI98&lt;&gt;"","REVISAR",IF(AND(AF98&lt;&gt;"",AG98="ESCANEADO"),"LISTO_COMPLETO","LISTO_SIN_BARCODE")))))</f>
        <v/>
      </c>
      <c r="AI98" s="17">
        <f>IF(NOT(OR(B98="EXISTENTE",COUNTA(G98,H98,I98,J98,K98,M98,N98,U98,V98,X98,Y98,Z98,AF98,AJ98)&gt;0)),"",TEXTJOIN(" | ",TRUE,IF(A98="","Falta ID staging",""),IF(COUNTIF($A$5:$A$445,A98)&gt;1,"ID staging duplicado",""),IF(G98="","Falta nombre",""),IF(LEN(G98)&gt;150,"Nombre &gt;150 caracteres",""),IF(H98="","Falta categoría",IF(COUNTIF(CategoriasLista,H98)=0,"Categoría inválida","")),IF(M98="","Falta precio compra",IF(OR(NOT(ISNUMBER(M98)),M98&lt;0),"Precio compra inválido","")),IF(N98="","Falta precio venta",IF(OR(NOT(ISNUMBER(N98)),N98&lt;=0,N98&lt;M98),"Precio venta inválido","")),IF(O98="","Falta stock mínimo",IF(OR(NOT(ISNUMBER(O98)),O98&lt;0,MOD(O98,1)&lt;&gt;0),"Stock mínimo inválido","")),IF(P98="","Falta unidad",IF(COUNTIF(UnidadesLista,P98)=0,"Unidad inválida","")),IF(AND(K98&lt;&gt;"",COUNTIF(ProveedoresLista,K98)=0),"Proveedor no catalogado",""),IF(X98="","Falta cantidad contada",IF(OR(NOT(ISNUMBER(X98)),X98&lt;0,ABS(X98*1000-ROUND(X98*1000,0))&gt;0.0000001),"Cantidad inválida",IF(AND(Q98="NO",MOD(X98,1)&lt;&gt;0),"Cantidad fraccionaria no permitida",""))),IF(AND(R98="SI",OR(NOT(ISNUMBER(S98)),S98&lt;1,MOD(S98,1)&lt;&gt;0)),"Empaque inválido",""),IF(OR(AND(AF98="",AG98="ESCANEADO"),AND(AF98&lt;&gt;"",AG98&lt;&gt;"ESCANEADO")),"Barcode/estado inconsistente",""),IF(AK98&lt;&gt;"",AK98,"")))</f>
        <v/>
      </c>
      <c r="AJ98" s="21" t="n"/>
      <c r="AK98" s="17">
        <f>IF(G98="","",IF(OR(COUNTIFS($G$5:$G$445,G98,$I$5:$I$445,I98,$J$5:$J$445,J98,$P$5:$P$445,P98)&gt;1,AND(AF98&lt;&gt;"",COUNTIF($AF$5:$AF$445,AF98)&gt;1)),"REVISAR_POSIBLE_DUPLICADO",""))</f>
        <v/>
      </c>
    </row>
    <row r="99">
      <c r="A99" s="17" t="inlineStr">
        <is>
          <t>b7609686-34f2-5ea5-928d-72cb39a9cb39</t>
        </is>
      </c>
      <c r="B99" s="18" t="inlineStr">
        <is>
          <t>EXISTENTE</t>
        </is>
      </c>
      <c r="C99" s="18" t="inlineStr">
        <is>
          <t>ACTIVO</t>
        </is>
      </c>
      <c r="D99" s="18" t="n">
        <v>134</v>
      </c>
      <c r="E99" s="17" t="inlineStr">
        <is>
          <t>f8d31f5f-b391-4fde-a320-8144e01838ef</t>
        </is>
      </c>
      <c r="F99" s="17" t="inlineStr">
        <is>
          <t>PRB-FER-0082</t>
        </is>
      </c>
      <c r="G99" s="19" t="inlineStr">
        <is>
          <t>Grava saco</t>
        </is>
      </c>
      <c r="H99" s="19" t="inlineStr">
        <is>
          <t>Construcción</t>
        </is>
      </c>
      <c r="I99" s="20" t="inlineStr">
        <is>
          <t>Genérico</t>
        </is>
      </c>
      <c r="J99" s="20" t="inlineStr">
        <is>
          <t>Saco</t>
        </is>
      </c>
      <c r="K99" s="21" t="inlineStr">
        <is>
          <t>Proveedor Prueba ConstruMateriales del Norte</t>
        </is>
      </c>
      <c r="L99" s="18" t="n">
        <v>10</v>
      </c>
      <c r="M99" s="22" t="n">
        <v>7200</v>
      </c>
      <c r="N99" s="22" t="n">
        <v>10000</v>
      </c>
      <c r="O99" s="23" t="n">
        <v>10</v>
      </c>
      <c r="P99" s="24" t="inlineStr">
        <is>
          <t>SACO</t>
        </is>
      </c>
      <c r="Q99" s="20" t="inlineStr">
        <is>
          <t>NO</t>
        </is>
      </c>
      <c r="R99" s="20" t="inlineStr">
        <is>
          <t>NO</t>
        </is>
      </c>
      <c r="S99" s="25" t="n">
        <v>1</v>
      </c>
      <c r="T99" s="20" t="inlineStr">
        <is>
          <t>NO</t>
        </is>
      </c>
      <c r="U99" s="20" t="inlineStr">
        <is>
          <t>Bodega de pruebas</t>
        </is>
      </c>
      <c r="V99" s="21" t="inlineStr">
        <is>
          <t>Producto ficticio de prueba para validacion de busquedas, inventario, ventas y compras en FERREPRO. No corresponde a inventario real.</t>
        </is>
      </c>
      <c r="W99" s="26" t="n">
        <v>40</v>
      </c>
      <c r="X99" s="27" t="n"/>
      <c r="Y99" s="20" t="n"/>
      <c r="Z99" s="20" t="n"/>
      <c r="AA99" s="26">
        <f>IF(X99="","",X99-IF(W99="",0,W99))</f>
        <v/>
      </c>
      <c r="AB99" s="28">
        <f>IF(OR(X99="",M99=""),"",X99*M99)</f>
        <v/>
      </c>
      <c r="AC99" s="28">
        <f>IF(OR(X99="",N99=""),"",X99*N99)</f>
        <v/>
      </c>
      <c r="AD99" s="28">
        <f>IF(OR(M99="",N99=""),"",N99-M99)</f>
        <v/>
      </c>
      <c r="AE99" s="29">
        <f>IFERROR(IF(M99&gt;0,(N99-M99)/M99,""),"")</f>
        <v/>
      </c>
      <c r="AF99" s="30" t="n"/>
      <c r="AG99" s="30" t="inlineStr">
        <is>
          <t>PENDIENTE</t>
        </is>
      </c>
      <c r="AH99" s="18">
        <f>IF(NOT(OR(B99="EXISTENTE",COUNTA(G99,H99,I99,J99,K99,M99,N99,U99,V99,X99,Y99,Z99,AF99,AJ99)&gt;0)),"",IF(AK99&lt;&gt;"","REVISAR",IF(OR(G99="",H99="",M99="",N99="",O99="",P99="",X99=""),"INCOMPLETO",IF(AI99&lt;&gt;"","REVISAR",IF(AND(AF99&lt;&gt;"",AG99="ESCANEADO"),"LISTO_COMPLETO","LISTO_SIN_BARCODE")))))</f>
        <v/>
      </c>
      <c r="AI99" s="17">
        <f>IF(NOT(OR(B99="EXISTENTE",COUNTA(G99,H99,I99,J99,K99,M99,N99,U99,V99,X99,Y99,Z99,AF99,AJ99)&gt;0)),"",TEXTJOIN(" | ",TRUE,IF(A99="","Falta ID staging",""),IF(COUNTIF($A$5:$A$445,A99)&gt;1,"ID staging duplicado",""),IF(G99="","Falta nombre",""),IF(LEN(G99)&gt;150,"Nombre &gt;150 caracteres",""),IF(H99="","Falta categoría",IF(COUNTIF(CategoriasLista,H99)=0,"Categoría inválida","")),IF(M99="","Falta precio compra",IF(OR(NOT(ISNUMBER(M99)),M99&lt;0),"Precio compra inválido","")),IF(N99="","Falta precio venta",IF(OR(NOT(ISNUMBER(N99)),N99&lt;=0,N99&lt;M99),"Precio venta inválido","")),IF(O99="","Falta stock mínimo",IF(OR(NOT(ISNUMBER(O99)),O99&lt;0,MOD(O99,1)&lt;&gt;0),"Stock mínimo inválido","")),IF(P99="","Falta unidad",IF(COUNTIF(UnidadesLista,P99)=0,"Unidad inválida","")),IF(AND(K99&lt;&gt;"",COUNTIF(ProveedoresLista,K99)=0),"Proveedor no catalogado",""),IF(X99="","Falta cantidad contada",IF(OR(NOT(ISNUMBER(X99)),X99&lt;0,ABS(X99*1000-ROUND(X99*1000,0))&gt;0.0000001),"Cantidad inválida",IF(AND(Q99="NO",MOD(X99,1)&lt;&gt;0),"Cantidad fraccionaria no permitida",""))),IF(AND(R99="SI",OR(NOT(ISNUMBER(S99)),S99&lt;1,MOD(S99,1)&lt;&gt;0)),"Empaque inválido",""),IF(OR(AND(AF99="",AG99="ESCANEADO"),AND(AF99&lt;&gt;"",AG99&lt;&gt;"ESCANEADO")),"Barcode/estado inconsistente",""),IF(AK99&lt;&gt;"",AK99,"")))</f>
        <v/>
      </c>
      <c r="AJ99" s="21" t="n"/>
      <c r="AK99" s="17">
        <f>IF(G99="","",IF(OR(COUNTIFS($G$5:$G$445,G99,$I$5:$I$445,I99,$J$5:$J$445,J99,$P$5:$P$445,P99)&gt;1,AND(AF99&lt;&gt;"",COUNTIF($AF$5:$AF$445,AF99)&gt;1)),"REVISAR_POSIBLE_DUPLICADO",""))</f>
        <v/>
      </c>
    </row>
    <row r="100">
      <c r="A100" s="17" t="inlineStr">
        <is>
          <t>55babb9c-7076-57cd-981b-4f980dd5d58f</t>
        </is>
      </c>
      <c r="B100" s="18" t="inlineStr">
        <is>
          <t>EXISTENTE</t>
        </is>
      </c>
      <c r="C100" s="18" t="inlineStr">
        <is>
          <t>ACTIVO</t>
        </is>
      </c>
      <c r="D100" s="18" t="n">
        <v>135</v>
      </c>
      <c r="E100" s="17" t="inlineStr">
        <is>
          <t>ef825547-9136-4fb2-af21-365ed1613727</t>
        </is>
      </c>
      <c r="F100" s="17" t="inlineStr">
        <is>
          <t>PRB-FER-0083</t>
        </is>
      </c>
      <c r="G100" s="19" t="inlineStr">
        <is>
          <t>Varilla corrugada 3/8</t>
        </is>
      </c>
      <c r="H100" s="19" t="inlineStr">
        <is>
          <t>Construcción</t>
        </is>
      </c>
      <c r="I100" s="20" t="inlineStr">
        <is>
          <t>AceroPlus</t>
        </is>
      </c>
      <c r="J100" s="20" t="inlineStr">
        <is>
          <t>Unidad</t>
        </is>
      </c>
      <c r="K100" s="21" t="inlineStr">
        <is>
          <t>Proveedor Prueba Tornillos y Fijaciones Andinas</t>
        </is>
      </c>
      <c r="L100" s="18" t="n">
        <v>11</v>
      </c>
      <c r="M100" s="22" t="n">
        <v>22000</v>
      </c>
      <c r="N100" s="22" t="n">
        <v>31000</v>
      </c>
      <c r="O100" s="23" t="n">
        <v>7</v>
      </c>
      <c r="P100" s="24" t="inlineStr">
        <is>
          <t>UNIDAD</t>
        </is>
      </c>
      <c r="Q100" s="20" t="inlineStr">
        <is>
          <t>NO</t>
        </is>
      </c>
      <c r="R100" s="20" t="inlineStr">
        <is>
          <t>NO</t>
        </is>
      </c>
      <c r="S100" s="25" t="n">
        <v>1</v>
      </c>
      <c r="T100" s="20" t="inlineStr">
        <is>
          <t>NO</t>
        </is>
      </c>
      <c r="U100" s="20" t="inlineStr">
        <is>
          <t>Bodega de pruebas</t>
        </is>
      </c>
      <c r="V100" s="21" t="inlineStr">
        <is>
          <t>Producto ficticio de prueba para validacion de busquedas, inventario, ventas y compras en FERREPRO. No corresponde a inventario real.</t>
        </is>
      </c>
      <c r="W100" s="26" t="n">
        <v>30</v>
      </c>
      <c r="X100" s="27" t="n"/>
      <c r="Y100" s="20" t="n"/>
      <c r="Z100" s="20" t="n"/>
      <c r="AA100" s="26">
        <f>IF(X100="","",X100-IF(W100="",0,W100))</f>
        <v/>
      </c>
      <c r="AB100" s="28">
        <f>IF(OR(X100="",M100=""),"",X100*M100)</f>
        <v/>
      </c>
      <c r="AC100" s="28">
        <f>IF(OR(X100="",N100=""),"",X100*N100)</f>
        <v/>
      </c>
      <c r="AD100" s="28">
        <f>IF(OR(M100="",N100=""),"",N100-M100)</f>
        <v/>
      </c>
      <c r="AE100" s="29">
        <f>IFERROR(IF(M100&gt;0,(N100-M100)/M100,""),"")</f>
        <v/>
      </c>
      <c r="AF100" s="30" t="n"/>
      <c r="AG100" s="30" t="inlineStr">
        <is>
          <t>PENDIENTE</t>
        </is>
      </c>
      <c r="AH100" s="18">
        <f>IF(NOT(OR(B100="EXISTENTE",COUNTA(G100,H100,I100,J100,K100,M100,N100,U100,V100,X100,Y100,Z100,AF100,AJ100)&gt;0)),"",IF(AK100&lt;&gt;"","REVISAR",IF(OR(G100="",H100="",M100="",N100="",O100="",P100="",X100=""),"INCOMPLETO",IF(AI100&lt;&gt;"","REVISAR",IF(AND(AF100&lt;&gt;"",AG100="ESCANEADO"),"LISTO_COMPLETO","LISTO_SIN_BARCODE")))))</f>
        <v/>
      </c>
      <c r="AI100" s="17">
        <f>IF(NOT(OR(B100="EXISTENTE",COUNTA(G100,H100,I100,J100,K100,M100,N100,U100,V100,X100,Y100,Z100,AF100,AJ100)&gt;0)),"",TEXTJOIN(" | ",TRUE,IF(A100="","Falta ID staging",""),IF(COUNTIF($A$5:$A$445,A100)&gt;1,"ID staging duplicado",""),IF(G100="","Falta nombre",""),IF(LEN(G100)&gt;150,"Nombre &gt;150 caracteres",""),IF(H100="","Falta categoría",IF(COUNTIF(CategoriasLista,H100)=0,"Categoría inválida","")),IF(M100="","Falta precio compra",IF(OR(NOT(ISNUMBER(M100)),M100&lt;0),"Precio compra inválido","")),IF(N100="","Falta precio venta",IF(OR(NOT(ISNUMBER(N100)),N100&lt;=0,N100&lt;M100),"Precio venta inválido","")),IF(O100="","Falta stock mínimo",IF(OR(NOT(ISNUMBER(O100)),O100&lt;0,MOD(O100,1)&lt;&gt;0),"Stock mínimo inválido","")),IF(P100="","Falta unidad",IF(COUNTIF(UnidadesLista,P100)=0,"Unidad inválida","")),IF(AND(K100&lt;&gt;"",COUNTIF(ProveedoresLista,K100)=0),"Proveedor no catalogado",""),IF(X100="","Falta cantidad contada",IF(OR(NOT(ISNUMBER(X100)),X100&lt;0,ABS(X100*1000-ROUND(X100*1000,0))&gt;0.0000001),"Cantidad inválida",IF(AND(Q100="NO",MOD(X100,1)&lt;&gt;0),"Cantidad fraccionaria no permitida",""))),IF(AND(R100="SI",OR(NOT(ISNUMBER(S100)),S100&lt;1,MOD(S100,1)&lt;&gt;0)),"Empaque inválido",""),IF(OR(AND(AF100="",AG100="ESCANEADO"),AND(AF100&lt;&gt;"",AG100&lt;&gt;"ESCANEADO")),"Barcode/estado inconsistente",""),IF(AK100&lt;&gt;"",AK100,"")))</f>
        <v/>
      </c>
      <c r="AJ100" s="21" t="n"/>
      <c r="AK100" s="17">
        <f>IF(G100="","",IF(OR(COUNTIFS($G$5:$G$445,G100,$I$5:$I$445,I100,$J$5:$J$445,J100,$P$5:$P$445,P100)&gt;1,AND(AF100&lt;&gt;"",COUNTIF($AF$5:$AF$445,AF100)&gt;1)),"REVISAR_POSIBLE_DUPLICADO",""))</f>
        <v/>
      </c>
    </row>
    <row r="101">
      <c r="A101" s="17" t="inlineStr">
        <is>
          <t>5110067c-b4a9-5820-b652-a49d93062bb8</t>
        </is>
      </c>
      <c r="B101" s="18" t="inlineStr">
        <is>
          <t>EXISTENTE</t>
        </is>
      </c>
      <c r="C101" s="18" t="inlineStr">
        <is>
          <t>ACTIVO</t>
        </is>
      </c>
      <c r="D101" s="18" t="n">
        <v>136</v>
      </c>
      <c r="E101" s="17" t="inlineStr">
        <is>
          <t>053542c5-0b26-4164-864c-67563d994a37</t>
        </is>
      </c>
      <c r="F101" s="17" t="inlineStr">
        <is>
          <t>PRB-FER-0084</t>
        </is>
      </c>
      <c r="G101" s="19" t="inlineStr">
        <is>
          <t>Malla electrosoldada</t>
        </is>
      </c>
      <c r="H101" s="19" t="inlineStr">
        <is>
          <t>Construcción</t>
        </is>
      </c>
      <c r="I101" s="20" t="inlineStr">
        <is>
          <t>AceroPlus</t>
        </is>
      </c>
      <c r="J101" s="20" t="inlineStr">
        <is>
          <t>Unidad</t>
        </is>
      </c>
      <c r="K101" s="21" t="inlineStr">
        <is>
          <t>Proveedor Prueba Eléctricos Colombia</t>
        </is>
      </c>
      <c r="L101" s="18" t="n">
        <v>12</v>
      </c>
      <c r="M101" s="22" t="n">
        <v>78000</v>
      </c>
      <c r="N101" s="22" t="n">
        <v>108000</v>
      </c>
      <c r="O101" s="23" t="n">
        <v>5</v>
      </c>
      <c r="P101" s="24" t="inlineStr">
        <is>
          <t>UNIDAD</t>
        </is>
      </c>
      <c r="Q101" s="20" t="inlineStr">
        <is>
          <t>NO</t>
        </is>
      </c>
      <c r="R101" s="20" t="inlineStr">
        <is>
          <t>NO</t>
        </is>
      </c>
      <c r="S101" s="25" t="n">
        <v>1</v>
      </c>
      <c r="T101" s="20" t="inlineStr">
        <is>
          <t>NO</t>
        </is>
      </c>
      <c r="U101" s="20" t="inlineStr">
        <is>
          <t>Bodega de pruebas</t>
        </is>
      </c>
      <c r="V101" s="21" t="inlineStr">
        <is>
          <t>Producto ficticio de prueba para validacion de busquedas, inventario, ventas y compras en FERREPRO. No corresponde a inventario real.</t>
        </is>
      </c>
      <c r="W101" s="26" t="n">
        <v>10</v>
      </c>
      <c r="X101" s="27" t="n"/>
      <c r="Y101" s="20" t="n"/>
      <c r="Z101" s="20" t="n"/>
      <c r="AA101" s="26">
        <f>IF(X101="","",X101-IF(W101="",0,W101))</f>
        <v/>
      </c>
      <c r="AB101" s="28">
        <f>IF(OR(X101="",M101=""),"",X101*M101)</f>
        <v/>
      </c>
      <c r="AC101" s="28">
        <f>IF(OR(X101="",N101=""),"",X101*N101)</f>
        <v/>
      </c>
      <c r="AD101" s="28">
        <f>IF(OR(M101="",N101=""),"",N101-M101)</f>
        <v/>
      </c>
      <c r="AE101" s="29">
        <f>IFERROR(IF(M101&gt;0,(N101-M101)/M101,""),"")</f>
        <v/>
      </c>
      <c r="AF101" s="30" t="n"/>
      <c r="AG101" s="30" t="inlineStr">
        <is>
          <t>PENDIENTE</t>
        </is>
      </c>
      <c r="AH101" s="18">
        <f>IF(NOT(OR(B101="EXISTENTE",COUNTA(G101,H101,I101,J101,K101,M101,N101,U101,V101,X101,Y101,Z101,AF101,AJ101)&gt;0)),"",IF(AK101&lt;&gt;"","REVISAR",IF(OR(G101="",H101="",M101="",N101="",O101="",P101="",X101=""),"INCOMPLETO",IF(AI101&lt;&gt;"","REVISAR",IF(AND(AF101&lt;&gt;"",AG101="ESCANEADO"),"LISTO_COMPLETO","LISTO_SIN_BARCODE")))))</f>
        <v/>
      </c>
      <c r="AI101" s="17">
        <f>IF(NOT(OR(B101="EXISTENTE",COUNTA(G101,H101,I101,J101,K101,M101,N101,U101,V101,X101,Y101,Z101,AF101,AJ101)&gt;0)),"",TEXTJOIN(" | ",TRUE,IF(A101="","Falta ID staging",""),IF(COUNTIF($A$5:$A$445,A101)&gt;1,"ID staging duplicado",""),IF(G101="","Falta nombre",""),IF(LEN(G101)&gt;150,"Nombre &gt;150 caracteres",""),IF(H101="","Falta categoría",IF(COUNTIF(CategoriasLista,H101)=0,"Categoría inválida","")),IF(M101="","Falta precio compra",IF(OR(NOT(ISNUMBER(M101)),M101&lt;0),"Precio compra inválido","")),IF(N101="","Falta precio venta",IF(OR(NOT(ISNUMBER(N101)),N101&lt;=0,N101&lt;M101),"Precio venta inválido","")),IF(O101="","Falta stock mínimo",IF(OR(NOT(ISNUMBER(O101)),O101&lt;0,MOD(O101,1)&lt;&gt;0),"Stock mínimo inválido","")),IF(P101="","Falta unidad",IF(COUNTIF(UnidadesLista,P101)=0,"Unidad inválida","")),IF(AND(K101&lt;&gt;"",COUNTIF(ProveedoresLista,K101)=0),"Proveedor no catalogado",""),IF(X101="","Falta cantidad contada",IF(OR(NOT(ISNUMBER(X101)),X101&lt;0,ABS(X101*1000-ROUND(X101*1000,0))&gt;0.0000001),"Cantidad inválida",IF(AND(Q101="NO",MOD(X101,1)&lt;&gt;0),"Cantidad fraccionaria no permitida",""))),IF(AND(R101="SI",OR(NOT(ISNUMBER(S101)),S101&lt;1,MOD(S101,1)&lt;&gt;0)),"Empaque inválido",""),IF(OR(AND(AF101="",AG101="ESCANEADO"),AND(AF101&lt;&gt;"",AG101&lt;&gt;"ESCANEADO")),"Barcode/estado inconsistente",""),IF(AK101&lt;&gt;"",AK101,"")))</f>
        <v/>
      </c>
      <c r="AJ101" s="21" t="n"/>
      <c r="AK101" s="17">
        <f>IF(G101="","",IF(OR(COUNTIFS($G$5:$G$445,G101,$I$5:$I$445,I101,$J$5:$J$445,J101,$P$5:$P$445,P101)&gt;1,AND(AF101&lt;&gt;"",COUNTIF($AF$5:$AF$445,AF101)&gt;1)),"REVISAR_POSIBLE_DUPLICADO",""))</f>
        <v/>
      </c>
    </row>
    <row r="102">
      <c r="A102" s="17" t="inlineStr">
        <is>
          <t>1dfc603f-cf01-5c5b-a740-3434d995cd35</t>
        </is>
      </c>
      <c r="B102" s="18" t="inlineStr">
        <is>
          <t>EXISTENTE</t>
        </is>
      </c>
      <c r="C102" s="18" t="inlineStr">
        <is>
          <t>ACTIVO</t>
        </is>
      </c>
      <c r="D102" s="18" t="n">
        <v>137</v>
      </c>
      <c r="E102" s="17" t="inlineStr">
        <is>
          <t>a84b8e82-9266-4c43-9a5f-0b3b84653d05</t>
        </is>
      </c>
      <c r="F102" s="17" t="inlineStr">
        <is>
          <t>PRB-FER-0085</t>
        </is>
      </c>
      <c r="G102" s="19" t="inlineStr">
        <is>
          <t>Bloque cemento estándar</t>
        </is>
      </c>
      <c r="H102" s="19" t="inlineStr">
        <is>
          <t>Construcción</t>
        </is>
      </c>
      <c r="I102" s="20" t="inlineStr">
        <is>
          <t>ConstruPro</t>
        </is>
      </c>
      <c r="J102" s="20" t="inlineStr">
        <is>
          <t>Unidad</t>
        </is>
      </c>
      <c r="K102" s="21" t="inlineStr">
        <is>
          <t>Proveedor Prueba Pinturas y Acabados</t>
        </is>
      </c>
      <c r="L102" s="18" t="n">
        <v>13</v>
      </c>
      <c r="M102" s="22" t="n">
        <v>2100</v>
      </c>
      <c r="N102" s="22" t="n">
        <v>3000</v>
      </c>
      <c r="O102" s="23" t="n">
        <v>37</v>
      </c>
      <c r="P102" s="24" t="inlineStr">
        <is>
          <t>UNIDAD</t>
        </is>
      </c>
      <c r="Q102" s="20" t="inlineStr">
        <is>
          <t>NO</t>
        </is>
      </c>
      <c r="R102" s="20" t="inlineStr">
        <is>
          <t>NO</t>
        </is>
      </c>
      <c r="S102" s="25" t="n">
        <v>1</v>
      </c>
      <c r="T102" s="20" t="inlineStr">
        <is>
          <t>NO</t>
        </is>
      </c>
      <c r="U102" s="20" t="inlineStr">
        <is>
          <t>Bodega de pruebas</t>
        </is>
      </c>
      <c r="V102" s="21" t="inlineStr">
        <is>
          <t>Producto ficticio de prueba para validacion de busquedas, inventario, ventas y compras en FERREPRO. No corresponde a inventario real.</t>
        </is>
      </c>
      <c r="W102" s="26" t="n">
        <v>150</v>
      </c>
      <c r="X102" s="27" t="n"/>
      <c r="Y102" s="20" t="n"/>
      <c r="Z102" s="20" t="n"/>
      <c r="AA102" s="26">
        <f>IF(X102="","",X102-IF(W102="",0,W102))</f>
        <v/>
      </c>
      <c r="AB102" s="28">
        <f>IF(OR(X102="",M102=""),"",X102*M102)</f>
        <v/>
      </c>
      <c r="AC102" s="28">
        <f>IF(OR(X102="",N102=""),"",X102*N102)</f>
        <v/>
      </c>
      <c r="AD102" s="28">
        <f>IF(OR(M102="",N102=""),"",N102-M102)</f>
        <v/>
      </c>
      <c r="AE102" s="29">
        <f>IFERROR(IF(M102&gt;0,(N102-M102)/M102,""),"")</f>
        <v/>
      </c>
      <c r="AF102" s="30" t="n"/>
      <c r="AG102" s="30" t="inlineStr">
        <is>
          <t>PENDIENTE</t>
        </is>
      </c>
      <c r="AH102" s="18">
        <f>IF(NOT(OR(B102="EXISTENTE",COUNTA(G102,H102,I102,J102,K102,M102,N102,U102,V102,X102,Y102,Z102,AF102,AJ102)&gt;0)),"",IF(AK102&lt;&gt;"","REVISAR",IF(OR(G102="",H102="",M102="",N102="",O102="",P102="",X102=""),"INCOMPLETO",IF(AI102&lt;&gt;"","REVISAR",IF(AND(AF102&lt;&gt;"",AG102="ESCANEADO"),"LISTO_COMPLETO","LISTO_SIN_BARCODE")))))</f>
        <v/>
      </c>
      <c r="AI102" s="17">
        <f>IF(NOT(OR(B102="EXISTENTE",COUNTA(G102,H102,I102,J102,K102,M102,N102,U102,V102,X102,Y102,Z102,AF102,AJ102)&gt;0)),"",TEXTJOIN(" | ",TRUE,IF(A102="","Falta ID staging",""),IF(COUNTIF($A$5:$A$445,A102)&gt;1,"ID staging duplicado",""),IF(G102="","Falta nombre",""),IF(LEN(G102)&gt;150,"Nombre &gt;150 caracteres",""),IF(H102="","Falta categoría",IF(COUNTIF(CategoriasLista,H102)=0,"Categoría inválida","")),IF(M102="","Falta precio compra",IF(OR(NOT(ISNUMBER(M102)),M102&lt;0),"Precio compra inválido","")),IF(N102="","Falta precio venta",IF(OR(NOT(ISNUMBER(N102)),N102&lt;=0,N102&lt;M102),"Precio venta inválido","")),IF(O102="","Falta stock mínimo",IF(OR(NOT(ISNUMBER(O102)),O102&lt;0,MOD(O102,1)&lt;&gt;0),"Stock mínimo inválido","")),IF(P102="","Falta unidad",IF(COUNTIF(UnidadesLista,P102)=0,"Unidad inválida","")),IF(AND(K102&lt;&gt;"",COUNTIF(ProveedoresLista,K102)=0),"Proveedor no catalogado",""),IF(X102="","Falta cantidad contada",IF(OR(NOT(ISNUMBER(X102)),X102&lt;0,ABS(X102*1000-ROUND(X102*1000,0))&gt;0.0000001),"Cantidad inválida",IF(AND(Q102="NO",MOD(X102,1)&lt;&gt;0),"Cantidad fraccionaria no permitida",""))),IF(AND(R102="SI",OR(NOT(ISNUMBER(S102)),S102&lt;1,MOD(S102,1)&lt;&gt;0)),"Empaque inválido",""),IF(OR(AND(AF102="",AG102="ESCANEADO"),AND(AF102&lt;&gt;"",AG102&lt;&gt;"ESCANEADO")),"Barcode/estado inconsistente",""),IF(AK102&lt;&gt;"",AK102,"")))</f>
        <v/>
      </c>
      <c r="AJ102" s="21" t="n"/>
      <c r="AK102" s="17">
        <f>IF(G102="","",IF(OR(COUNTIFS($G$5:$G$445,G102,$I$5:$I$445,I102,$J$5:$J$445,J102,$P$5:$P$445,P102)&gt;1,AND(AF102&lt;&gt;"",COUNTIF($AF$5:$AF$445,AF102)&gt;1)),"REVISAR_POSIBLE_DUPLICADO",""))</f>
        <v/>
      </c>
    </row>
    <row r="103">
      <c r="A103" s="17" t="inlineStr">
        <is>
          <t>0f4897e6-d579-5c21-8f5f-7a96fd562874</t>
        </is>
      </c>
      <c r="B103" s="18" t="inlineStr">
        <is>
          <t>EXISTENTE</t>
        </is>
      </c>
      <c r="C103" s="18" t="inlineStr">
        <is>
          <t>ACTIVO</t>
        </is>
      </c>
      <c r="D103" s="18" t="n">
        <v>138</v>
      </c>
      <c r="E103" s="17" t="inlineStr">
        <is>
          <t>26fca40c-ea4a-4f18-87fb-0fe375ec0fc3</t>
        </is>
      </c>
      <c r="F103" s="17" t="inlineStr">
        <is>
          <t>PRB-FER-0086</t>
        </is>
      </c>
      <c r="G103" s="19" t="inlineStr">
        <is>
          <t>Espátula metálica 4 pulgadas</t>
        </is>
      </c>
      <c r="H103" s="19" t="inlineStr">
        <is>
          <t>Construcción</t>
        </is>
      </c>
      <c r="I103" s="20" t="inlineStr">
        <is>
          <t>Herracol</t>
        </is>
      </c>
      <c r="J103" s="20" t="inlineStr">
        <is>
          <t>Unidad</t>
        </is>
      </c>
      <c r="K103" s="21" t="inlineStr">
        <is>
          <t>Proveedor Prueba Herramientas Industriales</t>
        </is>
      </c>
      <c r="L103" s="18" t="n">
        <v>14</v>
      </c>
      <c r="M103" s="22" t="n">
        <v>7500</v>
      </c>
      <c r="N103" s="22" t="n">
        <v>10500</v>
      </c>
      <c r="O103" s="23" t="n">
        <v>8</v>
      </c>
      <c r="P103" s="24" t="inlineStr">
        <is>
          <t>UNIDAD</t>
        </is>
      </c>
      <c r="Q103" s="20" t="inlineStr">
        <is>
          <t>NO</t>
        </is>
      </c>
      <c r="R103" s="20" t="inlineStr">
        <is>
          <t>NO</t>
        </is>
      </c>
      <c r="S103" s="25" t="n">
        <v>1</v>
      </c>
      <c r="T103" s="20" t="inlineStr">
        <is>
          <t>NO</t>
        </is>
      </c>
      <c r="U103" s="20" t="inlineStr">
        <is>
          <t>Bodega de pruebas</t>
        </is>
      </c>
      <c r="V103" s="21" t="inlineStr">
        <is>
          <t>Producto ficticio de prueba para validacion de busquedas, inventario, ventas y compras en FERREPRO. No corresponde a inventario real.</t>
        </is>
      </c>
      <c r="W103" s="26" t="n">
        <v>35</v>
      </c>
      <c r="X103" s="27" t="n"/>
      <c r="Y103" s="20" t="n"/>
      <c r="Z103" s="20" t="n"/>
      <c r="AA103" s="26">
        <f>IF(X103="","",X103-IF(W103="",0,W103))</f>
        <v/>
      </c>
      <c r="AB103" s="28">
        <f>IF(OR(X103="",M103=""),"",X103*M103)</f>
        <v/>
      </c>
      <c r="AC103" s="28">
        <f>IF(OR(X103="",N103=""),"",X103*N103)</f>
        <v/>
      </c>
      <c r="AD103" s="28">
        <f>IF(OR(M103="",N103=""),"",N103-M103)</f>
        <v/>
      </c>
      <c r="AE103" s="29">
        <f>IFERROR(IF(M103&gt;0,(N103-M103)/M103,""),"")</f>
        <v/>
      </c>
      <c r="AF103" s="30" t="n"/>
      <c r="AG103" s="30" t="inlineStr">
        <is>
          <t>PENDIENTE</t>
        </is>
      </c>
      <c r="AH103" s="18">
        <f>IF(NOT(OR(B103="EXISTENTE",COUNTA(G103,H103,I103,J103,K103,M103,N103,U103,V103,X103,Y103,Z103,AF103,AJ103)&gt;0)),"",IF(AK103&lt;&gt;"","REVISAR",IF(OR(G103="",H103="",M103="",N103="",O103="",P103="",X103=""),"INCOMPLETO",IF(AI103&lt;&gt;"","REVISAR",IF(AND(AF103&lt;&gt;"",AG103="ESCANEADO"),"LISTO_COMPLETO","LISTO_SIN_BARCODE")))))</f>
        <v/>
      </c>
      <c r="AI103" s="17">
        <f>IF(NOT(OR(B103="EXISTENTE",COUNTA(G103,H103,I103,J103,K103,M103,N103,U103,V103,X103,Y103,Z103,AF103,AJ103)&gt;0)),"",TEXTJOIN(" | ",TRUE,IF(A103="","Falta ID staging",""),IF(COUNTIF($A$5:$A$445,A103)&gt;1,"ID staging duplicado",""),IF(G103="","Falta nombre",""),IF(LEN(G103)&gt;150,"Nombre &gt;150 caracteres",""),IF(H103="","Falta categoría",IF(COUNTIF(CategoriasLista,H103)=0,"Categoría inválida","")),IF(M103="","Falta precio compra",IF(OR(NOT(ISNUMBER(M103)),M103&lt;0),"Precio compra inválido","")),IF(N103="","Falta precio venta",IF(OR(NOT(ISNUMBER(N103)),N103&lt;=0,N103&lt;M103),"Precio venta inválido","")),IF(O103="","Falta stock mínimo",IF(OR(NOT(ISNUMBER(O103)),O103&lt;0,MOD(O103,1)&lt;&gt;0),"Stock mínimo inválido","")),IF(P103="","Falta unidad",IF(COUNTIF(UnidadesLista,P103)=0,"Unidad inválida","")),IF(AND(K103&lt;&gt;"",COUNTIF(ProveedoresLista,K103)=0),"Proveedor no catalogado",""),IF(X103="","Falta cantidad contada",IF(OR(NOT(ISNUMBER(X103)),X103&lt;0,ABS(X103*1000-ROUND(X103*1000,0))&gt;0.0000001),"Cantidad inválida",IF(AND(Q103="NO",MOD(X103,1)&lt;&gt;0),"Cantidad fraccionaria no permitida",""))),IF(AND(R103="SI",OR(NOT(ISNUMBER(S103)),S103&lt;1,MOD(S103,1)&lt;&gt;0)),"Empaque inválido",""),IF(OR(AND(AF103="",AG103="ESCANEADO"),AND(AF103&lt;&gt;"",AG103&lt;&gt;"ESCANEADO")),"Barcode/estado inconsistente",""),IF(AK103&lt;&gt;"",AK103,"")))</f>
        <v/>
      </c>
      <c r="AJ103" s="21" t="n"/>
      <c r="AK103" s="17">
        <f>IF(G103="","",IF(OR(COUNTIFS($G$5:$G$445,G103,$I$5:$I$445,I103,$J$5:$J$445,J103,$P$5:$P$445,P103)&gt;1,AND(AF103&lt;&gt;"",COUNTIF($AF$5:$AF$445,AF103)&gt;1)),"REVISAR_POSIBLE_DUPLICADO",""))</f>
        <v/>
      </c>
    </row>
    <row r="104">
      <c r="A104" s="17" t="inlineStr">
        <is>
          <t>1505e3ae-19fe-5e75-9473-6b606989a463</t>
        </is>
      </c>
      <c r="B104" s="18" t="inlineStr">
        <is>
          <t>EXISTENTE</t>
        </is>
      </c>
      <c r="C104" s="18" t="inlineStr">
        <is>
          <t>ACTIVO</t>
        </is>
      </c>
      <c r="D104" s="18" t="n">
        <v>139</v>
      </c>
      <c r="E104" s="17" t="inlineStr">
        <is>
          <t>63f8cb9a-c3e9-4a72-9137-7d3c58053e79</t>
        </is>
      </c>
      <c r="F104" s="17" t="inlineStr">
        <is>
          <t>PRB-FER-0087</t>
        </is>
      </c>
      <c r="G104" s="19" t="inlineStr">
        <is>
          <t>Llana lisa metálica</t>
        </is>
      </c>
      <c r="H104" s="19" t="inlineStr">
        <is>
          <t>Construcción</t>
        </is>
      </c>
      <c r="I104" s="20" t="inlineStr">
        <is>
          <t>Herracol</t>
        </is>
      </c>
      <c r="J104" s="20" t="inlineStr">
        <is>
          <t>Unidad</t>
        </is>
      </c>
      <c r="K104" s="21" t="inlineStr">
        <is>
          <t>Proveedor Prueba Plomería Nacional</t>
        </is>
      </c>
      <c r="L104" s="18" t="n">
        <v>15</v>
      </c>
      <c r="M104" s="22" t="n">
        <v>17000</v>
      </c>
      <c r="N104" s="22" t="n">
        <v>24000</v>
      </c>
      <c r="O104" s="23" t="n">
        <v>5</v>
      </c>
      <c r="P104" s="24" t="inlineStr">
        <is>
          <t>UNIDAD</t>
        </is>
      </c>
      <c r="Q104" s="20" t="inlineStr">
        <is>
          <t>NO</t>
        </is>
      </c>
      <c r="R104" s="20" t="inlineStr">
        <is>
          <t>NO</t>
        </is>
      </c>
      <c r="S104" s="25" t="n">
        <v>1</v>
      </c>
      <c r="T104" s="20" t="inlineStr">
        <is>
          <t>NO</t>
        </is>
      </c>
      <c r="U104" s="20" t="inlineStr">
        <is>
          <t>Bodega de pruebas</t>
        </is>
      </c>
      <c r="V104" s="21" t="inlineStr">
        <is>
          <t>Producto ficticio de prueba para validacion de busquedas, inventario, ventas y compras en FERREPRO. No corresponde a inventario real.</t>
        </is>
      </c>
      <c r="W104" s="26" t="n">
        <v>22</v>
      </c>
      <c r="X104" s="27" t="n"/>
      <c r="Y104" s="20" t="n"/>
      <c r="Z104" s="20" t="n"/>
      <c r="AA104" s="26">
        <f>IF(X104="","",X104-IF(W104="",0,W104))</f>
        <v/>
      </c>
      <c r="AB104" s="28">
        <f>IF(OR(X104="",M104=""),"",X104*M104)</f>
        <v/>
      </c>
      <c r="AC104" s="28">
        <f>IF(OR(X104="",N104=""),"",X104*N104)</f>
        <v/>
      </c>
      <c r="AD104" s="28">
        <f>IF(OR(M104="",N104=""),"",N104-M104)</f>
        <v/>
      </c>
      <c r="AE104" s="29">
        <f>IFERROR(IF(M104&gt;0,(N104-M104)/M104,""),"")</f>
        <v/>
      </c>
      <c r="AF104" s="30" t="n"/>
      <c r="AG104" s="30" t="inlineStr">
        <is>
          <t>PENDIENTE</t>
        </is>
      </c>
      <c r="AH104" s="18">
        <f>IF(NOT(OR(B104="EXISTENTE",COUNTA(G104,H104,I104,J104,K104,M104,N104,U104,V104,X104,Y104,Z104,AF104,AJ104)&gt;0)),"",IF(AK104&lt;&gt;"","REVISAR",IF(OR(G104="",H104="",M104="",N104="",O104="",P104="",X104=""),"INCOMPLETO",IF(AI104&lt;&gt;"","REVISAR",IF(AND(AF104&lt;&gt;"",AG104="ESCANEADO"),"LISTO_COMPLETO","LISTO_SIN_BARCODE")))))</f>
        <v/>
      </c>
      <c r="AI104" s="17">
        <f>IF(NOT(OR(B104="EXISTENTE",COUNTA(G104,H104,I104,J104,K104,M104,N104,U104,V104,X104,Y104,Z104,AF104,AJ104)&gt;0)),"",TEXTJOIN(" | ",TRUE,IF(A104="","Falta ID staging",""),IF(COUNTIF($A$5:$A$445,A104)&gt;1,"ID staging duplicado",""),IF(G104="","Falta nombre",""),IF(LEN(G104)&gt;150,"Nombre &gt;150 caracteres",""),IF(H104="","Falta categoría",IF(COUNTIF(CategoriasLista,H104)=0,"Categoría inválida","")),IF(M104="","Falta precio compra",IF(OR(NOT(ISNUMBER(M104)),M104&lt;0),"Precio compra inválido","")),IF(N104="","Falta precio venta",IF(OR(NOT(ISNUMBER(N104)),N104&lt;=0,N104&lt;M104),"Precio venta inválido","")),IF(O104="","Falta stock mínimo",IF(OR(NOT(ISNUMBER(O104)),O104&lt;0,MOD(O104,1)&lt;&gt;0),"Stock mínimo inválido","")),IF(P104="","Falta unidad",IF(COUNTIF(UnidadesLista,P104)=0,"Unidad inválida","")),IF(AND(K104&lt;&gt;"",COUNTIF(ProveedoresLista,K104)=0),"Proveedor no catalogado",""),IF(X104="","Falta cantidad contada",IF(OR(NOT(ISNUMBER(X104)),X104&lt;0,ABS(X104*1000-ROUND(X104*1000,0))&gt;0.0000001),"Cantidad inválida",IF(AND(Q104="NO",MOD(X104,1)&lt;&gt;0),"Cantidad fraccionaria no permitida",""))),IF(AND(R104="SI",OR(NOT(ISNUMBER(S104)),S104&lt;1,MOD(S104,1)&lt;&gt;0)),"Empaque inválido",""),IF(OR(AND(AF104="",AG104="ESCANEADO"),AND(AF104&lt;&gt;"",AG104&lt;&gt;"ESCANEADO")),"Barcode/estado inconsistente",""),IF(AK104&lt;&gt;"",AK104,"")))</f>
        <v/>
      </c>
      <c r="AJ104" s="21" t="n"/>
      <c r="AK104" s="17">
        <f>IF(G104="","",IF(OR(COUNTIFS($G$5:$G$445,G104,$I$5:$I$445,I104,$J$5:$J$445,J104,$P$5:$P$445,P104)&gt;1,AND(AF104&lt;&gt;"",COUNTIF($AF$5:$AF$445,AF104)&gt;1)),"REVISAR_POSIBLE_DUPLICADO",""))</f>
        <v/>
      </c>
    </row>
    <row r="105">
      <c r="A105" s="17" t="inlineStr">
        <is>
          <t>97ea4e8a-7483-5c72-a0d1-2592a5884c54</t>
        </is>
      </c>
      <c r="B105" s="18" t="inlineStr">
        <is>
          <t>EXISTENTE</t>
        </is>
      </c>
      <c r="C105" s="18" t="inlineStr">
        <is>
          <t>ACTIVO</t>
        </is>
      </c>
      <c r="D105" s="18" t="n">
        <v>140</v>
      </c>
      <c r="E105" s="17" t="inlineStr">
        <is>
          <t>a3db299b-f995-43d0-aad7-0dd26cf6f42b</t>
        </is>
      </c>
      <c r="F105" s="17" t="inlineStr">
        <is>
          <t>PRB-FER-0088</t>
        </is>
      </c>
      <c r="G105" s="19" t="inlineStr">
        <is>
          <t>Palustre mango madera</t>
        </is>
      </c>
      <c r="H105" s="19" t="inlineStr">
        <is>
          <t>Construcción</t>
        </is>
      </c>
      <c r="I105" s="20" t="inlineStr">
        <is>
          <t>Herracol</t>
        </is>
      </c>
      <c r="J105" s="20" t="inlineStr">
        <is>
          <t>Unidad</t>
        </is>
      </c>
      <c r="K105" s="21" t="inlineStr">
        <is>
          <t>Proveedor Prueba Seguridad y Protección</t>
        </is>
      </c>
      <c r="L105" s="18" t="n">
        <v>16</v>
      </c>
      <c r="M105" s="22" t="n">
        <v>12500</v>
      </c>
      <c r="N105" s="22" t="n">
        <v>18000</v>
      </c>
      <c r="O105" s="23" t="n">
        <v>7</v>
      </c>
      <c r="P105" s="24" t="inlineStr">
        <is>
          <t>UNIDAD</t>
        </is>
      </c>
      <c r="Q105" s="20" t="inlineStr">
        <is>
          <t>NO</t>
        </is>
      </c>
      <c r="R105" s="20" t="inlineStr">
        <is>
          <t>NO</t>
        </is>
      </c>
      <c r="S105" s="25" t="n">
        <v>1</v>
      </c>
      <c r="T105" s="20" t="inlineStr">
        <is>
          <t>NO</t>
        </is>
      </c>
      <c r="U105" s="20" t="inlineStr">
        <is>
          <t>Bodega de pruebas</t>
        </is>
      </c>
      <c r="V105" s="21" t="inlineStr">
        <is>
          <t>Producto ficticio de prueba para validacion de busquedas, inventario, ventas y compras en FERREPRO. No corresponde a inventario real.</t>
        </is>
      </c>
      <c r="W105" s="26" t="n">
        <v>28</v>
      </c>
      <c r="X105" s="27" t="n"/>
      <c r="Y105" s="20" t="n"/>
      <c r="Z105" s="20" t="n"/>
      <c r="AA105" s="26">
        <f>IF(X105="","",X105-IF(W105="",0,W105))</f>
        <v/>
      </c>
      <c r="AB105" s="28">
        <f>IF(OR(X105="",M105=""),"",X105*M105)</f>
        <v/>
      </c>
      <c r="AC105" s="28">
        <f>IF(OR(X105="",N105=""),"",X105*N105)</f>
        <v/>
      </c>
      <c r="AD105" s="28">
        <f>IF(OR(M105="",N105=""),"",N105-M105)</f>
        <v/>
      </c>
      <c r="AE105" s="29">
        <f>IFERROR(IF(M105&gt;0,(N105-M105)/M105,""),"")</f>
        <v/>
      </c>
      <c r="AF105" s="30" t="n"/>
      <c r="AG105" s="30" t="inlineStr">
        <is>
          <t>PENDIENTE</t>
        </is>
      </c>
      <c r="AH105" s="18">
        <f>IF(NOT(OR(B105="EXISTENTE",COUNTA(G105,H105,I105,J105,K105,M105,N105,U105,V105,X105,Y105,Z105,AF105,AJ105)&gt;0)),"",IF(AK105&lt;&gt;"","REVISAR",IF(OR(G105="",H105="",M105="",N105="",O105="",P105="",X105=""),"INCOMPLETO",IF(AI105&lt;&gt;"","REVISAR",IF(AND(AF105&lt;&gt;"",AG105="ESCANEADO"),"LISTO_COMPLETO","LISTO_SIN_BARCODE")))))</f>
        <v/>
      </c>
      <c r="AI105" s="17">
        <f>IF(NOT(OR(B105="EXISTENTE",COUNTA(G105,H105,I105,J105,K105,M105,N105,U105,V105,X105,Y105,Z105,AF105,AJ105)&gt;0)),"",TEXTJOIN(" | ",TRUE,IF(A105="","Falta ID staging",""),IF(COUNTIF($A$5:$A$445,A105)&gt;1,"ID staging duplicado",""),IF(G105="","Falta nombre",""),IF(LEN(G105)&gt;150,"Nombre &gt;150 caracteres",""),IF(H105="","Falta categoría",IF(COUNTIF(CategoriasLista,H105)=0,"Categoría inválida","")),IF(M105="","Falta precio compra",IF(OR(NOT(ISNUMBER(M105)),M105&lt;0),"Precio compra inválido","")),IF(N105="","Falta precio venta",IF(OR(NOT(ISNUMBER(N105)),N105&lt;=0,N105&lt;M105),"Precio venta inválido","")),IF(O105="","Falta stock mínimo",IF(OR(NOT(ISNUMBER(O105)),O105&lt;0,MOD(O105,1)&lt;&gt;0),"Stock mínimo inválido","")),IF(P105="","Falta unidad",IF(COUNTIF(UnidadesLista,P105)=0,"Unidad inválida","")),IF(AND(K105&lt;&gt;"",COUNTIF(ProveedoresLista,K105)=0),"Proveedor no catalogado",""),IF(X105="","Falta cantidad contada",IF(OR(NOT(ISNUMBER(X105)),X105&lt;0,ABS(X105*1000-ROUND(X105*1000,0))&gt;0.0000001),"Cantidad inválida",IF(AND(Q105="NO",MOD(X105,1)&lt;&gt;0),"Cantidad fraccionaria no permitida",""))),IF(AND(R105="SI",OR(NOT(ISNUMBER(S105)),S105&lt;1,MOD(S105,1)&lt;&gt;0)),"Empaque inválido",""),IF(OR(AND(AF105="",AG105="ESCANEADO"),AND(AF105&lt;&gt;"",AG105&lt;&gt;"ESCANEADO")),"Barcode/estado inconsistente",""),IF(AK105&lt;&gt;"",AK105,"")))</f>
        <v/>
      </c>
      <c r="AJ105" s="21" t="n"/>
      <c r="AK105" s="17">
        <f>IF(G105="","",IF(OR(COUNTIFS($G$5:$G$445,G105,$I$5:$I$445,I105,$J$5:$J$445,J105,$P$5:$P$445,P105)&gt;1,AND(AF105&lt;&gt;"",COUNTIF($AF$5:$AF$445,AF105)&gt;1)),"REVISAR_POSIBLE_DUPLICADO",""))</f>
        <v/>
      </c>
    </row>
    <row r="106">
      <c r="A106" s="17" t="inlineStr">
        <is>
          <t>d80cf35b-6035-56af-95b4-478fa7f95c0f</t>
        </is>
      </c>
      <c r="B106" s="18" t="inlineStr">
        <is>
          <t>EXISTENTE</t>
        </is>
      </c>
      <c r="C106" s="18" t="inlineStr">
        <is>
          <t>ACTIVO</t>
        </is>
      </c>
      <c r="D106" s="18" t="n">
        <v>141</v>
      </c>
      <c r="E106" s="17" t="inlineStr">
        <is>
          <t>515b2a35-7610-4682-9250-d8b5e8e34569</t>
        </is>
      </c>
      <c r="F106" s="17" t="inlineStr">
        <is>
          <t>PRB-FER-0089</t>
        </is>
      </c>
      <c r="G106" s="19" t="inlineStr">
        <is>
          <t>Guantes carnaza</t>
        </is>
      </c>
      <c r="H106" s="19" t="inlineStr">
        <is>
          <t>Seguridad industrial</t>
        </is>
      </c>
      <c r="I106" s="20" t="inlineStr">
        <is>
          <t>SegurPro</t>
        </is>
      </c>
      <c r="J106" s="20" t="inlineStr">
        <is>
          <t>Par</t>
        </is>
      </c>
      <c r="K106" s="21" t="inlineStr">
        <is>
          <t>Proveedor Prueba Ferretería Central S.A.S.</t>
        </is>
      </c>
      <c r="L106" s="18" t="n">
        <v>9</v>
      </c>
      <c r="M106" s="22" t="n">
        <v>10500</v>
      </c>
      <c r="N106" s="22" t="n">
        <v>15000</v>
      </c>
      <c r="O106" s="23" t="n">
        <v>15</v>
      </c>
      <c r="P106" s="24" t="inlineStr">
        <is>
          <t>PAR</t>
        </is>
      </c>
      <c r="Q106" s="20" t="inlineStr">
        <is>
          <t>NO</t>
        </is>
      </c>
      <c r="R106" s="20" t="inlineStr">
        <is>
          <t>NO</t>
        </is>
      </c>
      <c r="S106" s="25" t="n">
        <v>1</v>
      </c>
      <c r="T106" s="20" t="inlineStr">
        <is>
          <t>NO</t>
        </is>
      </c>
      <c r="U106" s="20" t="inlineStr">
        <is>
          <t>Bodega de pruebas</t>
        </is>
      </c>
      <c r="V106" s="21" t="inlineStr">
        <is>
          <t>Producto ficticio de prueba para validacion de busquedas, inventario, ventas y compras en FERREPRO. No corresponde a inventario real.</t>
        </is>
      </c>
      <c r="W106" s="26" t="n">
        <v>60</v>
      </c>
      <c r="X106" s="27" t="n"/>
      <c r="Y106" s="20" t="n"/>
      <c r="Z106" s="20" t="n"/>
      <c r="AA106" s="26">
        <f>IF(X106="","",X106-IF(W106="",0,W106))</f>
        <v/>
      </c>
      <c r="AB106" s="28">
        <f>IF(OR(X106="",M106=""),"",X106*M106)</f>
        <v/>
      </c>
      <c r="AC106" s="28">
        <f>IF(OR(X106="",N106=""),"",X106*N106)</f>
        <v/>
      </c>
      <c r="AD106" s="28">
        <f>IF(OR(M106="",N106=""),"",N106-M106)</f>
        <v/>
      </c>
      <c r="AE106" s="29">
        <f>IFERROR(IF(M106&gt;0,(N106-M106)/M106,""),"")</f>
        <v/>
      </c>
      <c r="AF106" s="30" t="n"/>
      <c r="AG106" s="30" t="inlineStr">
        <is>
          <t>PENDIENTE</t>
        </is>
      </c>
      <c r="AH106" s="18">
        <f>IF(NOT(OR(B106="EXISTENTE",COUNTA(G106,H106,I106,J106,K106,M106,N106,U106,V106,X106,Y106,Z106,AF106,AJ106)&gt;0)),"",IF(AK106&lt;&gt;"","REVISAR",IF(OR(G106="",H106="",M106="",N106="",O106="",P106="",X106=""),"INCOMPLETO",IF(AI106&lt;&gt;"","REVISAR",IF(AND(AF106&lt;&gt;"",AG106="ESCANEADO"),"LISTO_COMPLETO","LISTO_SIN_BARCODE")))))</f>
        <v/>
      </c>
      <c r="AI106" s="17">
        <f>IF(NOT(OR(B106="EXISTENTE",COUNTA(G106,H106,I106,J106,K106,M106,N106,U106,V106,X106,Y106,Z106,AF106,AJ106)&gt;0)),"",TEXTJOIN(" | ",TRUE,IF(A106="","Falta ID staging",""),IF(COUNTIF($A$5:$A$445,A106)&gt;1,"ID staging duplicado",""),IF(G106="","Falta nombre",""),IF(LEN(G106)&gt;150,"Nombre &gt;150 caracteres",""),IF(H106="","Falta categoría",IF(COUNTIF(CategoriasLista,H106)=0,"Categoría inválida","")),IF(M106="","Falta precio compra",IF(OR(NOT(ISNUMBER(M106)),M106&lt;0),"Precio compra inválido","")),IF(N106="","Falta precio venta",IF(OR(NOT(ISNUMBER(N106)),N106&lt;=0,N106&lt;M106),"Precio venta inválido","")),IF(O106="","Falta stock mínimo",IF(OR(NOT(ISNUMBER(O106)),O106&lt;0,MOD(O106,1)&lt;&gt;0),"Stock mínimo inválido","")),IF(P106="","Falta unidad",IF(COUNTIF(UnidadesLista,P106)=0,"Unidad inválida","")),IF(AND(K106&lt;&gt;"",COUNTIF(ProveedoresLista,K106)=0),"Proveedor no catalogado",""),IF(X106="","Falta cantidad contada",IF(OR(NOT(ISNUMBER(X106)),X106&lt;0,ABS(X106*1000-ROUND(X106*1000,0))&gt;0.0000001),"Cantidad inválida",IF(AND(Q106="NO",MOD(X106,1)&lt;&gt;0),"Cantidad fraccionaria no permitida",""))),IF(AND(R106="SI",OR(NOT(ISNUMBER(S106)),S106&lt;1,MOD(S106,1)&lt;&gt;0)),"Empaque inválido",""),IF(OR(AND(AF106="",AG106="ESCANEADO"),AND(AF106&lt;&gt;"",AG106&lt;&gt;"ESCANEADO")),"Barcode/estado inconsistente",""),IF(AK106&lt;&gt;"",AK106,"")))</f>
        <v/>
      </c>
      <c r="AJ106" s="21" t="n"/>
      <c r="AK106" s="17">
        <f>IF(G106="","",IF(OR(COUNTIFS($G$5:$G$445,G106,$I$5:$I$445,I106,$J$5:$J$445,J106,$P$5:$P$445,P106)&gt;1,AND(AF106&lt;&gt;"",COUNTIF($AF$5:$AF$445,AF106)&gt;1)),"REVISAR_POSIBLE_DUPLICADO",""))</f>
        <v/>
      </c>
    </row>
    <row r="107">
      <c r="A107" s="17" t="inlineStr">
        <is>
          <t>43a9ca38-5e75-552d-97ab-7093fdd0a741</t>
        </is>
      </c>
      <c r="B107" s="18" t="inlineStr">
        <is>
          <t>EXISTENTE</t>
        </is>
      </c>
      <c r="C107" s="18" t="inlineStr">
        <is>
          <t>ACTIVO</t>
        </is>
      </c>
      <c r="D107" s="18" t="n">
        <v>142</v>
      </c>
      <c r="E107" s="17" t="inlineStr">
        <is>
          <t>c6ffb017-dd81-46d4-bb24-8be254afeec4</t>
        </is>
      </c>
      <c r="F107" s="17" t="inlineStr">
        <is>
          <t>PRB-FER-0090</t>
        </is>
      </c>
      <c r="G107" s="19" t="inlineStr">
        <is>
          <t>Guantes nitrilo</t>
        </is>
      </c>
      <c r="H107" s="19" t="inlineStr">
        <is>
          <t>Seguridad industrial</t>
        </is>
      </c>
      <c r="I107" s="20" t="inlineStr">
        <is>
          <t>SegurPro</t>
        </is>
      </c>
      <c r="J107" s="20" t="inlineStr">
        <is>
          <t>Par</t>
        </is>
      </c>
      <c r="K107" s="21" t="inlineStr">
        <is>
          <t>Proveedor Prueba ConstruMateriales del Norte</t>
        </is>
      </c>
      <c r="L107" s="18" t="n">
        <v>10</v>
      </c>
      <c r="M107" s="22" t="n">
        <v>7000</v>
      </c>
      <c r="N107" s="22" t="n">
        <v>10000</v>
      </c>
      <c r="O107" s="23" t="n">
        <v>17</v>
      </c>
      <c r="P107" s="24" t="inlineStr">
        <is>
          <t>PAR</t>
        </is>
      </c>
      <c r="Q107" s="20" t="inlineStr">
        <is>
          <t>NO</t>
        </is>
      </c>
      <c r="R107" s="20" t="inlineStr">
        <is>
          <t>NO</t>
        </is>
      </c>
      <c r="S107" s="25" t="n">
        <v>1</v>
      </c>
      <c r="T107" s="20" t="inlineStr">
        <is>
          <t>NO</t>
        </is>
      </c>
      <c r="U107" s="20" t="inlineStr">
        <is>
          <t>Bodega de pruebas</t>
        </is>
      </c>
      <c r="V107" s="21" t="inlineStr">
        <is>
          <t>Producto ficticio de prueba para validacion de busquedas, inventario, ventas y compras en FERREPRO. No corresponde a inventario real.</t>
        </is>
      </c>
      <c r="W107" s="26" t="n">
        <v>70</v>
      </c>
      <c r="X107" s="27" t="n"/>
      <c r="Y107" s="20" t="n"/>
      <c r="Z107" s="20" t="n"/>
      <c r="AA107" s="26">
        <f>IF(X107="","",X107-IF(W107="",0,W107))</f>
        <v/>
      </c>
      <c r="AB107" s="28">
        <f>IF(OR(X107="",M107=""),"",X107*M107)</f>
        <v/>
      </c>
      <c r="AC107" s="28">
        <f>IF(OR(X107="",N107=""),"",X107*N107)</f>
        <v/>
      </c>
      <c r="AD107" s="28">
        <f>IF(OR(M107="",N107=""),"",N107-M107)</f>
        <v/>
      </c>
      <c r="AE107" s="29">
        <f>IFERROR(IF(M107&gt;0,(N107-M107)/M107,""),"")</f>
        <v/>
      </c>
      <c r="AF107" s="30" t="n"/>
      <c r="AG107" s="30" t="inlineStr">
        <is>
          <t>PENDIENTE</t>
        </is>
      </c>
      <c r="AH107" s="18">
        <f>IF(NOT(OR(B107="EXISTENTE",COUNTA(G107,H107,I107,J107,K107,M107,N107,U107,V107,X107,Y107,Z107,AF107,AJ107)&gt;0)),"",IF(AK107&lt;&gt;"","REVISAR",IF(OR(G107="",H107="",M107="",N107="",O107="",P107="",X107=""),"INCOMPLETO",IF(AI107&lt;&gt;"","REVISAR",IF(AND(AF107&lt;&gt;"",AG107="ESCANEADO"),"LISTO_COMPLETO","LISTO_SIN_BARCODE")))))</f>
        <v/>
      </c>
      <c r="AI107" s="17">
        <f>IF(NOT(OR(B107="EXISTENTE",COUNTA(G107,H107,I107,J107,K107,M107,N107,U107,V107,X107,Y107,Z107,AF107,AJ107)&gt;0)),"",TEXTJOIN(" | ",TRUE,IF(A107="","Falta ID staging",""),IF(COUNTIF($A$5:$A$445,A107)&gt;1,"ID staging duplicado",""),IF(G107="","Falta nombre",""),IF(LEN(G107)&gt;150,"Nombre &gt;150 caracteres",""),IF(H107="","Falta categoría",IF(COUNTIF(CategoriasLista,H107)=0,"Categoría inválida","")),IF(M107="","Falta precio compra",IF(OR(NOT(ISNUMBER(M107)),M107&lt;0),"Precio compra inválido","")),IF(N107="","Falta precio venta",IF(OR(NOT(ISNUMBER(N107)),N107&lt;=0,N107&lt;M107),"Precio venta inválido","")),IF(O107="","Falta stock mínimo",IF(OR(NOT(ISNUMBER(O107)),O107&lt;0,MOD(O107,1)&lt;&gt;0),"Stock mínimo inválido","")),IF(P107="","Falta unidad",IF(COUNTIF(UnidadesLista,P107)=0,"Unidad inválida","")),IF(AND(K107&lt;&gt;"",COUNTIF(ProveedoresLista,K107)=0),"Proveedor no catalogado",""),IF(X107="","Falta cantidad contada",IF(OR(NOT(ISNUMBER(X107)),X107&lt;0,ABS(X107*1000-ROUND(X107*1000,0))&gt;0.0000001),"Cantidad inválida",IF(AND(Q107="NO",MOD(X107,1)&lt;&gt;0),"Cantidad fraccionaria no permitida",""))),IF(AND(R107="SI",OR(NOT(ISNUMBER(S107)),S107&lt;1,MOD(S107,1)&lt;&gt;0)),"Empaque inválido",""),IF(OR(AND(AF107="",AG107="ESCANEADO"),AND(AF107&lt;&gt;"",AG107&lt;&gt;"ESCANEADO")),"Barcode/estado inconsistente",""),IF(AK107&lt;&gt;"",AK107,"")))</f>
        <v/>
      </c>
      <c r="AJ107" s="21" t="n"/>
      <c r="AK107" s="17">
        <f>IF(G107="","",IF(OR(COUNTIFS($G$5:$G$445,G107,$I$5:$I$445,I107,$J$5:$J$445,J107,$P$5:$P$445,P107)&gt;1,AND(AF107&lt;&gt;"",COUNTIF($AF$5:$AF$445,AF107)&gt;1)),"REVISAR_POSIBLE_DUPLICADO",""))</f>
        <v/>
      </c>
    </row>
    <row r="108">
      <c r="A108" s="17" t="inlineStr">
        <is>
          <t>cb3d0c8d-738e-59cb-8525-76250a82d3b4</t>
        </is>
      </c>
      <c r="B108" s="18" t="inlineStr">
        <is>
          <t>EXISTENTE</t>
        </is>
      </c>
      <c r="C108" s="18" t="inlineStr">
        <is>
          <t>ACTIVO</t>
        </is>
      </c>
      <c r="D108" s="18" t="n">
        <v>143</v>
      </c>
      <c r="E108" s="17" t="inlineStr">
        <is>
          <t>689f7628-ba1e-4fe0-8d54-d5112c2f7948</t>
        </is>
      </c>
      <c r="F108" s="17" t="inlineStr">
        <is>
          <t>PRB-FER-0091</t>
        </is>
      </c>
      <c r="G108" s="19" t="inlineStr">
        <is>
          <t>Gafas de seguridad transparentes</t>
        </is>
      </c>
      <c r="H108" s="19" t="inlineStr">
        <is>
          <t>Seguridad industrial</t>
        </is>
      </c>
      <c r="I108" s="20" t="inlineStr">
        <is>
          <t>SegurPro</t>
        </is>
      </c>
      <c r="J108" s="20" t="inlineStr">
        <is>
          <t>Unidad</t>
        </is>
      </c>
      <c r="K108" s="21" t="inlineStr">
        <is>
          <t>Proveedor Prueba Tornillos y Fijaciones Andinas</t>
        </is>
      </c>
      <c r="L108" s="18" t="n">
        <v>11</v>
      </c>
      <c r="M108" s="22" t="n">
        <v>8000</v>
      </c>
      <c r="N108" s="22" t="n">
        <v>11500</v>
      </c>
      <c r="O108" s="23" t="n">
        <v>13</v>
      </c>
      <c r="P108" s="24" t="inlineStr">
        <is>
          <t>UNIDAD</t>
        </is>
      </c>
      <c r="Q108" s="20" t="inlineStr">
        <is>
          <t>NO</t>
        </is>
      </c>
      <c r="R108" s="20" t="inlineStr">
        <is>
          <t>NO</t>
        </is>
      </c>
      <c r="S108" s="25" t="n">
        <v>1</v>
      </c>
      <c r="T108" s="20" t="inlineStr">
        <is>
          <t>NO</t>
        </is>
      </c>
      <c r="U108" s="20" t="inlineStr">
        <is>
          <t>Bodega de pruebas</t>
        </is>
      </c>
      <c r="V108" s="21" t="inlineStr">
        <is>
          <t>Producto ficticio de prueba para validacion de busquedas, inventario, ventas y compras en FERREPRO. No corresponde a inventario real.</t>
        </is>
      </c>
      <c r="W108" s="26" t="n">
        <v>55</v>
      </c>
      <c r="X108" s="27" t="n"/>
      <c r="Y108" s="20" t="n"/>
      <c r="Z108" s="20" t="n"/>
      <c r="AA108" s="26">
        <f>IF(X108="","",X108-IF(W108="",0,W108))</f>
        <v/>
      </c>
      <c r="AB108" s="28">
        <f>IF(OR(X108="",M108=""),"",X108*M108)</f>
        <v/>
      </c>
      <c r="AC108" s="28">
        <f>IF(OR(X108="",N108=""),"",X108*N108)</f>
        <v/>
      </c>
      <c r="AD108" s="28">
        <f>IF(OR(M108="",N108=""),"",N108-M108)</f>
        <v/>
      </c>
      <c r="AE108" s="29">
        <f>IFERROR(IF(M108&gt;0,(N108-M108)/M108,""),"")</f>
        <v/>
      </c>
      <c r="AF108" s="30" t="n"/>
      <c r="AG108" s="30" t="inlineStr">
        <is>
          <t>PENDIENTE</t>
        </is>
      </c>
      <c r="AH108" s="18">
        <f>IF(NOT(OR(B108="EXISTENTE",COUNTA(G108,H108,I108,J108,K108,M108,N108,U108,V108,X108,Y108,Z108,AF108,AJ108)&gt;0)),"",IF(AK108&lt;&gt;"","REVISAR",IF(OR(G108="",H108="",M108="",N108="",O108="",P108="",X108=""),"INCOMPLETO",IF(AI108&lt;&gt;"","REVISAR",IF(AND(AF108&lt;&gt;"",AG108="ESCANEADO"),"LISTO_COMPLETO","LISTO_SIN_BARCODE")))))</f>
        <v/>
      </c>
      <c r="AI108" s="17">
        <f>IF(NOT(OR(B108="EXISTENTE",COUNTA(G108,H108,I108,J108,K108,M108,N108,U108,V108,X108,Y108,Z108,AF108,AJ108)&gt;0)),"",TEXTJOIN(" | ",TRUE,IF(A108="","Falta ID staging",""),IF(COUNTIF($A$5:$A$445,A108)&gt;1,"ID staging duplicado",""),IF(G108="","Falta nombre",""),IF(LEN(G108)&gt;150,"Nombre &gt;150 caracteres",""),IF(H108="","Falta categoría",IF(COUNTIF(CategoriasLista,H108)=0,"Categoría inválida","")),IF(M108="","Falta precio compra",IF(OR(NOT(ISNUMBER(M108)),M108&lt;0),"Precio compra inválido","")),IF(N108="","Falta precio venta",IF(OR(NOT(ISNUMBER(N108)),N108&lt;=0,N108&lt;M108),"Precio venta inválido","")),IF(O108="","Falta stock mínimo",IF(OR(NOT(ISNUMBER(O108)),O108&lt;0,MOD(O108,1)&lt;&gt;0),"Stock mínimo inválido","")),IF(P108="","Falta unidad",IF(COUNTIF(UnidadesLista,P108)=0,"Unidad inválida","")),IF(AND(K108&lt;&gt;"",COUNTIF(ProveedoresLista,K108)=0),"Proveedor no catalogado",""),IF(X108="","Falta cantidad contada",IF(OR(NOT(ISNUMBER(X108)),X108&lt;0,ABS(X108*1000-ROUND(X108*1000,0))&gt;0.0000001),"Cantidad inválida",IF(AND(Q108="NO",MOD(X108,1)&lt;&gt;0),"Cantidad fraccionaria no permitida",""))),IF(AND(R108="SI",OR(NOT(ISNUMBER(S108)),S108&lt;1,MOD(S108,1)&lt;&gt;0)),"Empaque inválido",""),IF(OR(AND(AF108="",AG108="ESCANEADO"),AND(AF108&lt;&gt;"",AG108&lt;&gt;"ESCANEADO")),"Barcode/estado inconsistente",""),IF(AK108&lt;&gt;"",AK108,"")))</f>
        <v/>
      </c>
      <c r="AJ108" s="21" t="n"/>
      <c r="AK108" s="17">
        <f>IF(G108="","",IF(OR(COUNTIFS($G$5:$G$445,G108,$I$5:$I$445,I108,$J$5:$J$445,J108,$P$5:$P$445,P108)&gt;1,AND(AF108&lt;&gt;"",COUNTIF($AF$5:$AF$445,AF108)&gt;1)),"REVISAR_POSIBLE_DUPLICADO",""))</f>
        <v/>
      </c>
    </row>
    <row r="109">
      <c r="A109" s="17" t="inlineStr">
        <is>
          <t>15fac3d4-e52e-53bc-9bfa-80959f92864c</t>
        </is>
      </c>
      <c r="B109" s="18" t="inlineStr">
        <is>
          <t>EXISTENTE</t>
        </is>
      </c>
      <c r="C109" s="18" t="inlineStr">
        <is>
          <t>ACTIVO</t>
        </is>
      </c>
      <c r="D109" s="18" t="n">
        <v>144</v>
      </c>
      <c r="E109" s="17" t="inlineStr">
        <is>
          <t>4a6dd36e-4456-47ed-8128-8c9480b5a7df</t>
        </is>
      </c>
      <c r="F109" s="17" t="inlineStr">
        <is>
          <t>PRB-FER-0092</t>
        </is>
      </c>
      <c r="G109" s="19" t="inlineStr">
        <is>
          <t>Protector auditivo tipo copa</t>
        </is>
      </c>
      <c r="H109" s="19" t="inlineStr">
        <is>
          <t>Seguridad industrial</t>
        </is>
      </c>
      <c r="I109" s="20" t="inlineStr">
        <is>
          <t>SegurPro</t>
        </is>
      </c>
      <c r="J109" s="20" t="inlineStr">
        <is>
          <t>Unidad</t>
        </is>
      </c>
      <c r="K109" s="21" t="inlineStr">
        <is>
          <t>Proveedor Prueba Eléctricos Colombia</t>
        </is>
      </c>
      <c r="L109" s="18" t="n">
        <v>12</v>
      </c>
      <c r="M109" s="22" t="n">
        <v>22000</v>
      </c>
      <c r="N109" s="22" t="n">
        <v>31000</v>
      </c>
      <c r="O109" s="23" t="n">
        <v>6</v>
      </c>
      <c r="P109" s="24" t="inlineStr">
        <is>
          <t>UNIDAD</t>
        </is>
      </c>
      <c r="Q109" s="20" t="inlineStr">
        <is>
          <t>NO</t>
        </is>
      </c>
      <c r="R109" s="20" t="inlineStr">
        <is>
          <t>NO</t>
        </is>
      </c>
      <c r="S109" s="25" t="n">
        <v>1</v>
      </c>
      <c r="T109" s="20" t="inlineStr">
        <is>
          <t>NO</t>
        </is>
      </c>
      <c r="U109" s="20" t="inlineStr">
        <is>
          <t>Bodega de pruebas</t>
        </is>
      </c>
      <c r="V109" s="21" t="inlineStr">
        <is>
          <t>Producto ficticio de prueba para validacion de busquedas, inventario, ventas y compras en FERREPRO. No corresponde a inventario real.</t>
        </is>
      </c>
      <c r="W109" s="26" t="n">
        <v>25</v>
      </c>
      <c r="X109" s="27" t="n"/>
      <c r="Y109" s="20" t="n"/>
      <c r="Z109" s="20" t="n"/>
      <c r="AA109" s="26">
        <f>IF(X109="","",X109-IF(W109="",0,W109))</f>
        <v/>
      </c>
      <c r="AB109" s="28">
        <f>IF(OR(X109="",M109=""),"",X109*M109)</f>
        <v/>
      </c>
      <c r="AC109" s="28">
        <f>IF(OR(X109="",N109=""),"",X109*N109)</f>
        <v/>
      </c>
      <c r="AD109" s="28">
        <f>IF(OR(M109="",N109=""),"",N109-M109)</f>
        <v/>
      </c>
      <c r="AE109" s="29">
        <f>IFERROR(IF(M109&gt;0,(N109-M109)/M109,""),"")</f>
        <v/>
      </c>
      <c r="AF109" s="30" t="n"/>
      <c r="AG109" s="30" t="inlineStr">
        <is>
          <t>PENDIENTE</t>
        </is>
      </c>
      <c r="AH109" s="18">
        <f>IF(NOT(OR(B109="EXISTENTE",COUNTA(G109,H109,I109,J109,K109,M109,N109,U109,V109,X109,Y109,Z109,AF109,AJ109)&gt;0)),"",IF(AK109&lt;&gt;"","REVISAR",IF(OR(G109="",H109="",M109="",N109="",O109="",P109="",X109=""),"INCOMPLETO",IF(AI109&lt;&gt;"","REVISAR",IF(AND(AF109&lt;&gt;"",AG109="ESCANEADO"),"LISTO_COMPLETO","LISTO_SIN_BARCODE")))))</f>
        <v/>
      </c>
      <c r="AI109" s="17">
        <f>IF(NOT(OR(B109="EXISTENTE",COUNTA(G109,H109,I109,J109,K109,M109,N109,U109,V109,X109,Y109,Z109,AF109,AJ109)&gt;0)),"",TEXTJOIN(" | ",TRUE,IF(A109="","Falta ID staging",""),IF(COUNTIF($A$5:$A$445,A109)&gt;1,"ID staging duplicado",""),IF(G109="","Falta nombre",""),IF(LEN(G109)&gt;150,"Nombre &gt;150 caracteres",""),IF(H109="","Falta categoría",IF(COUNTIF(CategoriasLista,H109)=0,"Categoría inválida","")),IF(M109="","Falta precio compra",IF(OR(NOT(ISNUMBER(M109)),M109&lt;0),"Precio compra inválido","")),IF(N109="","Falta precio venta",IF(OR(NOT(ISNUMBER(N109)),N109&lt;=0,N109&lt;M109),"Precio venta inválido","")),IF(O109="","Falta stock mínimo",IF(OR(NOT(ISNUMBER(O109)),O109&lt;0,MOD(O109,1)&lt;&gt;0),"Stock mínimo inválido","")),IF(P109="","Falta unidad",IF(COUNTIF(UnidadesLista,P109)=0,"Unidad inválida","")),IF(AND(K109&lt;&gt;"",COUNTIF(ProveedoresLista,K109)=0),"Proveedor no catalogado",""),IF(X109="","Falta cantidad contada",IF(OR(NOT(ISNUMBER(X109)),X109&lt;0,ABS(X109*1000-ROUND(X109*1000,0))&gt;0.0000001),"Cantidad inválida",IF(AND(Q109="NO",MOD(X109,1)&lt;&gt;0),"Cantidad fraccionaria no permitida",""))),IF(AND(R109="SI",OR(NOT(ISNUMBER(S109)),S109&lt;1,MOD(S109,1)&lt;&gt;0)),"Empaque inválido",""),IF(OR(AND(AF109="",AG109="ESCANEADO"),AND(AF109&lt;&gt;"",AG109&lt;&gt;"ESCANEADO")),"Barcode/estado inconsistente",""),IF(AK109&lt;&gt;"",AK109,"")))</f>
        <v/>
      </c>
      <c r="AJ109" s="21" t="n"/>
      <c r="AK109" s="17">
        <f>IF(G109="","",IF(OR(COUNTIFS($G$5:$G$445,G109,$I$5:$I$445,I109,$J$5:$J$445,J109,$P$5:$P$445,P109)&gt;1,AND(AF109&lt;&gt;"",COUNTIF($AF$5:$AF$445,AF109)&gt;1)),"REVISAR_POSIBLE_DUPLICADO",""))</f>
        <v/>
      </c>
    </row>
    <row r="110">
      <c r="A110" s="17" t="inlineStr">
        <is>
          <t>bbc63239-8f4f-597c-a6c5-5f5da1b07db9</t>
        </is>
      </c>
      <c r="B110" s="18" t="inlineStr">
        <is>
          <t>EXISTENTE</t>
        </is>
      </c>
      <c r="C110" s="18" t="inlineStr">
        <is>
          <t>ACTIVO</t>
        </is>
      </c>
      <c r="D110" s="18" t="n">
        <v>145</v>
      </c>
      <c r="E110" s="17" t="inlineStr">
        <is>
          <t>d5590812-bd66-4bae-8fc7-beeb65d79f88</t>
        </is>
      </c>
      <c r="F110" s="17" t="inlineStr">
        <is>
          <t>PRB-FER-0093</t>
        </is>
      </c>
      <c r="G110" s="19" t="inlineStr">
        <is>
          <t>Casco de seguridad amarillo</t>
        </is>
      </c>
      <c r="H110" s="19" t="inlineStr">
        <is>
          <t>Seguridad industrial</t>
        </is>
      </c>
      <c r="I110" s="20" t="inlineStr">
        <is>
          <t>SegurPro</t>
        </is>
      </c>
      <c r="J110" s="20" t="inlineStr">
        <is>
          <t>Unidad</t>
        </is>
      </c>
      <c r="K110" s="21" t="inlineStr">
        <is>
          <t>Proveedor Prueba Pinturas y Acabados</t>
        </is>
      </c>
      <c r="L110" s="18" t="n">
        <v>13</v>
      </c>
      <c r="M110" s="22" t="n">
        <v>18000</v>
      </c>
      <c r="N110" s="22" t="n">
        <v>26000</v>
      </c>
      <c r="O110" s="23" t="n">
        <v>7</v>
      </c>
      <c r="P110" s="24" t="inlineStr">
        <is>
          <t>UNIDAD</t>
        </is>
      </c>
      <c r="Q110" s="20" t="inlineStr">
        <is>
          <t>NO</t>
        </is>
      </c>
      <c r="R110" s="20" t="inlineStr">
        <is>
          <t>NO</t>
        </is>
      </c>
      <c r="S110" s="25" t="n">
        <v>1</v>
      </c>
      <c r="T110" s="20" t="inlineStr">
        <is>
          <t>NO</t>
        </is>
      </c>
      <c r="U110" s="20" t="inlineStr">
        <is>
          <t>Bodega de pruebas</t>
        </is>
      </c>
      <c r="V110" s="21" t="inlineStr">
        <is>
          <t>Producto ficticio de prueba para validacion de busquedas, inventario, ventas y compras en FERREPRO. No corresponde a inventario real.</t>
        </is>
      </c>
      <c r="W110" s="26" t="n">
        <v>30</v>
      </c>
      <c r="X110" s="27" t="n"/>
      <c r="Y110" s="20" t="n"/>
      <c r="Z110" s="20" t="n"/>
      <c r="AA110" s="26">
        <f>IF(X110="","",X110-IF(W110="",0,W110))</f>
        <v/>
      </c>
      <c r="AB110" s="28">
        <f>IF(OR(X110="",M110=""),"",X110*M110)</f>
        <v/>
      </c>
      <c r="AC110" s="28">
        <f>IF(OR(X110="",N110=""),"",X110*N110)</f>
        <v/>
      </c>
      <c r="AD110" s="28">
        <f>IF(OR(M110="",N110=""),"",N110-M110)</f>
        <v/>
      </c>
      <c r="AE110" s="29">
        <f>IFERROR(IF(M110&gt;0,(N110-M110)/M110,""),"")</f>
        <v/>
      </c>
      <c r="AF110" s="30" t="n"/>
      <c r="AG110" s="30" t="inlineStr">
        <is>
          <t>PENDIENTE</t>
        </is>
      </c>
      <c r="AH110" s="18">
        <f>IF(NOT(OR(B110="EXISTENTE",COUNTA(G110,H110,I110,J110,K110,M110,N110,U110,V110,X110,Y110,Z110,AF110,AJ110)&gt;0)),"",IF(AK110&lt;&gt;"","REVISAR",IF(OR(G110="",H110="",M110="",N110="",O110="",P110="",X110=""),"INCOMPLETO",IF(AI110&lt;&gt;"","REVISAR",IF(AND(AF110&lt;&gt;"",AG110="ESCANEADO"),"LISTO_COMPLETO","LISTO_SIN_BARCODE")))))</f>
        <v/>
      </c>
      <c r="AI110" s="17">
        <f>IF(NOT(OR(B110="EXISTENTE",COUNTA(G110,H110,I110,J110,K110,M110,N110,U110,V110,X110,Y110,Z110,AF110,AJ110)&gt;0)),"",TEXTJOIN(" | ",TRUE,IF(A110="","Falta ID staging",""),IF(COUNTIF($A$5:$A$445,A110)&gt;1,"ID staging duplicado",""),IF(G110="","Falta nombre",""),IF(LEN(G110)&gt;150,"Nombre &gt;150 caracteres",""),IF(H110="","Falta categoría",IF(COUNTIF(CategoriasLista,H110)=0,"Categoría inválida","")),IF(M110="","Falta precio compra",IF(OR(NOT(ISNUMBER(M110)),M110&lt;0),"Precio compra inválido","")),IF(N110="","Falta precio venta",IF(OR(NOT(ISNUMBER(N110)),N110&lt;=0,N110&lt;M110),"Precio venta inválido","")),IF(O110="","Falta stock mínimo",IF(OR(NOT(ISNUMBER(O110)),O110&lt;0,MOD(O110,1)&lt;&gt;0),"Stock mínimo inválido","")),IF(P110="","Falta unidad",IF(COUNTIF(UnidadesLista,P110)=0,"Unidad inválida","")),IF(AND(K110&lt;&gt;"",COUNTIF(ProveedoresLista,K110)=0),"Proveedor no catalogado",""),IF(X110="","Falta cantidad contada",IF(OR(NOT(ISNUMBER(X110)),X110&lt;0,ABS(X110*1000-ROUND(X110*1000,0))&gt;0.0000001),"Cantidad inválida",IF(AND(Q110="NO",MOD(X110,1)&lt;&gt;0),"Cantidad fraccionaria no permitida",""))),IF(AND(R110="SI",OR(NOT(ISNUMBER(S110)),S110&lt;1,MOD(S110,1)&lt;&gt;0)),"Empaque inválido",""),IF(OR(AND(AF110="",AG110="ESCANEADO"),AND(AF110&lt;&gt;"",AG110&lt;&gt;"ESCANEADO")),"Barcode/estado inconsistente",""),IF(AK110&lt;&gt;"",AK110,"")))</f>
        <v/>
      </c>
      <c r="AJ110" s="21" t="n"/>
      <c r="AK110" s="17">
        <f>IF(G110="","",IF(OR(COUNTIFS($G$5:$G$445,G110,$I$5:$I$445,I110,$J$5:$J$445,J110,$P$5:$P$445,P110)&gt;1,AND(AF110&lt;&gt;"",COUNTIF($AF$5:$AF$445,AF110)&gt;1)),"REVISAR_POSIBLE_DUPLICADO",""))</f>
        <v/>
      </c>
    </row>
    <row r="111">
      <c r="A111" s="17" t="inlineStr">
        <is>
          <t>b54d6ba1-ddfc-5dbb-80b0-b06f8ce30c26</t>
        </is>
      </c>
      <c r="B111" s="18" t="inlineStr">
        <is>
          <t>EXISTENTE</t>
        </is>
      </c>
      <c r="C111" s="18" t="inlineStr">
        <is>
          <t>ACTIVO</t>
        </is>
      </c>
      <c r="D111" s="18" t="n">
        <v>146</v>
      </c>
      <c r="E111" s="17" t="inlineStr">
        <is>
          <t>9c1ce6dc-9c27-416d-914f-7f520d100f4c</t>
        </is>
      </c>
      <c r="F111" s="17" t="inlineStr">
        <is>
          <t>PRB-FER-0094</t>
        </is>
      </c>
      <c r="G111" s="19" t="inlineStr">
        <is>
          <t>Tapabocas industrial N95</t>
        </is>
      </c>
      <c r="H111" s="19" t="inlineStr">
        <is>
          <t>Seguridad industrial</t>
        </is>
      </c>
      <c r="I111" s="20" t="inlineStr">
        <is>
          <t>SegurPro</t>
        </is>
      </c>
      <c r="J111" s="20" t="inlineStr">
        <is>
          <t>Unidad</t>
        </is>
      </c>
      <c r="K111" s="21" t="inlineStr">
        <is>
          <t>Proveedor Prueba Herramientas Industriales</t>
        </is>
      </c>
      <c r="L111" s="18" t="n">
        <v>14</v>
      </c>
      <c r="M111" s="22" t="n">
        <v>4200</v>
      </c>
      <c r="N111" s="22" t="n">
        <v>6000</v>
      </c>
      <c r="O111" s="23" t="n">
        <v>25</v>
      </c>
      <c r="P111" s="24" t="inlineStr">
        <is>
          <t>UNIDAD</t>
        </is>
      </c>
      <c r="Q111" s="20" t="inlineStr">
        <is>
          <t>NO</t>
        </is>
      </c>
      <c r="R111" s="20" t="inlineStr">
        <is>
          <t>NO</t>
        </is>
      </c>
      <c r="S111" s="25" t="n">
        <v>1</v>
      </c>
      <c r="T111" s="20" t="inlineStr">
        <is>
          <t>NO</t>
        </is>
      </c>
      <c r="U111" s="20" t="inlineStr">
        <is>
          <t>Bodega de pruebas</t>
        </is>
      </c>
      <c r="V111" s="21" t="inlineStr">
        <is>
          <t>Producto ficticio de prueba para validacion de busquedas, inventario, ventas y compras en FERREPRO. No corresponde a inventario real.</t>
        </is>
      </c>
      <c r="W111" s="26" t="n">
        <v>100</v>
      </c>
      <c r="X111" s="27" t="n"/>
      <c r="Y111" s="20" t="n"/>
      <c r="Z111" s="20" t="n"/>
      <c r="AA111" s="26">
        <f>IF(X111="","",X111-IF(W111="",0,W111))</f>
        <v/>
      </c>
      <c r="AB111" s="28">
        <f>IF(OR(X111="",M111=""),"",X111*M111)</f>
        <v/>
      </c>
      <c r="AC111" s="28">
        <f>IF(OR(X111="",N111=""),"",X111*N111)</f>
        <v/>
      </c>
      <c r="AD111" s="28">
        <f>IF(OR(M111="",N111=""),"",N111-M111)</f>
        <v/>
      </c>
      <c r="AE111" s="29">
        <f>IFERROR(IF(M111&gt;0,(N111-M111)/M111,""),"")</f>
        <v/>
      </c>
      <c r="AF111" s="30" t="n"/>
      <c r="AG111" s="30" t="inlineStr">
        <is>
          <t>PENDIENTE</t>
        </is>
      </c>
      <c r="AH111" s="18">
        <f>IF(NOT(OR(B111="EXISTENTE",COUNTA(G111,H111,I111,J111,K111,M111,N111,U111,V111,X111,Y111,Z111,AF111,AJ111)&gt;0)),"",IF(AK111&lt;&gt;"","REVISAR",IF(OR(G111="",H111="",M111="",N111="",O111="",P111="",X111=""),"INCOMPLETO",IF(AI111&lt;&gt;"","REVISAR",IF(AND(AF111&lt;&gt;"",AG111="ESCANEADO"),"LISTO_COMPLETO","LISTO_SIN_BARCODE")))))</f>
        <v/>
      </c>
      <c r="AI111" s="17">
        <f>IF(NOT(OR(B111="EXISTENTE",COUNTA(G111,H111,I111,J111,K111,M111,N111,U111,V111,X111,Y111,Z111,AF111,AJ111)&gt;0)),"",TEXTJOIN(" | ",TRUE,IF(A111="","Falta ID staging",""),IF(COUNTIF($A$5:$A$445,A111)&gt;1,"ID staging duplicado",""),IF(G111="","Falta nombre",""),IF(LEN(G111)&gt;150,"Nombre &gt;150 caracteres",""),IF(H111="","Falta categoría",IF(COUNTIF(CategoriasLista,H111)=0,"Categoría inválida","")),IF(M111="","Falta precio compra",IF(OR(NOT(ISNUMBER(M111)),M111&lt;0),"Precio compra inválido","")),IF(N111="","Falta precio venta",IF(OR(NOT(ISNUMBER(N111)),N111&lt;=0,N111&lt;M111),"Precio venta inválido","")),IF(O111="","Falta stock mínimo",IF(OR(NOT(ISNUMBER(O111)),O111&lt;0,MOD(O111,1)&lt;&gt;0),"Stock mínimo inválido","")),IF(P111="","Falta unidad",IF(COUNTIF(UnidadesLista,P111)=0,"Unidad inválida","")),IF(AND(K111&lt;&gt;"",COUNTIF(ProveedoresLista,K111)=0),"Proveedor no catalogado",""),IF(X111="","Falta cantidad contada",IF(OR(NOT(ISNUMBER(X111)),X111&lt;0,ABS(X111*1000-ROUND(X111*1000,0))&gt;0.0000001),"Cantidad inválida",IF(AND(Q111="NO",MOD(X111,1)&lt;&gt;0),"Cantidad fraccionaria no permitida",""))),IF(AND(R111="SI",OR(NOT(ISNUMBER(S111)),S111&lt;1,MOD(S111,1)&lt;&gt;0)),"Empaque inválido",""),IF(OR(AND(AF111="",AG111="ESCANEADO"),AND(AF111&lt;&gt;"",AG111&lt;&gt;"ESCANEADO")),"Barcode/estado inconsistente",""),IF(AK111&lt;&gt;"",AK111,"")))</f>
        <v/>
      </c>
      <c r="AJ111" s="21" t="n"/>
      <c r="AK111" s="17">
        <f>IF(G111="","",IF(OR(COUNTIFS($G$5:$G$445,G111,$I$5:$I$445,I111,$J$5:$J$445,J111,$P$5:$P$445,P111)&gt;1,AND(AF111&lt;&gt;"",COUNTIF($AF$5:$AF$445,AF111)&gt;1)),"REVISAR_POSIBLE_DUPLICADO",""))</f>
        <v/>
      </c>
    </row>
    <row r="112">
      <c r="A112" s="17" t="inlineStr">
        <is>
          <t>8e5d8d46-ed6a-5520-8458-2223e0de38fd</t>
        </is>
      </c>
      <c r="B112" s="18" t="inlineStr">
        <is>
          <t>EXISTENTE</t>
        </is>
      </c>
      <c r="C112" s="18" t="inlineStr">
        <is>
          <t>ACTIVO</t>
        </is>
      </c>
      <c r="D112" s="18" t="n">
        <v>147</v>
      </c>
      <c r="E112" s="17" t="inlineStr">
        <is>
          <t>57e9184e-1f20-41dc-8393-022018186cda</t>
        </is>
      </c>
      <c r="F112" s="17" t="inlineStr">
        <is>
          <t>PRB-FER-0095</t>
        </is>
      </c>
      <c r="G112" s="19" t="inlineStr">
        <is>
          <t>Botas de seguridad punta acero</t>
        </is>
      </c>
      <c r="H112" s="19" t="inlineStr">
        <is>
          <t>Seguridad industrial</t>
        </is>
      </c>
      <c r="I112" s="20" t="inlineStr">
        <is>
          <t>SegurPro</t>
        </is>
      </c>
      <c r="J112" s="20" t="inlineStr">
        <is>
          <t>Par</t>
        </is>
      </c>
      <c r="K112" s="21" t="inlineStr">
        <is>
          <t>Proveedor Prueba Plomería Nacional</t>
        </is>
      </c>
      <c r="L112" s="18" t="n">
        <v>15</v>
      </c>
      <c r="M112" s="22" t="n">
        <v>95000</v>
      </c>
      <c r="N112" s="22" t="n">
        <v>135000</v>
      </c>
      <c r="O112" s="23" t="n">
        <v>3</v>
      </c>
      <c r="P112" s="24" t="inlineStr">
        <is>
          <t>PAR</t>
        </is>
      </c>
      <c r="Q112" s="20" t="inlineStr">
        <is>
          <t>NO</t>
        </is>
      </c>
      <c r="R112" s="20" t="inlineStr">
        <is>
          <t>NO</t>
        </is>
      </c>
      <c r="S112" s="25" t="n">
        <v>1</v>
      </c>
      <c r="T112" s="20" t="inlineStr">
        <is>
          <t>NO</t>
        </is>
      </c>
      <c r="U112" s="20" t="inlineStr">
        <is>
          <t>Bodega de pruebas</t>
        </is>
      </c>
      <c r="V112" s="21" t="inlineStr">
        <is>
          <t>Producto ficticio de prueba para validacion de busquedas, inventario, ventas y compras en FERREPRO. No corresponde a inventario real.</t>
        </is>
      </c>
      <c r="W112" s="26" t="n">
        <v>12</v>
      </c>
      <c r="X112" s="27" t="n"/>
      <c r="Y112" s="20" t="n"/>
      <c r="Z112" s="20" t="n"/>
      <c r="AA112" s="26">
        <f>IF(X112="","",X112-IF(W112="",0,W112))</f>
        <v/>
      </c>
      <c r="AB112" s="28">
        <f>IF(OR(X112="",M112=""),"",X112*M112)</f>
        <v/>
      </c>
      <c r="AC112" s="28">
        <f>IF(OR(X112="",N112=""),"",X112*N112)</f>
        <v/>
      </c>
      <c r="AD112" s="28">
        <f>IF(OR(M112="",N112=""),"",N112-M112)</f>
        <v/>
      </c>
      <c r="AE112" s="29">
        <f>IFERROR(IF(M112&gt;0,(N112-M112)/M112,""),"")</f>
        <v/>
      </c>
      <c r="AF112" s="30" t="n"/>
      <c r="AG112" s="30" t="inlineStr">
        <is>
          <t>PENDIENTE</t>
        </is>
      </c>
      <c r="AH112" s="18">
        <f>IF(NOT(OR(B112="EXISTENTE",COUNTA(G112,H112,I112,J112,K112,M112,N112,U112,V112,X112,Y112,Z112,AF112,AJ112)&gt;0)),"",IF(AK112&lt;&gt;"","REVISAR",IF(OR(G112="",H112="",M112="",N112="",O112="",P112="",X112=""),"INCOMPLETO",IF(AI112&lt;&gt;"","REVISAR",IF(AND(AF112&lt;&gt;"",AG112="ESCANEADO"),"LISTO_COMPLETO","LISTO_SIN_BARCODE")))))</f>
        <v/>
      </c>
      <c r="AI112" s="17">
        <f>IF(NOT(OR(B112="EXISTENTE",COUNTA(G112,H112,I112,J112,K112,M112,N112,U112,V112,X112,Y112,Z112,AF112,AJ112)&gt;0)),"",TEXTJOIN(" | ",TRUE,IF(A112="","Falta ID staging",""),IF(COUNTIF($A$5:$A$445,A112)&gt;1,"ID staging duplicado",""),IF(G112="","Falta nombre",""),IF(LEN(G112)&gt;150,"Nombre &gt;150 caracteres",""),IF(H112="","Falta categoría",IF(COUNTIF(CategoriasLista,H112)=0,"Categoría inválida","")),IF(M112="","Falta precio compra",IF(OR(NOT(ISNUMBER(M112)),M112&lt;0),"Precio compra inválido","")),IF(N112="","Falta precio venta",IF(OR(NOT(ISNUMBER(N112)),N112&lt;=0,N112&lt;M112),"Precio venta inválido","")),IF(O112="","Falta stock mínimo",IF(OR(NOT(ISNUMBER(O112)),O112&lt;0,MOD(O112,1)&lt;&gt;0),"Stock mínimo inválido","")),IF(P112="","Falta unidad",IF(COUNTIF(UnidadesLista,P112)=0,"Unidad inválida","")),IF(AND(K112&lt;&gt;"",COUNTIF(ProveedoresLista,K112)=0),"Proveedor no catalogado",""),IF(X112="","Falta cantidad contada",IF(OR(NOT(ISNUMBER(X112)),X112&lt;0,ABS(X112*1000-ROUND(X112*1000,0))&gt;0.0000001),"Cantidad inválida",IF(AND(Q112="NO",MOD(X112,1)&lt;&gt;0),"Cantidad fraccionaria no permitida",""))),IF(AND(R112="SI",OR(NOT(ISNUMBER(S112)),S112&lt;1,MOD(S112,1)&lt;&gt;0)),"Empaque inválido",""),IF(OR(AND(AF112="",AG112="ESCANEADO"),AND(AF112&lt;&gt;"",AG112&lt;&gt;"ESCANEADO")),"Barcode/estado inconsistente",""),IF(AK112&lt;&gt;"",AK112,"")))</f>
        <v/>
      </c>
      <c r="AJ112" s="21" t="n"/>
      <c r="AK112" s="17">
        <f>IF(G112="","",IF(OR(COUNTIFS($G$5:$G$445,G112,$I$5:$I$445,I112,$J$5:$J$445,J112,$P$5:$P$445,P112)&gt;1,AND(AF112&lt;&gt;"",COUNTIF($AF$5:$AF$445,AF112)&gt;1)),"REVISAR_POSIBLE_DUPLICADO",""))</f>
        <v/>
      </c>
    </row>
    <row r="113">
      <c r="A113" s="17" t="inlineStr">
        <is>
          <t>44814d67-8a7b-571c-9aac-2c969dd73efa</t>
        </is>
      </c>
      <c r="B113" s="18" t="inlineStr">
        <is>
          <t>EXISTENTE</t>
        </is>
      </c>
      <c r="C113" s="18" t="inlineStr">
        <is>
          <t>ACTIVO</t>
        </is>
      </c>
      <c r="D113" s="18" t="n">
        <v>148</v>
      </c>
      <c r="E113" s="17" t="inlineStr">
        <is>
          <t>b52921c3-a11f-4583-92dd-7a650fc18e88</t>
        </is>
      </c>
      <c r="F113" s="17" t="inlineStr">
        <is>
          <t>PRB-FER-0096</t>
        </is>
      </c>
      <c r="G113" s="19" t="inlineStr">
        <is>
          <t>Chaleco reflectivo</t>
        </is>
      </c>
      <c r="H113" s="19" t="inlineStr">
        <is>
          <t>Seguridad industrial</t>
        </is>
      </c>
      <c r="I113" s="20" t="inlineStr">
        <is>
          <t>SegurPro</t>
        </is>
      </c>
      <c r="J113" s="20" t="inlineStr">
        <is>
          <t>Unidad</t>
        </is>
      </c>
      <c r="K113" s="21" t="inlineStr">
        <is>
          <t>Proveedor Prueba Seguridad y Protección</t>
        </is>
      </c>
      <c r="L113" s="18" t="n">
        <v>16</v>
      </c>
      <c r="M113" s="22" t="n">
        <v>14500</v>
      </c>
      <c r="N113" s="22" t="n">
        <v>20500</v>
      </c>
      <c r="O113" s="23" t="n">
        <v>8</v>
      </c>
      <c r="P113" s="24" t="inlineStr">
        <is>
          <t>UNIDAD</t>
        </is>
      </c>
      <c r="Q113" s="20" t="inlineStr">
        <is>
          <t>NO</t>
        </is>
      </c>
      <c r="R113" s="20" t="inlineStr">
        <is>
          <t>NO</t>
        </is>
      </c>
      <c r="S113" s="25" t="n">
        <v>1</v>
      </c>
      <c r="T113" s="20" t="inlineStr">
        <is>
          <t>NO</t>
        </is>
      </c>
      <c r="U113" s="20" t="inlineStr">
        <is>
          <t>Bodega de pruebas</t>
        </is>
      </c>
      <c r="V113" s="21" t="inlineStr">
        <is>
          <t>Producto ficticio de prueba para validacion de busquedas, inventario, ventas y compras en FERREPRO. No corresponde a inventario real.</t>
        </is>
      </c>
      <c r="W113" s="26" t="n">
        <v>35</v>
      </c>
      <c r="X113" s="27" t="n"/>
      <c r="Y113" s="20" t="n"/>
      <c r="Z113" s="20" t="n"/>
      <c r="AA113" s="26">
        <f>IF(X113="","",X113-IF(W113="",0,W113))</f>
        <v/>
      </c>
      <c r="AB113" s="28">
        <f>IF(OR(X113="",M113=""),"",X113*M113)</f>
        <v/>
      </c>
      <c r="AC113" s="28">
        <f>IF(OR(X113="",N113=""),"",X113*N113)</f>
        <v/>
      </c>
      <c r="AD113" s="28">
        <f>IF(OR(M113="",N113=""),"",N113-M113)</f>
        <v/>
      </c>
      <c r="AE113" s="29">
        <f>IFERROR(IF(M113&gt;0,(N113-M113)/M113,""),"")</f>
        <v/>
      </c>
      <c r="AF113" s="30" t="n"/>
      <c r="AG113" s="30" t="inlineStr">
        <is>
          <t>PENDIENTE</t>
        </is>
      </c>
      <c r="AH113" s="18">
        <f>IF(NOT(OR(B113="EXISTENTE",COUNTA(G113,H113,I113,J113,K113,M113,N113,U113,V113,X113,Y113,Z113,AF113,AJ113)&gt;0)),"",IF(AK113&lt;&gt;"","REVISAR",IF(OR(G113="",H113="",M113="",N113="",O113="",P113="",X113=""),"INCOMPLETO",IF(AI113&lt;&gt;"","REVISAR",IF(AND(AF113&lt;&gt;"",AG113="ESCANEADO"),"LISTO_COMPLETO","LISTO_SIN_BARCODE")))))</f>
        <v/>
      </c>
      <c r="AI113" s="17">
        <f>IF(NOT(OR(B113="EXISTENTE",COUNTA(G113,H113,I113,J113,K113,M113,N113,U113,V113,X113,Y113,Z113,AF113,AJ113)&gt;0)),"",TEXTJOIN(" | ",TRUE,IF(A113="","Falta ID staging",""),IF(COUNTIF($A$5:$A$445,A113)&gt;1,"ID staging duplicado",""),IF(G113="","Falta nombre",""),IF(LEN(G113)&gt;150,"Nombre &gt;150 caracteres",""),IF(H113="","Falta categoría",IF(COUNTIF(CategoriasLista,H113)=0,"Categoría inválida","")),IF(M113="","Falta precio compra",IF(OR(NOT(ISNUMBER(M113)),M113&lt;0),"Precio compra inválido","")),IF(N113="","Falta precio venta",IF(OR(NOT(ISNUMBER(N113)),N113&lt;=0,N113&lt;M113),"Precio venta inválido","")),IF(O113="","Falta stock mínimo",IF(OR(NOT(ISNUMBER(O113)),O113&lt;0,MOD(O113,1)&lt;&gt;0),"Stock mínimo inválido","")),IF(P113="","Falta unidad",IF(COUNTIF(UnidadesLista,P113)=0,"Unidad inválida","")),IF(AND(K113&lt;&gt;"",COUNTIF(ProveedoresLista,K113)=0),"Proveedor no catalogado",""),IF(X113="","Falta cantidad contada",IF(OR(NOT(ISNUMBER(X113)),X113&lt;0,ABS(X113*1000-ROUND(X113*1000,0))&gt;0.0000001),"Cantidad inválida",IF(AND(Q113="NO",MOD(X113,1)&lt;&gt;0),"Cantidad fraccionaria no permitida",""))),IF(AND(R113="SI",OR(NOT(ISNUMBER(S113)),S113&lt;1,MOD(S113,1)&lt;&gt;0)),"Empaque inválido",""),IF(OR(AND(AF113="",AG113="ESCANEADO"),AND(AF113&lt;&gt;"",AG113&lt;&gt;"ESCANEADO")),"Barcode/estado inconsistente",""),IF(AK113&lt;&gt;"",AK113,"")))</f>
        <v/>
      </c>
      <c r="AJ113" s="21" t="n"/>
      <c r="AK113" s="17">
        <f>IF(G113="","",IF(OR(COUNTIFS($G$5:$G$445,G113,$I$5:$I$445,I113,$J$5:$J$445,J113,$P$5:$P$445,P113)&gt;1,AND(AF113&lt;&gt;"",COUNTIF($AF$5:$AF$445,AF113)&gt;1)),"REVISAR_POSIBLE_DUPLICADO",""))</f>
        <v/>
      </c>
    </row>
    <row r="114">
      <c r="A114" s="17" t="inlineStr">
        <is>
          <t>14b3bac8-f314-5720-bd79-68aae3b68109</t>
        </is>
      </c>
      <c r="B114" s="18" t="inlineStr">
        <is>
          <t>EXISTENTE</t>
        </is>
      </c>
      <c r="C114" s="18" t="inlineStr">
        <is>
          <t>ACTIVO</t>
        </is>
      </c>
      <c r="D114" s="18" t="n">
        <v>149</v>
      </c>
      <c r="E114" s="17" t="inlineStr">
        <is>
          <t>e94917f0-59ac-4d9f-9c33-92d255c4279d</t>
        </is>
      </c>
      <c r="F114" s="17" t="inlineStr">
        <is>
          <t>PRB-FER-0097</t>
        </is>
      </c>
      <c r="G114" s="19" t="inlineStr">
        <is>
          <t>Machete 18 pulgadas</t>
        </is>
      </c>
      <c r="H114" s="19" t="inlineStr">
        <is>
          <t>Jardinería</t>
        </is>
      </c>
      <c r="I114" s="20" t="inlineStr">
        <is>
          <t>JardínMax</t>
        </is>
      </c>
      <c r="J114" s="20" t="inlineStr">
        <is>
          <t>Unidad</t>
        </is>
      </c>
      <c r="K114" s="21" t="inlineStr">
        <is>
          <t>Proveedor Prueba Ferretería Central S.A.S.</t>
        </is>
      </c>
      <c r="L114" s="18" t="n">
        <v>9</v>
      </c>
      <c r="M114" s="22" t="n">
        <v>27000</v>
      </c>
      <c r="N114" s="22" t="n">
        <v>38000</v>
      </c>
      <c r="O114" s="23" t="n">
        <v>4</v>
      </c>
      <c r="P114" s="24" t="inlineStr">
        <is>
          <t>UNIDAD</t>
        </is>
      </c>
      <c r="Q114" s="20" t="inlineStr">
        <is>
          <t>NO</t>
        </is>
      </c>
      <c r="R114" s="20" t="inlineStr">
        <is>
          <t>NO</t>
        </is>
      </c>
      <c r="S114" s="25" t="n">
        <v>1</v>
      </c>
      <c r="T114" s="20" t="inlineStr">
        <is>
          <t>NO</t>
        </is>
      </c>
      <c r="U114" s="20" t="inlineStr">
        <is>
          <t>Bodega de pruebas</t>
        </is>
      </c>
      <c r="V114" s="21" t="inlineStr">
        <is>
          <t>Producto ficticio de prueba para validacion de busquedas, inventario, ventas y compras en FERREPRO. No corresponde a inventario real.</t>
        </is>
      </c>
      <c r="W114" s="26" t="n">
        <v>18</v>
      </c>
      <c r="X114" s="27" t="n"/>
      <c r="Y114" s="20" t="n"/>
      <c r="Z114" s="20" t="n"/>
      <c r="AA114" s="26">
        <f>IF(X114="","",X114-IF(W114="",0,W114))</f>
        <v/>
      </c>
      <c r="AB114" s="28">
        <f>IF(OR(X114="",M114=""),"",X114*M114)</f>
        <v/>
      </c>
      <c r="AC114" s="28">
        <f>IF(OR(X114="",N114=""),"",X114*N114)</f>
        <v/>
      </c>
      <c r="AD114" s="28">
        <f>IF(OR(M114="",N114=""),"",N114-M114)</f>
        <v/>
      </c>
      <c r="AE114" s="29">
        <f>IFERROR(IF(M114&gt;0,(N114-M114)/M114,""),"")</f>
        <v/>
      </c>
      <c r="AF114" s="30" t="n"/>
      <c r="AG114" s="30" t="inlineStr">
        <is>
          <t>PENDIENTE</t>
        </is>
      </c>
      <c r="AH114" s="18">
        <f>IF(NOT(OR(B114="EXISTENTE",COUNTA(G114,H114,I114,J114,K114,M114,N114,U114,V114,X114,Y114,Z114,AF114,AJ114)&gt;0)),"",IF(AK114&lt;&gt;"","REVISAR",IF(OR(G114="",H114="",M114="",N114="",O114="",P114="",X114=""),"INCOMPLETO",IF(AI114&lt;&gt;"","REVISAR",IF(AND(AF114&lt;&gt;"",AG114="ESCANEADO"),"LISTO_COMPLETO","LISTO_SIN_BARCODE")))))</f>
        <v/>
      </c>
      <c r="AI114" s="17">
        <f>IF(NOT(OR(B114="EXISTENTE",COUNTA(G114,H114,I114,J114,K114,M114,N114,U114,V114,X114,Y114,Z114,AF114,AJ114)&gt;0)),"",TEXTJOIN(" | ",TRUE,IF(A114="","Falta ID staging",""),IF(COUNTIF($A$5:$A$445,A114)&gt;1,"ID staging duplicado",""),IF(G114="","Falta nombre",""),IF(LEN(G114)&gt;150,"Nombre &gt;150 caracteres",""),IF(H114="","Falta categoría",IF(COUNTIF(CategoriasLista,H114)=0,"Categoría inválida","")),IF(M114="","Falta precio compra",IF(OR(NOT(ISNUMBER(M114)),M114&lt;0),"Precio compra inválido","")),IF(N114="","Falta precio venta",IF(OR(NOT(ISNUMBER(N114)),N114&lt;=0,N114&lt;M114),"Precio venta inválido","")),IF(O114="","Falta stock mínimo",IF(OR(NOT(ISNUMBER(O114)),O114&lt;0,MOD(O114,1)&lt;&gt;0),"Stock mínimo inválido","")),IF(P114="","Falta unidad",IF(COUNTIF(UnidadesLista,P114)=0,"Unidad inválida","")),IF(AND(K114&lt;&gt;"",COUNTIF(ProveedoresLista,K114)=0),"Proveedor no catalogado",""),IF(X114="","Falta cantidad contada",IF(OR(NOT(ISNUMBER(X114)),X114&lt;0,ABS(X114*1000-ROUND(X114*1000,0))&gt;0.0000001),"Cantidad inválida",IF(AND(Q114="NO",MOD(X114,1)&lt;&gt;0),"Cantidad fraccionaria no permitida",""))),IF(AND(R114="SI",OR(NOT(ISNUMBER(S114)),S114&lt;1,MOD(S114,1)&lt;&gt;0)),"Empaque inválido",""),IF(OR(AND(AF114="",AG114="ESCANEADO"),AND(AF114&lt;&gt;"",AG114&lt;&gt;"ESCANEADO")),"Barcode/estado inconsistente",""),IF(AK114&lt;&gt;"",AK114,"")))</f>
        <v/>
      </c>
      <c r="AJ114" s="21" t="n"/>
      <c r="AK114" s="17">
        <f>IF(G114="","",IF(OR(COUNTIFS($G$5:$G$445,G114,$I$5:$I$445,I114,$J$5:$J$445,J114,$P$5:$P$445,P114)&gt;1,AND(AF114&lt;&gt;"",COUNTIF($AF$5:$AF$445,AF114)&gt;1)),"REVISAR_POSIBLE_DUPLICADO",""))</f>
        <v/>
      </c>
    </row>
    <row r="115">
      <c r="A115" s="17" t="inlineStr">
        <is>
          <t>26c1baab-437e-52e6-b216-0baa36a82cbe</t>
        </is>
      </c>
      <c r="B115" s="18" t="inlineStr">
        <is>
          <t>EXISTENTE</t>
        </is>
      </c>
      <c r="C115" s="18" t="inlineStr">
        <is>
          <t>ACTIVO</t>
        </is>
      </c>
      <c r="D115" s="18" t="n">
        <v>150</v>
      </c>
      <c r="E115" s="17" t="inlineStr">
        <is>
          <t>d1c3d7fc-991d-49a6-873a-af36838b0265</t>
        </is>
      </c>
      <c r="F115" s="17" t="inlineStr">
        <is>
          <t>PRB-FER-0098</t>
        </is>
      </c>
      <c r="G115" s="19" t="inlineStr">
        <is>
          <t>Pala punta redonda</t>
        </is>
      </c>
      <c r="H115" s="19" t="inlineStr">
        <is>
          <t>Jardinería</t>
        </is>
      </c>
      <c r="I115" s="20" t="inlineStr">
        <is>
          <t>JardínMax</t>
        </is>
      </c>
      <c r="J115" s="20" t="inlineStr">
        <is>
          <t>Unidad</t>
        </is>
      </c>
      <c r="K115" s="21" t="inlineStr">
        <is>
          <t>Proveedor Prueba ConstruMateriales del Norte</t>
        </is>
      </c>
      <c r="L115" s="18" t="n">
        <v>10</v>
      </c>
      <c r="M115" s="22" t="n">
        <v>38000</v>
      </c>
      <c r="N115" s="22" t="n">
        <v>54000</v>
      </c>
      <c r="O115" s="23" t="n">
        <v>4</v>
      </c>
      <c r="P115" s="24" t="inlineStr">
        <is>
          <t>UNIDAD</t>
        </is>
      </c>
      <c r="Q115" s="20" t="inlineStr">
        <is>
          <t>NO</t>
        </is>
      </c>
      <c r="R115" s="20" t="inlineStr">
        <is>
          <t>NO</t>
        </is>
      </c>
      <c r="S115" s="25" t="n">
        <v>1</v>
      </c>
      <c r="T115" s="20" t="inlineStr">
        <is>
          <t>NO</t>
        </is>
      </c>
      <c r="U115" s="20" t="inlineStr">
        <is>
          <t>Bodega de pruebas</t>
        </is>
      </c>
      <c r="V115" s="21" t="inlineStr">
        <is>
          <t>Producto ficticio de prueba para validacion de busquedas, inventario, ventas y compras en FERREPRO. No corresponde a inventario real.</t>
        </is>
      </c>
      <c r="W115" s="26" t="n">
        <v>16</v>
      </c>
      <c r="X115" s="27" t="n"/>
      <c r="Y115" s="20" t="n"/>
      <c r="Z115" s="20" t="n"/>
      <c r="AA115" s="26">
        <f>IF(X115="","",X115-IF(W115="",0,W115))</f>
        <v/>
      </c>
      <c r="AB115" s="28">
        <f>IF(OR(X115="",M115=""),"",X115*M115)</f>
        <v/>
      </c>
      <c r="AC115" s="28">
        <f>IF(OR(X115="",N115=""),"",X115*N115)</f>
        <v/>
      </c>
      <c r="AD115" s="28">
        <f>IF(OR(M115="",N115=""),"",N115-M115)</f>
        <v/>
      </c>
      <c r="AE115" s="29">
        <f>IFERROR(IF(M115&gt;0,(N115-M115)/M115,""),"")</f>
        <v/>
      </c>
      <c r="AF115" s="30" t="n"/>
      <c r="AG115" s="30" t="inlineStr">
        <is>
          <t>PENDIENTE</t>
        </is>
      </c>
      <c r="AH115" s="18">
        <f>IF(NOT(OR(B115="EXISTENTE",COUNTA(G115,H115,I115,J115,K115,M115,N115,U115,V115,X115,Y115,Z115,AF115,AJ115)&gt;0)),"",IF(AK115&lt;&gt;"","REVISAR",IF(OR(G115="",H115="",M115="",N115="",O115="",P115="",X115=""),"INCOMPLETO",IF(AI115&lt;&gt;"","REVISAR",IF(AND(AF115&lt;&gt;"",AG115="ESCANEADO"),"LISTO_COMPLETO","LISTO_SIN_BARCODE")))))</f>
        <v/>
      </c>
      <c r="AI115" s="17">
        <f>IF(NOT(OR(B115="EXISTENTE",COUNTA(G115,H115,I115,J115,K115,M115,N115,U115,V115,X115,Y115,Z115,AF115,AJ115)&gt;0)),"",TEXTJOIN(" | ",TRUE,IF(A115="","Falta ID staging",""),IF(COUNTIF($A$5:$A$445,A115)&gt;1,"ID staging duplicado",""),IF(G115="","Falta nombre",""),IF(LEN(G115)&gt;150,"Nombre &gt;150 caracteres",""),IF(H115="","Falta categoría",IF(COUNTIF(CategoriasLista,H115)=0,"Categoría inválida","")),IF(M115="","Falta precio compra",IF(OR(NOT(ISNUMBER(M115)),M115&lt;0),"Precio compra inválido","")),IF(N115="","Falta precio venta",IF(OR(NOT(ISNUMBER(N115)),N115&lt;=0,N115&lt;M115),"Precio venta inválido","")),IF(O115="","Falta stock mínimo",IF(OR(NOT(ISNUMBER(O115)),O115&lt;0,MOD(O115,1)&lt;&gt;0),"Stock mínimo inválido","")),IF(P115="","Falta unidad",IF(COUNTIF(UnidadesLista,P115)=0,"Unidad inválida","")),IF(AND(K115&lt;&gt;"",COUNTIF(ProveedoresLista,K115)=0),"Proveedor no catalogado",""),IF(X115="","Falta cantidad contada",IF(OR(NOT(ISNUMBER(X115)),X115&lt;0,ABS(X115*1000-ROUND(X115*1000,0))&gt;0.0000001),"Cantidad inválida",IF(AND(Q115="NO",MOD(X115,1)&lt;&gt;0),"Cantidad fraccionaria no permitida",""))),IF(AND(R115="SI",OR(NOT(ISNUMBER(S115)),S115&lt;1,MOD(S115,1)&lt;&gt;0)),"Empaque inválido",""),IF(OR(AND(AF115="",AG115="ESCANEADO"),AND(AF115&lt;&gt;"",AG115&lt;&gt;"ESCANEADO")),"Barcode/estado inconsistente",""),IF(AK115&lt;&gt;"",AK115,"")))</f>
        <v/>
      </c>
      <c r="AJ115" s="21" t="n"/>
      <c r="AK115" s="17">
        <f>IF(G115="","",IF(OR(COUNTIFS($G$5:$G$445,G115,$I$5:$I$445,I115,$J$5:$J$445,J115,$P$5:$P$445,P115)&gt;1,AND(AF115&lt;&gt;"",COUNTIF($AF$5:$AF$445,AF115)&gt;1)),"REVISAR_POSIBLE_DUPLICADO",""))</f>
        <v/>
      </c>
    </row>
    <row r="116">
      <c r="A116" s="17" t="inlineStr">
        <is>
          <t>07353a6a-2c9e-504e-a738-c980c85973ab</t>
        </is>
      </c>
      <c r="B116" s="18" t="inlineStr">
        <is>
          <t>EXISTENTE</t>
        </is>
      </c>
      <c r="C116" s="18" t="inlineStr">
        <is>
          <t>ACTIVO</t>
        </is>
      </c>
      <c r="D116" s="18" t="n">
        <v>151</v>
      </c>
      <c r="E116" s="17" t="inlineStr">
        <is>
          <t>3f39cf77-f266-4c38-8756-933623590f8e</t>
        </is>
      </c>
      <c r="F116" s="17" t="inlineStr">
        <is>
          <t>PRB-FER-0099</t>
        </is>
      </c>
      <c r="G116" s="19" t="inlineStr">
        <is>
          <t>Rastrillo metálico</t>
        </is>
      </c>
      <c r="H116" s="19" t="inlineStr">
        <is>
          <t>Jardinería</t>
        </is>
      </c>
      <c r="I116" s="20" t="inlineStr">
        <is>
          <t>JardínMax</t>
        </is>
      </c>
      <c r="J116" s="20" t="inlineStr">
        <is>
          <t>Unidad</t>
        </is>
      </c>
      <c r="K116" s="21" t="inlineStr">
        <is>
          <t>Proveedor Prueba Tornillos y Fijaciones Andinas</t>
        </is>
      </c>
      <c r="L116" s="18" t="n">
        <v>11</v>
      </c>
      <c r="M116" s="22" t="n">
        <v>29000</v>
      </c>
      <c r="N116" s="22" t="n">
        <v>41000</v>
      </c>
      <c r="O116" s="23" t="n">
        <v>3</v>
      </c>
      <c r="P116" s="24" t="inlineStr">
        <is>
          <t>UNIDAD</t>
        </is>
      </c>
      <c r="Q116" s="20" t="inlineStr">
        <is>
          <t>NO</t>
        </is>
      </c>
      <c r="R116" s="20" t="inlineStr">
        <is>
          <t>NO</t>
        </is>
      </c>
      <c r="S116" s="25" t="n">
        <v>1</v>
      </c>
      <c r="T116" s="20" t="inlineStr">
        <is>
          <t>NO</t>
        </is>
      </c>
      <c r="U116" s="20" t="inlineStr">
        <is>
          <t>Bodega de pruebas</t>
        </is>
      </c>
      <c r="V116" s="21" t="inlineStr">
        <is>
          <t>Producto ficticio de prueba para validacion de busquedas, inventario, ventas y compras en FERREPRO. No corresponde a inventario real.</t>
        </is>
      </c>
      <c r="W116" s="26" t="n">
        <v>14</v>
      </c>
      <c r="X116" s="27" t="n"/>
      <c r="Y116" s="20" t="n"/>
      <c r="Z116" s="20" t="n"/>
      <c r="AA116" s="26">
        <f>IF(X116="","",X116-IF(W116="",0,W116))</f>
        <v/>
      </c>
      <c r="AB116" s="28">
        <f>IF(OR(X116="",M116=""),"",X116*M116)</f>
        <v/>
      </c>
      <c r="AC116" s="28">
        <f>IF(OR(X116="",N116=""),"",X116*N116)</f>
        <v/>
      </c>
      <c r="AD116" s="28">
        <f>IF(OR(M116="",N116=""),"",N116-M116)</f>
        <v/>
      </c>
      <c r="AE116" s="29">
        <f>IFERROR(IF(M116&gt;0,(N116-M116)/M116,""),"")</f>
        <v/>
      </c>
      <c r="AF116" s="30" t="n"/>
      <c r="AG116" s="30" t="inlineStr">
        <is>
          <t>PENDIENTE</t>
        </is>
      </c>
      <c r="AH116" s="18">
        <f>IF(NOT(OR(B116="EXISTENTE",COUNTA(G116,H116,I116,J116,K116,M116,N116,U116,V116,X116,Y116,Z116,AF116,AJ116)&gt;0)),"",IF(AK116&lt;&gt;"","REVISAR",IF(OR(G116="",H116="",M116="",N116="",O116="",P116="",X116=""),"INCOMPLETO",IF(AI116&lt;&gt;"","REVISAR",IF(AND(AF116&lt;&gt;"",AG116="ESCANEADO"),"LISTO_COMPLETO","LISTO_SIN_BARCODE")))))</f>
        <v/>
      </c>
      <c r="AI116" s="17">
        <f>IF(NOT(OR(B116="EXISTENTE",COUNTA(G116,H116,I116,J116,K116,M116,N116,U116,V116,X116,Y116,Z116,AF116,AJ116)&gt;0)),"",TEXTJOIN(" | ",TRUE,IF(A116="","Falta ID staging",""),IF(COUNTIF($A$5:$A$445,A116)&gt;1,"ID staging duplicado",""),IF(G116="","Falta nombre",""),IF(LEN(G116)&gt;150,"Nombre &gt;150 caracteres",""),IF(H116="","Falta categoría",IF(COUNTIF(CategoriasLista,H116)=0,"Categoría inválida","")),IF(M116="","Falta precio compra",IF(OR(NOT(ISNUMBER(M116)),M116&lt;0),"Precio compra inválido","")),IF(N116="","Falta precio venta",IF(OR(NOT(ISNUMBER(N116)),N116&lt;=0,N116&lt;M116),"Precio venta inválido","")),IF(O116="","Falta stock mínimo",IF(OR(NOT(ISNUMBER(O116)),O116&lt;0,MOD(O116,1)&lt;&gt;0),"Stock mínimo inválido","")),IF(P116="","Falta unidad",IF(COUNTIF(UnidadesLista,P116)=0,"Unidad inválida","")),IF(AND(K116&lt;&gt;"",COUNTIF(ProveedoresLista,K116)=0),"Proveedor no catalogado",""),IF(X116="","Falta cantidad contada",IF(OR(NOT(ISNUMBER(X116)),X116&lt;0,ABS(X116*1000-ROUND(X116*1000,0))&gt;0.0000001),"Cantidad inválida",IF(AND(Q116="NO",MOD(X116,1)&lt;&gt;0),"Cantidad fraccionaria no permitida",""))),IF(AND(R116="SI",OR(NOT(ISNUMBER(S116)),S116&lt;1,MOD(S116,1)&lt;&gt;0)),"Empaque inválido",""),IF(OR(AND(AF116="",AG116="ESCANEADO"),AND(AF116&lt;&gt;"",AG116&lt;&gt;"ESCANEADO")),"Barcode/estado inconsistente",""),IF(AK116&lt;&gt;"",AK116,"")))</f>
        <v/>
      </c>
      <c r="AJ116" s="21" t="n"/>
      <c r="AK116" s="17">
        <f>IF(G116="","",IF(OR(COUNTIFS($G$5:$G$445,G116,$I$5:$I$445,I116,$J$5:$J$445,J116,$P$5:$P$445,P116)&gt;1,AND(AF116&lt;&gt;"",COUNTIF($AF$5:$AF$445,AF116)&gt;1)),"REVISAR_POSIBLE_DUPLICADO",""))</f>
        <v/>
      </c>
    </row>
    <row r="117">
      <c r="A117" s="17" t="inlineStr">
        <is>
          <t>1b836b3a-7faa-50c7-848e-10db55cc4d9b</t>
        </is>
      </c>
      <c r="B117" s="18" t="inlineStr">
        <is>
          <t>EXISTENTE</t>
        </is>
      </c>
      <c r="C117" s="18" t="inlineStr">
        <is>
          <t>ACTIVO</t>
        </is>
      </c>
      <c r="D117" s="18" t="n">
        <v>152</v>
      </c>
      <c r="E117" s="17" t="inlineStr">
        <is>
          <t>5020f61d-df62-4950-bd25-c3f6c9b5fe73</t>
        </is>
      </c>
      <c r="F117" s="17" t="inlineStr">
        <is>
          <t>PRB-FER-0100</t>
        </is>
      </c>
      <c r="G117" s="19" t="inlineStr">
        <is>
          <t>Tijera poda manual</t>
        </is>
      </c>
      <c r="H117" s="19" t="inlineStr">
        <is>
          <t>Jardinería</t>
        </is>
      </c>
      <c r="I117" s="20" t="inlineStr">
        <is>
          <t>JardínMax</t>
        </is>
      </c>
      <c r="J117" s="20" t="inlineStr">
        <is>
          <t>Unidad</t>
        </is>
      </c>
      <c r="K117" s="21" t="inlineStr">
        <is>
          <t>Proveedor Prueba Eléctricos Colombia</t>
        </is>
      </c>
      <c r="L117" s="18" t="n">
        <v>12</v>
      </c>
      <c r="M117" s="22" t="n">
        <v>18000</v>
      </c>
      <c r="N117" s="22" t="n">
        <v>26000</v>
      </c>
      <c r="O117" s="23" t="n">
        <v>6</v>
      </c>
      <c r="P117" s="24" t="inlineStr">
        <is>
          <t>UNIDAD</t>
        </is>
      </c>
      <c r="Q117" s="20" t="inlineStr">
        <is>
          <t>NO</t>
        </is>
      </c>
      <c r="R117" s="20" t="inlineStr">
        <is>
          <t>NO</t>
        </is>
      </c>
      <c r="S117" s="25" t="n">
        <v>1</v>
      </c>
      <c r="T117" s="20" t="inlineStr">
        <is>
          <t>NO</t>
        </is>
      </c>
      <c r="U117" s="20" t="inlineStr">
        <is>
          <t>Bodega de pruebas</t>
        </is>
      </c>
      <c r="V117" s="21" t="inlineStr">
        <is>
          <t>Producto ficticio de prueba para validacion de busquedas, inventario, ventas y compras en FERREPRO. No corresponde a inventario real.</t>
        </is>
      </c>
      <c r="W117" s="26" t="n">
        <v>24</v>
      </c>
      <c r="X117" s="27" t="n"/>
      <c r="Y117" s="20" t="n"/>
      <c r="Z117" s="20" t="n"/>
      <c r="AA117" s="26">
        <f>IF(X117="","",X117-IF(W117="",0,W117))</f>
        <v/>
      </c>
      <c r="AB117" s="28">
        <f>IF(OR(X117="",M117=""),"",X117*M117)</f>
        <v/>
      </c>
      <c r="AC117" s="28">
        <f>IF(OR(X117="",N117=""),"",X117*N117)</f>
        <v/>
      </c>
      <c r="AD117" s="28">
        <f>IF(OR(M117="",N117=""),"",N117-M117)</f>
        <v/>
      </c>
      <c r="AE117" s="29">
        <f>IFERROR(IF(M117&gt;0,(N117-M117)/M117,""),"")</f>
        <v/>
      </c>
      <c r="AF117" s="30" t="n"/>
      <c r="AG117" s="30" t="inlineStr">
        <is>
          <t>PENDIENTE</t>
        </is>
      </c>
      <c r="AH117" s="18">
        <f>IF(NOT(OR(B117="EXISTENTE",COUNTA(G117,H117,I117,J117,K117,M117,N117,U117,V117,X117,Y117,Z117,AF117,AJ117)&gt;0)),"",IF(AK117&lt;&gt;"","REVISAR",IF(OR(G117="",H117="",M117="",N117="",O117="",P117="",X117=""),"INCOMPLETO",IF(AI117&lt;&gt;"","REVISAR",IF(AND(AF117&lt;&gt;"",AG117="ESCANEADO"),"LISTO_COMPLETO","LISTO_SIN_BARCODE")))))</f>
        <v/>
      </c>
      <c r="AI117" s="17">
        <f>IF(NOT(OR(B117="EXISTENTE",COUNTA(G117,H117,I117,J117,K117,M117,N117,U117,V117,X117,Y117,Z117,AF117,AJ117)&gt;0)),"",TEXTJOIN(" | ",TRUE,IF(A117="","Falta ID staging",""),IF(COUNTIF($A$5:$A$445,A117)&gt;1,"ID staging duplicado",""),IF(G117="","Falta nombre",""),IF(LEN(G117)&gt;150,"Nombre &gt;150 caracteres",""),IF(H117="","Falta categoría",IF(COUNTIF(CategoriasLista,H117)=0,"Categoría inválida","")),IF(M117="","Falta precio compra",IF(OR(NOT(ISNUMBER(M117)),M117&lt;0),"Precio compra inválido","")),IF(N117="","Falta precio venta",IF(OR(NOT(ISNUMBER(N117)),N117&lt;=0,N117&lt;M117),"Precio venta inválido","")),IF(O117="","Falta stock mínimo",IF(OR(NOT(ISNUMBER(O117)),O117&lt;0,MOD(O117,1)&lt;&gt;0),"Stock mínimo inválido","")),IF(P117="","Falta unidad",IF(COUNTIF(UnidadesLista,P117)=0,"Unidad inválida","")),IF(AND(K117&lt;&gt;"",COUNTIF(ProveedoresLista,K117)=0),"Proveedor no catalogado",""),IF(X117="","Falta cantidad contada",IF(OR(NOT(ISNUMBER(X117)),X117&lt;0,ABS(X117*1000-ROUND(X117*1000,0))&gt;0.0000001),"Cantidad inválida",IF(AND(Q117="NO",MOD(X117,1)&lt;&gt;0),"Cantidad fraccionaria no permitida",""))),IF(AND(R117="SI",OR(NOT(ISNUMBER(S117)),S117&lt;1,MOD(S117,1)&lt;&gt;0)),"Empaque inválido",""),IF(OR(AND(AF117="",AG117="ESCANEADO"),AND(AF117&lt;&gt;"",AG117&lt;&gt;"ESCANEADO")),"Barcode/estado inconsistente",""),IF(AK117&lt;&gt;"",AK117,"")))</f>
        <v/>
      </c>
      <c r="AJ117" s="21" t="n"/>
      <c r="AK117" s="17">
        <f>IF(G117="","",IF(OR(COUNTIFS($G$5:$G$445,G117,$I$5:$I$445,I117,$J$5:$J$445,J117,$P$5:$P$445,P117)&gt;1,AND(AF117&lt;&gt;"",COUNTIF($AF$5:$AF$445,AF117)&gt;1)),"REVISAR_POSIBLE_DUPLICADO",""))</f>
        <v/>
      </c>
    </row>
    <row r="118">
      <c r="A118" s="17" t="inlineStr">
        <is>
          <t>739c5510-c0d1-56a3-b545-d0944a95da53</t>
        </is>
      </c>
      <c r="B118" s="18" t="inlineStr">
        <is>
          <t>EXISTENTE</t>
        </is>
      </c>
      <c r="C118" s="18" t="inlineStr">
        <is>
          <t>ACTIVO</t>
        </is>
      </c>
      <c r="D118" s="18" t="n">
        <v>153</v>
      </c>
      <c r="E118" s="17" t="inlineStr">
        <is>
          <t>3bafa5fd-11fe-47ca-a206-61800bd732f3</t>
        </is>
      </c>
      <c r="F118" s="17" t="inlineStr">
        <is>
          <t>PRB-FER-0101</t>
        </is>
      </c>
      <c r="G118" s="19" t="inlineStr">
        <is>
          <t>Manguera jardín 15 metros</t>
        </is>
      </c>
      <c r="H118" s="19" t="inlineStr">
        <is>
          <t>Jardinería</t>
        </is>
      </c>
      <c r="I118" s="20" t="inlineStr">
        <is>
          <t>JardínMax</t>
        </is>
      </c>
      <c r="J118" s="20" t="inlineStr">
        <is>
          <t>Unidad</t>
        </is>
      </c>
      <c r="K118" s="21" t="inlineStr">
        <is>
          <t>Proveedor Prueba Pinturas y Acabados</t>
        </is>
      </c>
      <c r="L118" s="18" t="n">
        <v>13</v>
      </c>
      <c r="M118" s="22" t="n">
        <v>36000</v>
      </c>
      <c r="N118" s="22" t="n">
        <v>51000</v>
      </c>
      <c r="O118" s="23" t="n">
        <v>4</v>
      </c>
      <c r="P118" s="24" t="inlineStr">
        <is>
          <t>UNIDAD</t>
        </is>
      </c>
      <c r="Q118" s="20" t="inlineStr">
        <is>
          <t>NO</t>
        </is>
      </c>
      <c r="R118" s="20" t="inlineStr">
        <is>
          <t>NO</t>
        </is>
      </c>
      <c r="S118" s="25" t="n">
        <v>1</v>
      </c>
      <c r="T118" s="20" t="inlineStr">
        <is>
          <t>NO</t>
        </is>
      </c>
      <c r="U118" s="20" t="inlineStr">
        <is>
          <t>Bodega de pruebas</t>
        </is>
      </c>
      <c r="V118" s="21" t="inlineStr">
        <is>
          <t>Producto ficticio de prueba para validacion de busquedas, inventario, ventas y compras en FERREPRO. No corresponde a inventario real.</t>
        </is>
      </c>
      <c r="W118" s="26" t="n">
        <v>18</v>
      </c>
      <c r="X118" s="27" t="n"/>
      <c r="Y118" s="20" t="n"/>
      <c r="Z118" s="20" t="n"/>
      <c r="AA118" s="26">
        <f>IF(X118="","",X118-IF(W118="",0,W118))</f>
        <v/>
      </c>
      <c r="AB118" s="28">
        <f>IF(OR(X118="",M118=""),"",X118*M118)</f>
        <v/>
      </c>
      <c r="AC118" s="28">
        <f>IF(OR(X118="",N118=""),"",X118*N118)</f>
        <v/>
      </c>
      <c r="AD118" s="28">
        <f>IF(OR(M118="",N118=""),"",N118-M118)</f>
        <v/>
      </c>
      <c r="AE118" s="29">
        <f>IFERROR(IF(M118&gt;0,(N118-M118)/M118,""),"")</f>
        <v/>
      </c>
      <c r="AF118" s="30" t="n"/>
      <c r="AG118" s="30" t="inlineStr">
        <is>
          <t>PENDIENTE</t>
        </is>
      </c>
      <c r="AH118" s="18">
        <f>IF(NOT(OR(B118="EXISTENTE",COUNTA(G118,H118,I118,J118,K118,M118,N118,U118,V118,X118,Y118,Z118,AF118,AJ118)&gt;0)),"",IF(AK118&lt;&gt;"","REVISAR",IF(OR(G118="",H118="",M118="",N118="",O118="",P118="",X118=""),"INCOMPLETO",IF(AI118&lt;&gt;"","REVISAR",IF(AND(AF118&lt;&gt;"",AG118="ESCANEADO"),"LISTO_COMPLETO","LISTO_SIN_BARCODE")))))</f>
        <v/>
      </c>
      <c r="AI118" s="17">
        <f>IF(NOT(OR(B118="EXISTENTE",COUNTA(G118,H118,I118,J118,K118,M118,N118,U118,V118,X118,Y118,Z118,AF118,AJ118)&gt;0)),"",TEXTJOIN(" | ",TRUE,IF(A118="","Falta ID staging",""),IF(COUNTIF($A$5:$A$445,A118)&gt;1,"ID staging duplicado",""),IF(G118="","Falta nombre",""),IF(LEN(G118)&gt;150,"Nombre &gt;150 caracteres",""),IF(H118="","Falta categoría",IF(COUNTIF(CategoriasLista,H118)=0,"Categoría inválida","")),IF(M118="","Falta precio compra",IF(OR(NOT(ISNUMBER(M118)),M118&lt;0),"Precio compra inválido","")),IF(N118="","Falta precio venta",IF(OR(NOT(ISNUMBER(N118)),N118&lt;=0,N118&lt;M118),"Precio venta inválido","")),IF(O118="","Falta stock mínimo",IF(OR(NOT(ISNUMBER(O118)),O118&lt;0,MOD(O118,1)&lt;&gt;0),"Stock mínimo inválido","")),IF(P118="","Falta unidad",IF(COUNTIF(UnidadesLista,P118)=0,"Unidad inválida","")),IF(AND(K118&lt;&gt;"",COUNTIF(ProveedoresLista,K118)=0),"Proveedor no catalogado",""),IF(X118="","Falta cantidad contada",IF(OR(NOT(ISNUMBER(X118)),X118&lt;0,ABS(X118*1000-ROUND(X118*1000,0))&gt;0.0000001),"Cantidad inválida",IF(AND(Q118="NO",MOD(X118,1)&lt;&gt;0),"Cantidad fraccionaria no permitida",""))),IF(AND(R118="SI",OR(NOT(ISNUMBER(S118)),S118&lt;1,MOD(S118,1)&lt;&gt;0)),"Empaque inválido",""),IF(OR(AND(AF118="",AG118="ESCANEADO"),AND(AF118&lt;&gt;"",AG118&lt;&gt;"ESCANEADO")),"Barcode/estado inconsistente",""),IF(AK118&lt;&gt;"",AK118,"")))</f>
        <v/>
      </c>
      <c r="AJ118" s="21" t="n"/>
      <c r="AK118" s="17">
        <f>IF(G118="","",IF(OR(COUNTIFS($G$5:$G$445,G118,$I$5:$I$445,I118,$J$5:$J$445,J118,$P$5:$P$445,P118)&gt;1,AND(AF118&lt;&gt;"",COUNTIF($AF$5:$AF$445,AF118)&gt;1)),"REVISAR_POSIBLE_DUPLICADO",""))</f>
        <v/>
      </c>
    </row>
    <row r="119">
      <c r="A119" s="17" t="inlineStr">
        <is>
          <t>6095bc7d-6aa9-572c-808e-9c119d1a2ea2</t>
        </is>
      </c>
      <c r="B119" s="18" t="inlineStr">
        <is>
          <t>EXISTENTE</t>
        </is>
      </c>
      <c r="C119" s="18" t="inlineStr">
        <is>
          <t>ACTIVO</t>
        </is>
      </c>
      <c r="D119" s="18" t="n">
        <v>154</v>
      </c>
      <c r="E119" s="17" t="inlineStr">
        <is>
          <t>11811d7f-3089-4e6f-9789-ca1eb51d2936</t>
        </is>
      </c>
      <c r="F119" s="17" t="inlineStr">
        <is>
          <t>PRB-FER-0102</t>
        </is>
      </c>
      <c r="G119" s="19" t="inlineStr">
        <is>
          <t>Regadera plástica 10 litros</t>
        </is>
      </c>
      <c r="H119" s="19" t="inlineStr">
        <is>
          <t>Jardinería</t>
        </is>
      </c>
      <c r="I119" s="20" t="inlineStr">
        <is>
          <t>JardínMax</t>
        </is>
      </c>
      <c r="J119" s="20" t="inlineStr">
        <is>
          <t>Unidad</t>
        </is>
      </c>
      <c r="K119" s="21" t="inlineStr">
        <is>
          <t>Proveedor Prueba Herramientas Industriales</t>
        </is>
      </c>
      <c r="L119" s="18" t="n">
        <v>14</v>
      </c>
      <c r="M119" s="22" t="n">
        <v>12500</v>
      </c>
      <c r="N119" s="22" t="n">
        <v>18000</v>
      </c>
      <c r="O119" s="23" t="n">
        <v>5</v>
      </c>
      <c r="P119" s="24" t="inlineStr">
        <is>
          <t>UNIDAD</t>
        </is>
      </c>
      <c r="Q119" s="20" t="inlineStr">
        <is>
          <t>NO</t>
        </is>
      </c>
      <c r="R119" s="20" t="inlineStr">
        <is>
          <t>NO</t>
        </is>
      </c>
      <c r="S119" s="25" t="n">
        <v>1</v>
      </c>
      <c r="T119" s="20" t="inlineStr">
        <is>
          <t>NO</t>
        </is>
      </c>
      <c r="U119" s="20" t="inlineStr">
        <is>
          <t>Bodega de pruebas</t>
        </is>
      </c>
      <c r="V119" s="21" t="inlineStr">
        <is>
          <t>Producto ficticio de prueba para validacion de busquedas, inventario, ventas y compras en FERREPRO. No corresponde a inventario real.</t>
        </is>
      </c>
      <c r="W119" s="26" t="n">
        <v>20</v>
      </c>
      <c r="X119" s="27" t="n"/>
      <c r="Y119" s="20" t="n"/>
      <c r="Z119" s="20" t="n"/>
      <c r="AA119" s="26">
        <f>IF(X119="","",X119-IF(W119="",0,W119))</f>
        <v/>
      </c>
      <c r="AB119" s="28">
        <f>IF(OR(X119="",M119=""),"",X119*M119)</f>
        <v/>
      </c>
      <c r="AC119" s="28">
        <f>IF(OR(X119="",N119=""),"",X119*N119)</f>
        <v/>
      </c>
      <c r="AD119" s="28">
        <f>IF(OR(M119="",N119=""),"",N119-M119)</f>
        <v/>
      </c>
      <c r="AE119" s="29">
        <f>IFERROR(IF(M119&gt;0,(N119-M119)/M119,""),"")</f>
        <v/>
      </c>
      <c r="AF119" s="30" t="n"/>
      <c r="AG119" s="30" t="inlineStr">
        <is>
          <t>PENDIENTE</t>
        </is>
      </c>
      <c r="AH119" s="18">
        <f>IF(NOT(OR(B119="EXISTENTE",COUNTA(G119,H119,I119,J119,K119,M119,N119,U119,V119,X119,Y119,Z119,AF119,AJ119)&gt;0)),"",IF(AK119&lt;&gt;"","REVISAR",IF(OR(G119="",H119="",M119="",N119="",O119="",P119="",X119=""),"INCOMPLETO",IF(AI119&lt;&gt;"","REVISAR",IF(AND(AF119&lt;&gt;"",AG119="ESCANEADO"),"LISTO_COMPLETO","LISTO_SIN_BARCODE")))))</f>
        <v/>
      </c>
      <c r="AI119" s="17">
        <f>IF(NOT(OR(B119="EXISTENTE",COUNTA(G119,H119,I119,J119,K119,M119,N119,U119,V119,X119,Y119,Z119,AF119,AJ119)&gt;0)),"",TEXTJOIN(" | ",TRUE,IF(A119="","Falta ID staging",""),IF(COUNTIF($A$5:$A$445,A119)&gt;1,"ID staging duplicado",""),IF(G119="","Falta nombre",""),IF(LEN(G119)&gt;150,"Nombre &gt;150 caracteres",""),IF(H119="","Falta categoría",IF(COUNTIF(CategoriasLista,H119)=0,"Categoría inválida","")),IF(M119="","Falta precio compra",IF(OR(NOT(ISNUMBER(M119)),M119&lt;0),"Precio compra inválido","")),IF(N119="","Falta precio venta",IF(OR(NOT(ISNUMBER(N119)),N119&lt;=0,N119&lt;M119),"Precio venta inválido","")),IF(O119="","Falta stock mínimo",IF(OR(NOT(ISNUMBER(O119)),O119&lt;0,MOD(O119,1)&lt;&gt;0),"Stock mínimo inválido","")),IF(P119="","Falta unidad",IF(COUNTIF(UnidadesLista,P119)=0,"Unidad inválida","")),IF(AND(K119&lt;&gt;"",COUNTIF(ProveedoresLista,K119)=0),"Proveedor no catalogado",""),IF(X119="","Falta cantidad contada",IF(OR(NOT(ISNUMBER(X119)),X119&lt;0,ABS(X119*1000-ROUND(X119*1000,0))&gt;0.0000001),"Cantidad inválida",IF(AND(Q119="NO",MOD(X119,1)&lt;&gt;0),"Cantidad fraccionaria no permitida",""))),IF(AND(R119="SI",OR(NOT(ISNUMBER(S119)),S119&lt;1,MOD(S119,1)&lt;&gt;0)),"Empaque inválido",""),IF(OR(AND(AF119="",AG119="ESCANEADO"),AND(AF119&lt;&gt;"",AG119&lt;&gt;"ESCANEADO")),"Barcode/estado inconsistente",""),IF(AK119&lt;&gt;"",AK119,"")))</f>
        <v/>
      </c>
      <c r="AJ119" s="21" t="n"/>
      <c r="AK119" s="17">
        <f>IF(G119="","",IF(OR(COUNTIFS($G$5:$G$445,G119,$I$5:$I$445,I119,$J$5:$J$445,J119,$P$5:$P$445,P119)&gt;1,AND(AF119&lt;&gt;"",COUNTIF($AF$5:$AF$445,AF119)&gt;1)),"REVISAR_POSIBLE_DUPLICADO",""))</f>
        <v/>
      </c>
    </row>
    <row r="120">
      <c r="A120" s="17" t="inlineStr">
        <is>
          <t>6f6ebae9-adc5-5d6e-8dd0-8e29e9fd9ba4</t>
        </is>
      </c>
      <c r="B120" s="18" t="inlineStr">
        <is>
          <t>EXISTENTE</t>
        </is>
      </c>
      <c r="C120" s="18" t="inlineStr">
        <is>
          <t>ACTIVO</t>
        </is>
      </c>
      <c r="D120" s="18" t="n">
        <v>155</v>
      </c>
      <c r="E120" s="17" t="inlineStr">
        <is>
          <t>3d4388d9-ddf6-4172-ab46-467b1a8e6b47</t>
        </is>
      </c>
      <c r="F120" s="17" t="inlineStr">
        <is>
          <t>PRB-FER-0103</t>
        </is>
      </c>
      <c r="G120" s="19" t="inlineStr">
        <is>
          <t>Guantes jardinería</t>
        </is>
      </c>
      <c r="H120" s="19" t="inlineStr">
        <is>
          <t>Jardinería</t>
        </is>
      </c>
      <c r="I120" s="20" t="inlineStr">
        <is>
          <t>JardínMax</t>
        </is>
      </c>
      <c r="J120" s="20" t="inlineStr">
        <is>
          <t>Par</t>
        </is>
      </c>
      <c r="K120" s="21" t="inlineStr">
        <is>
          <t>Proveedor Prueba Plomería Nacional</t>
        </is>
      </c>
      <c r="L120" s="18" t="n">
        <v>15</v>
      </c>
      <c r="M120" s="22" t="n">
        <v>6500</v>
      </c>
      <c r="N120" s="22" t="n">
        <v>9200</v>
      </c>
      <c r="O120" s="23" t="n">
        <v>12</v>
      </c>
      <c r="P120" s="24" t="inlineStr">
        <is>
          <t>PAR</t>
        </is>
      </c>
      <c r="Q120" s="20" t="inlineStr">
        <is>
          <t>NO</t>
        </is>
      </c>
      <c r="R120" s="20" t="inlineStr">
        <is>
          <t>NO</t>
        </is>
      </c>
      <c r="S120" s="25" t="n">
        <v>1</v>
      </c>
      <c r="T120" s="20" t="inlineStr">
        <is>
          <t>NO</t>
        </is>
      </c>
      <c r="U120" s="20" t="inlineStr">
        <is>
          <t>Bodega de pruebas</t>
        </is>
      </c>
      <c r="V120" s="21" t="inlineStr">
        <is>
          <t>Producto ficticio de prueba para validacion de busquedas, inventario, ventas y compras en FERREPRO. No corresponde a inventario real.</t>
        </is>
      </c>
      <c r="W120" s="26" t="n">
        <v>50</v>
      </c>
      <c r="X120" s="27" t="n"/>
      <c r="Y120" s="20" t="n"/>
      <c r="Z120" s="20" t="n"/>
      <c r="AA120" s="26">
        <f>IF(X120="","",X120-IF(W120="",0,W120))</f>
        <v/>
      </c>
      <c r="AB120" s="28">
        <f>IF(OR(X120="",M120=""),"",X120*M120)</f>
        <v/>
      </c>
      <c r="AC120" s="28">
        <f>IF(OR(X120="",N120=""),"",X120*N120)</f>
        <v/>
      </c>
      <c r="AD120" s="28">
        <f>IF(OR(M120="",N120=""),"",N120-M120)</f>
        <v/>
      </c>
      <c r="AE120" s="29">
        <f>IFERROR(IF(M120&gt;0,(N120-M120)/M120,""),"")</f>
        <v/>
      </c>
      <c r="AF120" s="30" t="n"/>
      <c r="AG120" s="30" t="inlineStr">
        <is>
          <t>PENDIENTE</t>
        </is>
      </c>
      <c r="AH120" s="18">
        <f>IF(NOT(OR(B120="EXISTENTE",COUNTA(G120,H120,I120,J120,K120,M120,N120,U120,V120,X120,Y120,Z120,AF120,AJ120)&gt;0)),"",IF(AK120&lt;&gt;"","REVISAR",IF(OR(G120="",H120="",M120="",N120="",O120="",P120="",X120=""),"INCOMPLETO",IF(AI120&lt;&gt;"","REVISAR",IF(AND(AF120&lt;&gt;"",AG120="ESCANEADO"),"LISTO_COMPLETO","LISTO_SIN_BARCODE")))))</f>
        <v/>
      </c>
      <c r="AI120" s="17">
        <f>IF(NOT(OR(B120="EXISTENTE",COUNTA(G120,H120,I120,J120,K120,M120,N120,U120,V120,X120,Y120,Z120,AF120,AJ120)&gt;0)),"",TEXTJOIN(" | ",TRUE,IF(A120="","Falta ID staging",""),IF(COUNTIF($A$5:$A$445,A120)&gt;1,"ID staging duplicado",""),IF(G120="","Falta nombre",""),IF(LEN(G120)&gt;150,"Nombre &gt;150 caracteres",""),IF(H120="","Falta categoría",IF(COUNTIF(CategoriasLista,H120)=0,"Categoría inválida","")),IF(M120="","Falta precio compra",IF(OR(NOT(ISNUMBER(M120)),M120&lt;0),"Precio compra inválido","")),IF(N120="","Falta precio venta",IF(OR(NOT(ISNUMBER(N120)),N120&lt;=0,N120&lt;M120),"Precio venta inválido","")),IF(O120="","Falta stock mínimo",IF(OR(NOT(ISNUMBER(O120)),O120&lt;0,MOD(O120,1)&lt;&gt;0),"Stock mínimo inválido","")),IF(P120="","Falta unidad",IF(COUNTIF(UnidadesLista,P120)=0,"Unidad inválida","")),IF(AND(K120&lt;&gt;"",COUNTIF(ProveedoresLista,K120)=0),"Proveedor no catalogado",""),IF(X120="","Falta cantidad contada",IF(OR(NOT(ISNUMBER(X120)),X120&lt;0,ABS(X120*1000-ROUND(X120*1000,0))&gt;0.0000001),"Cantidad inválida",IF(AND(Q120="NO",MOD(X120,1)&lt;&gt;0),"Cantidad fraccionaria no permitida",""))),IF(AND(R120="SI",OR(NOT(ISNUMBER(S120)),S120&lt;1,MOD(S120,1)&lt;&gt;0)),"Empaque inválido",""),IF(OR(AND(AF120="",AG120="ESCANEADO"),AND(AF120&lt;&gt;"",AG120&lt;&gt;"ESCANEADO")),"Barcode/estado inconsistente",""),IF(AK120&lt;&gt;"",AK120,"")))</f>
        <v/>
      </c>
      <c r="AJ120" s="21" t="n"/>
      <c r="AK120" s="17">
        <f>IF(G120="","",IF(OR(COUNTIFS($G$5:$G$445,G120,$I$5:$I$445,I120,$J$5:$J$445,J120,$P$5:$P$445,P120)&gt;1,AND(AF120&lt;&gt;"",COUNTIF($AF$5:$AF$445,AF120)&gt;1)),"REVISAR_POSIBLE_DUPLICADO",""))</f>
        <v/>
      </c>
    </row>
    <row r="121">
      <c r="A121" s="17" t="inlineStr">
        <is>
          <t>ce8ad6a0-f9a3-5f5d-ae75-f57218497de3</t>
        </is>
      </c>
      <c r="B121" s="18" t="inlineStr">
        <is>
          <t>EXISTENTE</t>
        </is>
      </c>
      <c r="C121" s="18" t="inlineStr">
        <is>
          <t>ACTIVO</t>
        </is>
      </c>
      <c r="D121" s="18" t="n">
        <v>156</v>
      </c>
      <c r="E121" s="17" t="inlineStr">
        <is>
          <t>cdcd037d-8316-4246-b318-4e16a0a31476</t>
        </is>
      </c>
      <c r="F121" s="17" t="inlineStr">
        <is>
          <t>PRB-FER-0104</t>
        </is>
      </c>
      <c r="G121" s="19" t="inlineStr">
        <is>
          <t>Aspersor plástico</t>
        </is>
      </c>
      <c r="H121" s="19" t="inlineStr">
        <is>
          <t>Jardinería</t>
        </is>
      </c>
      <c r="I121" s="20" t="inlineStr">
        <is>
          <t>JardínMax</t>
        </is>
      </c>
      <c r="J121" s="20" t="inlineStr">
        <is>
          <t>Unidad</t>
        </is>
      </c>
      <c r="K121" s="21" t="inlineStr">
        <is>
          <t>Proveedor Prueba Seguridad y Protección</t>
        </is>
      </c>
      <c r="L121" s="18" t="n">
        <v>16</v>
      </c>
      <c r="M121" s="22" t="n">
        <v>9000</v>
      </c>
      <c r="N121" s="22" t="n">
        <v>13000</v>
      </c>
      <c r="O121" s="23" t="n">
        <v>7</v>
      </c>
      <c r="P121" s="24" t="inlineStr">
        <is>
          <t>UNIDAD</t>
        </is>
      </c>
      <c r="Q121" s="20" t="inlineStr">
        <is>
          <t>NO</t>
        </is>
      </c>
      <c r="R121" s="20" t="inlineStr">
        <is>
          <t>NO</t>
        </is>
      </c>
      <c r="S121" s="25" t="n">
        <v>1</v>
      </c>
      <c r="T121" s="20" t="inlineStr">
        <is>
          <t>NO</t>
        </is>
      </c>
      <c r="U121" s="20" t="inlineStr">
        <is>
          <t>Bodega de pruebas</t>
        </is>
      </c>
      <c r="V121" s="21" t="inlineStr">
        <is>
          <t>Producto ficticio de prueba para validacion de busquedas, inventario, ventas y compras en FERREPRO. No corresponde a inventario real.</t>
        </is>
      </c>
      <c r="W121" s="26" t="n">
        <v>30</v>
      </c>
      <c r="X121" s="27" t="n"/>
      <c r="Y121" s="20" t="n"/>
      <c r="Z121" s="20" t="n"/>
      <c r="AA121" s="26">
        <f>IF(X121="","",X121-IF(W121="",0,W121))</f>
        <v/>
      </c>
      <c r="AB121" s="28">
        <f>IF(OR(X121="",M121=""),"",X121*M121)</f>
        <v/>
      </c>
      <c r="AC121" s="28">
        <f>IF(OR(X121="",N121=""),"",X121*N121)</f>
        <v/>
      </c>
      <c r="AD121" s="28">
        <f>IF(OR(M121="",N121=""),"",N121-M121)</f>
        <v/>
      </c>
      <c r="AE121" s="29">
        <f>IFERROR(IF(M121&gt;0,(N121-M121)/M121,""),"")</f>
        <v/>
      </c>
      <c r="AF121" s="30" t="n"/>
      <c r="AG121" s="30" t="inlineStr">
        <is>
          <t>PENDIENTE</t>
        </is>
      </c>
      <c r="AH121" s="18">
        <f>IF(NOT(OR(B121="EXISTENTE",COUNTA(G121,H121,I121,J121,K121,M121,N121,U121,V121,X121,Y121,Z121,AF121,AJ121)&gt;0)),"",IF(AK121&lt;&gt;"","REVISAR",IF(OR(G121="",H121="",M121="",N121="",O121="",P121="",X121=""),"INCOMPLETO",IF(AI121&lt;&gt;"","REVISAR",IF(AND(AF121&lt;&gt;"",AG121="ESCANEADO"),"LISTO_COMPLETO","LISTO_SIN_BARCODE")))))</f>
        <v/>
      </c>
      <c r="AI121" s="17">
        <f>IF(NOT(OR(B121="EXISTENTE",COUNTA(G121,H121,I121,J121,K121,M121,N121,U121,V121,X121,Y121,Z121,AF121,AJ121)&gt;0)),"",TEXTJOIN(" | ",TRUE,IF(A121="","Falta ID staging",""),IF(COUNTIF($A$5:$A$445,A121)&gt;1,"ID staging duplicado",""),IF(G121="","Falta nombre",""),IF(LEN(G121)&gt;150,"Nombre &gt;150 caracteres",""),IF(H121="","Falta categoría",IF(COUNTIF(CategoriasLista,H121)=0,"Categoría inválida","")),IF(M121="","Falta precio compra",IF(OR(NOT(ISNUMBER(M121)),M121&lt;0),"Precio compra inválido","")),IF(N121="","Falta precio venta",IF(OR(NOT(ISNUMBER(N121)),N121&lt;=0,N121&lt;M121),"Precio venta inválido","")),IF(O121="","Falta stock mínimo",IF(OR(NOT(ISNUMBER(O121)),O121&lt;0,MOD(O121,1)&lt;&gt;0),"Stock mínimo inválido","")),IF(P121="","Falta unidad",IF(COUNTIF(UnidadesLista,P121)=0,"Unidad inválida","")),IF(AND(K121&lt;&gt;"",COUNTIF(ProveedoresLista,K121)=0),"Proveedor no catalogado",""),IF(X121="","Falta cantidad contada",IF(OR(NOT(ISNUMBER(X121)),X121&lt;0,ABS(X121*1000-ROUND(X121*1000,0))&gt;0.0000001),"Cantidad inválida",IF(AND(Q121="NO",MOD(X121,1)&lt;&gt;0),"Cantidad fraccionaria no permitida",""))),IF(AND(R121="SI",OR(NOT(ISNUMBER(S121)),S121&lt;1,MOD(S121,1)&lt;&gt;0)),"Empaque inválido",""),IF(OR(AND(AF121="",AG121="ESCANEADO"),AND(AF121&lt;&gt;"",AG121&lt;&gt;"ESCANEADO")),"Barcode/estado inconsistente",""),IF(AK121&lt;&gt;"",AK121,"")))</f>
        <v/>
      </c>
      <c r="AJ121" s="21" t="n"/>
      <c r="AK121" s="17">
        <f>IF(G121="","",IF(OR(COUNTIFS($G$5:$G$445,G121,$I$5:$I$445,I121,$J$5:$J$445,J121,$P$5:$P$445,P121)&gt;1,AND(AF121&lt;&gt;"",COUNTIF($AF$5:$AF$445,AF121)&gt;1)),"REVISAR_POSIBLE_DUPLICADO",""))</f>
        <v/>
      </c>
    </row>
    <row r="122">
      <c r="A122" s="17" t="inlineStr">
        <is>
          <t>eb8182e2-55f3-50d6-b034-fe82c7f5db1c</t>
        </is>
      </c>
      <c r="B122" s="18" t="inlineStr">
        <is>
          <t>EXISTENTE</t>
        </is>
      </c>
      <c r="C122" s="18" t="inlineStr">
        <is>
          <t>ACTIVO</t>
        </is>
      </c>
      <c r="D122" s="18" t="n">
        <v>157</v>
      </c>
      <c r="E122" s="17" t="inlineStr">
        <is>
          <t>a586142b-21d8-4d74-bc38-7707cbf51444</t>
        </is>
      </c>
      <c r="F122" s="17" t="inlineStr">
        <is>
          <t>PRB-FER-0105</t>
        </is>
      </c>
      <c r="G122" s="19" t="inlineStr">
        <is>
          <t>Silicona transparente</t>
        </is>
      </c>
      <c r="H122" s="19" t="inlineStr">
        <is>
          <t>Adhesivos y selladores</t>
        </is>
      </c>
      <c r="I122" s="20" t="inlineStr">
        <is>
          <t>FixMaster</t>
        </is>
      </c>
      <c r="J122" s="20" t="inlineStr">
        <is>
          <t>Cartucho</t>
        </is>
      </c>
      <c r="K122" s="21" t="inlineStr">
        <is>
          <t>Proveedor Prueba Ferretería Central S.A.S.</t>
        </is>
      </c>
      <c r="L122" s="18" t="n">
        <v>9</v>
      </c>
      <c r="M122" s="22" t="n">
        <v>9500</v>
      </c>
      <c r="N122" s="22" t="n">
        <v>13500</v>
      </c>
      <c r="O122" s="23" t="n">
        <v>12</v>
      </c>
      <c r="P122" s="24" t="inlineStr">
        <is>
          <t>UNIDAD</t>
        </is>
      </c>
      <c r="Q122" s="20" t="inlineStr">
        <is>
          <t>NO</t>
        </is>
      </c>
      <c r="R122" s="20" t="inlineStr">
        <is>
          <t>NO</t>
        </is>
      </c>
      <c r="S122" s="25" t="n">
        <v>1</v>
      </c>
      <c r="T122" s="20" t="inlineStr">
        <is>
          <t>NO</t>
        </is>
      </c>
      <c r="U122" s="20" t="inlineStr">
        <is>
          <t>Bodega de pruebas</t>
        </is>
      </c>
      <c r="V122" s="21" t="inlineStr">
        <is>
          <t>Producto ficticio de prueba para validacion de busquedas, inventario, ventas y compras en FERREPRO. No corresponde a inventario real.</t>
        </is>
      </c>
      <c r="W122" s="26" t="n">
        <v>50</v>
      </c>
      <c r="X122" s="27" t="n"/>
      <c r="Y122" s="20" t="n"/>
      <c r="Z122" s="20" t="n"/>
      <c r="AA122" s="26">
        <f>IF(X122="","",X122-IF(W122="",0,W122))</f>
        <v/>
      </c>
      <c r="AB122" s="28">
        <f>IF(OR(X122="",M122=""),"",X122*M122)</f>
        <v/>
      </c>
      <c r="AC122" s="28">
        <f>IF(OR(X122="",N122=""),"",X122*N122)</f>
        <v/>
      </c>
      <c r="AD122" s="28">
        <f>IF(OR(M122="",N122=""),"",N122-M122)</f>
        <v/>
      </c>
      <c r="AE122" s="29">
        <f>IFERROR(IF(M122&gt;0,(N122-M122)/M122,""),"")</f>
        <v/>
      </c>
      <c r="AF122" s="30" t="n"/>
      <c r="AG122" s="30" t="inlineStr">
        <is>
          <t>PENDIENTE</t>
        </is>
      </c>
      <c r="AH122" s="18">
        <f>IF(NOT(OR(B122="EXISTENTE",COUNTA(G122,H122,I122,J122,K122,M122,N122,U122,V122,X122,Y122,Z122,AF122,AJ122)&gt;0)),"",IF(AK122&lt;&gt;"","REVISAR",IF(OR(G122="",H122="",M122="",N122="",O122="",P122="",X122=""),"INCOMPLETO",IF(AI122&lt;&gt;"","REVISAR",IF(AND(AF122&lt;&gt;"",AG122="ESCANEADO"),"LISTO_COMPLETO","LISTO_SIN_BARCODE")))))</f>
        <v/>
      </c>
      <c r="AI122" s="17">
        <f>IF(NOT(OR(B122="EXISTENTE",COUNTA(G122,H122,I122,J122,K122,M122,N122,U122,V122,X122,Y122,Z122,AF122,AJ122)&gt;0)),"",TEXTJOIN(" | ",TRUE,IF(A122="","Falta ID staging",""),IF(COUNTIF($A$5:$A$445,A122)&gt;1,"ID staging duplicado",""),IF(G122="","Falta nombre",""),IF(LEN(G122)&gt;150,"Nombre &gt;150 caracteres",""),IF(H122="","Falta categoría",IF(COUNTIF(CategoriasLista,H122)=0,"Categoría inválida","")),IF(M122="","Falta precio compra",IF(OR(NOT(ISNUMBER(M122)),M122&lt;0),"Precio compra inválido","")),IF(N122="","Falta precio venta",IF(OR(NOT(ISNUMBER(N122)),N122&lt;=0,N122&lt;M122),"Precio venta inválido","")),IF(O122="","Falta stock mínimo",IF(OR(NOT(ISNUMBER(O122)),O122&lt;0,MOD(O122,1)&lt;&gt;0),"Stock mínimo inválido","")),IF(P122="","Falta unidad",IF(COUNTIF(UnidadesLista,P122)=0,"Unidad inválida","")),IF(AND(K122&lt;&gt;"",COUNTIF(ProveedoresLista,K122)=0),"Proveedor no catalogado",""),IF(X122="","Falta cantidad contada",IF(OR(NOT(ISNUMBER(X122)),X122&lt;0,ABS(X122*1000-ROUND(X122*1000,0))&gt;0.0000001),"Cantidad inválida",IF(AND(Q122="NO",MOD(X122,1)&lt;&gt;0),"Cantidad fraccionaria no permitida",""))),IF(AND(R122="SI",OR(NOT(ISNUMBER(S122)),S122&lt;1,MOD(S122,1)&lt;&gt;0)),"Empaque inválido",""),IF(OR(AND(AF122="",AG122="ESCANEADO"),AND(AF122&lt;&gt;"",AG122&lt;&gt;"ESCANEADO")),"Barcode/estado inconsistente",""),IF(AK122&lt;&gt;"",AK122,"")))</f>
        <v/>
      </c>
      <c r="AJ122" s="21" t="n"/>
      <c r="AK122" s="17">
        <f>IF(G122="","",IF(OR(COUNTIFS($G$5:$G$445,G122,$I$5:$I$445,I122,$J$5:$J$445,J122,$P$5:$P$445,P122)&gt;1,AND(AF122&lt;&gt;"",COUNTIF($AF$5:$AF$445,AF122)&gt;1)),"REVISAR_POSIBLE_DUPLICADO",""))</f>
        <v/>
      </c>
    </row>
    <row r="123">
      <c r="A123" s="17" t="inlineStr">
        <is>
          <t>6397a340-1875-58e3-bd6b-06b5a50a38c6</t>
        </is>
      </c>
      <c r="B123" s="18" t="inlineStr">
        <is>
          <t>EXISTENTE</t>
        </is>
      </c>
      <c r="C123" s="18" t="inlineStr">
        <is>
          <t>ACTIVO</t>
        </is>
      </c>
      <c r="D123" s="18" t="n">
        <v>158</v>
      </c>
      <c r="E123" s="17" t="inlineStr">
        <is>
          <t>14c77bdd-d57c-4409-9190-c43c6b98437c</t>
        </is>
      </c>
      <c r="F123" s="17" t="inlineStr">
        <is>
          <t>PRB-FER-0106</t>
        </is>
      </c>
      <c r="G123" s="19" t="inlineStr">
        <is>
          <t>Silicona blanca</t>
        </is>
      </c>
      <c r="H123" s="19" t="inlineStr">
        <is>
          <t>Adhesivos y selladores</t>
        </is>
      </c>
      <c r="I123" s="20" t="inlineStr">
        <is>
          <t>FixMaster</t>
        </is>
      </c>
      <c r="J123" s="20" t="inlineStr">
        <is>
          <t>Cartucho</t>
        </is>
      </c>
      <c r="K123" s="21" t="inlineStr">
        <is>
          <t>Proveedor Prueba ConstruMateriales del Norte</t>
        </is>
      </c>
      <c r="L123" s="18" t="n">
        <v>10</v>
      </c>
      <c r="M123" s="22" t="n">
        <v>9500</v>
      </c>
      <c r="N123" s="22" t="n">
        <v>13500</v>
      </c>
      <c r="O123" s="23" t="n">
        <v>12</v>
      </c>
      <c r="P123" s="24" t="inlineStr">
        <is>
          <t>UNIDAD</t>
        </is>
      </c>
      <c r="Q123" s="20" t="inlineStr">
        <is>
          <t>NO</t>
        </is>
      </c>
      <c r="R123" s="20" t="inlineStr">
        <is>
          <t>NO</t>
        </is>
      </c>
      <c r="S123" s="25" t="n">
        <v>1</v>
      </c>
      <c r="T123" s="20" t="inlineStr">
        <is>
          <t>NO</t>
        </is>
      </c>
      <c r="U123" s="20" t="inlineStr">
        <is>
          <t>Bodega de pruebas</t>
        </is>
      </c>
      <c r="V123" s="21" t="inlineStr">
        <is>
          <t>Producto ficticio de prueba para validacion de busquedas, inventario, ventas y compras en FERREPRO. No corresponde a inventario real.</t>
        </is>
      </c>
      <c r="W123" s="26" t="n">
        <v>50</v>
      </c>
      <c r="X123" s="27" t="n"/>
      <c r="Y123" s="20" t="n"/>
      <c r="Z123" s="20" t="n"/>
      <c r="AA123" s="26">
        <f>IF(X123="","",X123-IF(W123="",0,W123))</f>
        <v/>
      </c>
      <c r="AB123" s="28">
        <f>IF(OR(X123="",M123=""),"",X123*M123)</f>
        <v/>
      </c>
      <c r="AC123" s="28">
        <f>IF(OR(X123="",N123=""),"",X123*N123)</f>
        <v/>
      </c>
      <c r="AD123" s="28">
        <f>IF(OR(M123="",N123=""),"",N123-M123)</f>
        <v/>
      </c>
      <c r="AE123" s="29">
        <f>IFERROR(IF(M123&gt;0,(N123-M123)/M123,""),"")</f>
        <v/>
      </c>
      <c r="AF123" s="30" t="n"/>
      <c r="AG123" s="30" t="inlineStr">
        <is>
          <t>PENDIENTE</t>
        </is>
      </c>
      <c r="AH123" s="18">
        <f>IF(NOT(OR(B123="EXISTENTE",COUNTA(G123,H123,I123,J123,K123,M123,N123,U123,V123,X123,Y123,Z123,AF123,AJ123)&gt;0)),"",IF(AK123&lt;&gt;"","REVISAR",IF(OR(G123="",H123="",M123="",N123="",O123="",P123="",X123=""),"INCOMPLETO",IF(AI123&lt;&gt;"","REVISAR",IF(AND(AF123&lt;&gt;"",AG123="ESCANEADO"),"LISTO_COMPLETO","LISTO_SIN_BARCODE")))))</f>
        <v/>
      </c>
      <c r="AI123" s="17">
        <f>IF(NOT(OR(B123="EXISTENTE",COUNTA(G123,H123,I123,J123,K123,M123,N123,U123,V123,X123,Y123,Z123,AF123,AJ123)&gt;0)),"",TEXTJOIN(" | ",TRUE,IF(A123="","Falta ID staging",""),IF(COUNTIF($A$5:$A$445,A123)&gt;1,"ID staging duplicado",""),IF(G123="","Falta nombre",""),IF(LEN(G123)&gt;150,"Nombre &gt;150 caracteres",""),IF(H123="","Falta categoría",IF(COUNTIF(CategoriasLista,H123)=0,"Categoría inválida","")),IF(M123="","Falta precio compra",IF(OR(NOT(ISNUMBER(M123)),M123&lt;0),"Precio compra inválido","")),IF(N123="","Falta precio venta",IF(OR(NOT(ISNUMBER(N123)),N123&lt;=0,N123&lt;M123),"Precio venta inválido","")),IF(O123="","Falta stock mínimo",IF(OR(NOT(ISNUMBER(O123)),O123&lt;0,MOD(O123,1)&lt;&gt;0),"Stock mínimo inválido","")),IF(P123="","Falta unidad",IF(COUNTIF(UnidadesLista,P123)=0,"Unidad inválida","")),IF(AND(K123&lt;&gt;"",COUNTIF(ProveedoresLista,K123)=0),"Proveedor no catalogado",""),IF(X123="","Falta cantidad contada",IF(OR(NOT(ISNUMBER(X123)),X123&lt;0,ABS(X123*1000-ROUND(X123*1000,0))&gt;0.0000001),"Cantidad inválida",IF(AND(Q123="NO",MOD(X123,1)&lt;&gt;0),"Cantidad fraccionaria no permitida",""))),IF(AND(R123="SI",OR(NOT(ISNUMBER(S123)),S123&lt;1,MOD(S123,1)&lt;&gt;0)),"Empaque inválido",""),IF(OR(AND(AF123="",AG123="ESCANEADO"),AND(AF123&lt;&gt;"",AG123&lt;&gt;"ESCANEADO")),"Barcode/estado inconsistente",""),IF(AK123&lt;&gt;"",AK123,"")))</f>
        <v/>
      </c>
      <c r="AJ123" s="21" t="n"/>
      <c r="AK123" s="17">
        <f>IF(G123="","",IF(OR(COUNTIFS($G$5:$G$445,G123,$I$5:$I$445,I123,$J$5:$J$445,J123,$P$5:$P$445,P123)&gt;1,AND(AF123&lt;&gt;"",COUNTIF($AF$5:$AF$445,AF123)&gt;1)),"REVISAR_POSIBLE_DUPLICADO",""))</f>
        <v/>
      </c>
    </row>
    <row r="124">
      <c r="A124" s="17" t="inlineStr">
        <is>
          <t>6b4381cb-a2ab-56c8-9e56-451d8d7ac69f</t>
        </is>
      </c>
      <c r="B124" s="18" t="inlineStr">
        <is>
          <t>EXISTENTE</t>
        </is>
      </c>
      <c r="C124" s="18" t="inlineStr">
        <is>
          <t>ACTIVO</t>
        </is>
      </c>
      <c r="D124" s="18" t="n">
        <v>159</v>
      </c>
      <c r="E124" s="17" t="inlineStr">
        <is>
          <t>8fe7940a-765f-4e52-b999-fff7b92d8be8</t>
        </is>
      </c>
      <c r="F124" s="17" t="inlineStr">
        <is>
          <t>PRB-FER-0107</t>
        </is>
      </c>
      <c r="G124" s="19" t="inlineStr">
        <is>
          <t>Pegante instantáneo</t>
        </is>
      </c>
      <c r="H124" s="19" t="inlineStr">
        <is>
          <t>Adhesivos y selladores</t>
        </is>
      </c>
      <c r="I124" s="20" t="inlineStr">
        <is>
          <t>FixMaster</t>
        </is>
      </c>
      <c r="J124" s="20" t="inlineStr">
        <is>
          <t>Unidad</t>
        </is>
      </c>
      <c r="K124" s="21" t="inlineStr">
        <is>
          <t>Proveedor Prueba Tornillos y Fijaciones Andinas</t>
        </is>
      </c>
      <c r="L124" s="18" t="n">
        <v>11</v>
      </c>
      <c r="M124" s="22" t="n">
        <v>4500</v>
      </c>
      <c r="N124" s="22" t="n">
        <v>6500</v>
      </c>
      <c r="O124" s="23" t="n">
        <v>17</v>
      </c>
      <c r="P124" s="24" t="inlineStr">
        <is>
          <t>UNIDAD</t>
        </is>
      </c>
      <c r="Q124" s="20" t="inlineStr">
        <is>
          <t>NO</t>
        </is>
      </c>
      <c r="R124" s="20" t="inlineStr">
        <is>
          <t>NO</t>
        </is>
      </c>
      <c r="S124" s="25" t="n">
        <v>1</v>
      </c>
      <c r="T124" s="20" t="inlineStr">
        <is>
          <t>NO</t>
        </is>
      </c>
      <c r="U124" s="20" t="inlineStr">
        <is>
          <t>Bodega de pruebas</t>
        </is>
      </c>
      <c r="V124" s="21" t="inlineStr">
        <is>
          <t>Producto ficticio de prueba para validacion de busquedas, inventario, ventas y compras en FERREPRO. No corresponde a inventario real.</t>
        </is>
      </c>
      <c r="W124" s="26" t="n">
        <v>70</v>
      </c>
      <c r="X124" s="27" t="n"/>
      <c r="Y124" s="20" t="n"/>
      <c r="Z124" s="20" t="n"/>
      <c r="AA124" s="26">
        <f>IF(X124="","",X124-IF(W124="",0,W124))</f>
        <v/>
      </c>
      <c r="AB124" s="28">
        <f>IF(OR(X124="",M124=""),"",X124*M124)</f>
        <v/>
      </c>
      <c r="AC124" s="28">
        <f>IF(OR(X124="",N124=""),"",X124*N124)</f>
        <v/>
      </c>
      <c r="AD124" s="28">
        <f>IF(OR(M124="",N124=""),"",N124-M124)</f>
        <v/>
      </c>
      <c r="AE124" s="29">
        <f>IFERROR(IF(M124&gt;0,(N124-M124)/M124,""),"")</f>
        <v/>
      </c>
      <c r="AF124" s="30" t="n"/>
      <c r="AG124" s="30" t="inlineStr">
        <is>
          <t>PENDIENTE</t>
        </is>
      </c>
      <c r="AH124" s="18">
        <f>IF(NOT(OR(B124="EXISTENTE",COUNTA(G124,H124,I124,J124,K124,M124,N124,U124,V124,X124,Y124,Z124,AF124,AJ124)&gt;0)),"",IF(AK124&lt;&gt;"","REVISAR",IF(OR(G124="",H124="",M124="",N124="",O124="",P124="",X124=""),"INCOMPLETO",IF(AI124&lt;&gt;"","REVISAR",IF(AND(AF124&lt;&gt;"",AG124="ESCANEADO"),"LISTO_COMPLETO","LISTO_SIN_BARCODE")))))</f>
        <v/>
      </c>
      <c r="AI124" s="17">
        <f>IF(NOT(OR(B124="EXISTENTE",COUNTA(G124,H124,I124,J124,K124,M124,N124,U124,V124,X124,Y124,Z124,AF124,AJ124)&gt;0)),"",TEXTJOIN(" | ",TRUE,IF(A124="","Falta ID staging",""),IF(COUNTIF($A$5:$A$445,A124)&gt;1,"ID staging duplicado",""),IF(G124="","Falta nombre",""),IF(LEN(G124)&gt;150,"Nombre &gt;150 caracteres",""),IF(H124="","Falta categoría",IF(COUNTIF(CategoriasLista,H124)=0,"Categoría inválida","")),IF(M124="","Falta precio compra",IF(OR(NOT(ISNUMBER(M124)),M124&lt;0),"Precio compra inválido","")),IF(N124="","Falta precio venta",IF(OR(NOT(ISNUMBER(N124)),N124&lt;=0,N124&lt;M124),"Precio venta inválido","")),IF(O124="","Falta stock mínimo",IF(OR(NOT(ISNUMBER(O124)),O124&lt;0,MOD(O124,1)&lt;&gt;0),"Stock mínimo inválido","")),IF(P124="","Falta unidad",IF(COUNTIF(UnidadesLista,P124)=0,"Unidad inválida","")),IF(AND(K124&lt;&gt;"",COUNTIF(ProveedoresLista,K124)=0),"Proveedor no catalogado",""),IF(X124="","Falta cantidad contada",IF(OR(NOT(ISNUMBER(X124)),X124&lt;0,ABS(X124*1000-ROUND(X124*1000,0))&gt;0.0000001),"Cantidad inválida",IF(AND(Q124="NO",MOD(X124,1)&lt;&gt;0),"Cantidad fraccionaria no permitida",""))),IF(AND(R124="SI",OR(NOT(ISNUMBER(S124)),S124&lt;1,MOD(S124,1)&lt;&gt;0)),"Empaque inválido",""),IF(OR(AND(AF124="",AG124="ESCANEADO"),AND(AF124&lt;&gt;"",AG124&lt;&gt;"ESCANEADO")),"Barcode/estado inconsistente",""),IF(AK124&lt;&gt;"",AK124,"")))</f>
        <v/>
      </c>
      <c r="AJ124" s="21" t="n"/>
      <c r="AK124" s="17">
        <f>IF(G124="","",IF(OR(COUNTIFS($G$5:$G$445,G124,$I$5:$I$445,I124,$J$5:$J$445,J124,$P$5:$P$445,P124)&gt;1,AND(AF124&lt;&gt;"",COUNTIF($AF$5:$AF$445,AF124)&gt;1)),"REVISAR_POSIBLE_DUPLICADO",""))</f>
        <v/>
      </c>
    </row>
    <row r="125">
      <c r="A125" s="17" t="inlineStr">
        <is>
          <t>ed54f9a7-8434-5818-9378-cca443fc64d7</t>
        </is>
      </c>
      <c r="B125" s="18" t="inlineStr">
        <is>
          <t>EXISTENTE</t>
        </is>
      </c>
      <c r="C125" s="18" t="inlineStr">
        <is>
          <t>ACTIVO</t>
        </is>
      </c>
      <c r="D125" s="18" t="n">
        <v>160</v>
      </c>
      <c r="E125" s="17" t="inlineStr">
        <is>
          <t>9c58e2b3-99cf-49ee-ba63-a64dad393e95</t>
        </is>
      </c>
      <c r="F125" s="17" t="inlineStr">
        <is>
          <t>PRB-FER-0108</t>
        </is>
      </c>
      <c r="G125" s="19" t="inlineStr">
        <is>
          <t>Pegante de contacto</t>
        </is>
      </c>
      <c r="H125" s="19" t="inlineStr">
        <is>
          <t>Adhesivos y selladores</t>
        </is>
      </c>
      <c r="I125" s="20" t="inlineStr">
        <is>
          <t>ConstruPro</t>
        </is>
      </c>
      <c r="J125" s="20" t="inlineStr">
        <is>
          <t>Unidad</t>
        </is>
      </c>
      <c r="K125" s="21" t="inlineStr">
        <is>
          <t>Proveedor Prueba Eléctricos Colombia</t>
        </is>
      </c>
      <c r="L125" s="18" t="n">
        <v>12</v>
      </c>
      <c r="M125" s="22" t="n">
        <v>11000</v>
      </c>
      <c r="N125" s="22" t="n">
        <v>15500</v>
      </c>
      <c r="O125" s="23" t="n">
        <v>10</v>
      </c>
      <c r="P125" s="24" t="inlineStr">
        <is>
          <t>UNIDAD</t>
        </is>
      </c>
      <c r="Q125" s="20" t="inlineStr">
        <is>
          <t>NO</t>
        </is>
      </c>
      <c r="R125" s="20" t="inlineStr">
        <is>
          <t>NO</t>
        </is>
      </c>
      <c r="S125" s="25" t="n">
        <v>1</v>
      </c>
      <c r="T125" s="20" t="inlineStr">
        <is>
          <t>NO</t>
        </is>
      </c>
      <c r="U125" s="20" t="inlineStr">
        <is>
          <t>Bodega de pruebas</t>
        </is>
      </c>
      <c r="V125" s="21" t="inlineStr">
        <is>
          <t>Producto ficticio de prueba para validacion de busquedas, inventario, ventas y compras en FERREPRO. No corresponde a inventario real.</t>
        </is>
      </c>
      <c r="W125" s="26" t="n">
        <v>40</v>
      </c>
      <c r="X125" s="27" t="n"/>
      <c r="Y125" s="20" t="n"/>
      <c r="Z125" s="20" t="n"/>
      <c r="AA125" s="26">
        <f>IF(X125="","",X125-IF(W125="",0,W125))</f>
        <v/>
      </c>
      <c r="AB125" s="28">
        <f>IF(OR(X125="",M125=""),"",X125*M125)</f>
        <v/>
      </c>
      <c r="AC125" s="28">
        <f>IF(OR(X125="",N125=""),"",X125*N125)</f>
        <v/>
      </c>
      <c r="AD125" s="28">
        <f>IF(OR(M125="",N125=""),"",N125-M125)</f>
        <v/>
      </c>
      <c r="AE125" s="29">
        <f>IFERROR(IF(M125&gt;0,(N125-M125)/M125,""),"")</f>
        <v/>
      </c>
      <c r="AF125" s="30" t="n"/>
      <c r="AG125" s="30" t="inlineStr">
        <is>
          <t>PENDIENTE</t>
        </is>
      </c>
      <c r="AH125" s="18">
        <f>IF(NOT(OR(B125="EXISTENTE",COUNTA(G125,H125,I125,J125,K125,M125,N125,U125,V125,X125,Y125,Z125,AF125,AJ125)&gt;0)),"",IF(AK125&lt;&gt;"","REVISAR",IF(OR(G125="",H125="",M125="",N125="",O125="",P125="",X125=""),"INCOMPLETO",IF(AI125&lt;&gt;"","REVISAR",IF(AND(AF125&lt;&gt;"",AG125="ESCANEADO"),"LISTO_COMPLETO","LISTO_SIN_BARCODE")))))</f>
        <v/>
      </c>
      <c r="AI125" s="17">
        <f>IF(NOT(OR(B125="EXISTENTE",COUNTA(G125,H125,I125,J125,K125,M125,N125,U125,V125,X125,Y125,Z125,AF125,AJ125)&gt;0)),"",TEXTJOIN(" | ",TRUE,IF(A125="","Falta ID staging",""),IF(COUNTIF($A$5:$A$445,A125)&gt;1,"ID staging duplicado",""),IF(G125="","Falta nombre",""),IF(LEN(G125)&gt;150,"Nombre &gt;150 caracteres",""),IF(H125="","Falta categoría",IF(COUNTIF(CategoriasLista,H125)=0,"Categoría inválida","")),IF(M125="","Falta precio compra",IF(OR(NOT(ISNUMBER(M125)),M125&lt;0),"Precio compra inválido","")),IF(N125="","Falta precio venta",IF(OR(NOT(ISNUMBER(N125)),N125&lt;=0,N125&lt;M125),"Precio venta inválido","")),IF(O125="","Falta stock mínimo",IF(OR(NOT(ISNUMBER(O125)),O125&lt;0,MOD(O125,1)&lt;&gt;0),"Stock mínimo inválido","")),IF(P125="","Falta unidad",IF(COUNTIF(UnidadesLista,P125)=0,"Unidad inválida","")),IF(AND(K125&lt;&gt;"",COUNTIF(ProveedoresLista,K125)=0),"Proveedor no catalogado",""),IF(X125="","Falta cantidad contada",IF(OR(NOT(ISNUMBER(X125)),X125&lt;0,ABS(X125*1000-ROUND(X125*1000,0))&gt;0.0000001),"Cantidad inválida",IF(AND(Q125="NO",MOD(X125,1)&lt;&gt;0),"Cantidad fraccionaria no permitida",""))),IF(AND(R125="SI",OR(NOT(ISNUMBER(S125)),S125&lt;1,MOD(S125,1)&lt;&gt;0)),"Empaque inválido",""),IF(OR(AND(AF125="",AG125="ESCANEADO"),AND(AF125&lt;&gt;"",AG125&lt;&gt;"ESCANEADO")),"Barcode/estado inconsistente",""),IF(AK125&lt;&gt;"",AK125,"")))</f>
        <v/>
      </c>
      <c r="AJ125" s="21" t="n"/>
      <c r="AK125" s="17">
        <f>IF(G125="","",IF(OR(COUNTIFS($G$5:$G$445,G125,$I$5:$I$445,I125,$J$5:$J$445,J125,$P$5:$P$445,P125)&gt;1,AND(AF125&lt;&gt;"",COUNTIF($AF$5:$AF$445,AF125)&gt;1)),"REVISAR_POSIBLE_DUPLICADO",""))</f>
        <v/>
      </c>
    </row>
    <row r="126">
      <c r="A126" s="17" t="inlineStr">
        <is>
          <t>bbb1c9cd-2698-5916-984b-797344966d7a</t>
        </is>
      </c>
      <c r="B126" s="18" t="inlineStr">
        <is>
          <t>EXISTENTE</t>
        </is>
      </c>
      <c r="C126" s="18" t="inlineStr">
        <is>
          <t>ACTIVO</t>
        </is>
      </c>
      <c r="D126" s="18" t="n">
        <v>161</v>
      </c>
      <c r="E126" s="17" t="inlineStr">
        <is>
          <t>cc65cd48-109b-42bc-8cee-a8243b264740</t>
        </is>
      </c>
      <c r="F126" s="17" t="inlineStr">
        <is>
          <t>PRB-FER-0109</t>
        </is>
      </c>
      <c r="G126" s="19" t="inlineStr">
        <is>
          <t>Cinta doble faz</t>
        </is>
      </c>
      <c r="H126" s="19" t="inlineStr">
        <is>
          <t>Adhesivos y selladores</t>
        </is>
      </c>
      <c r="I126" s="20" t="inlineStr">
        <is>
          <t>FixMaster</t>
        </is>
      </c>
      <c r="J126" s="20" t="inlineStr">
        <is>
          <t>Unidad</t>
        </is>
      </c>
      <c r="K126" s="21" t="inlineStr">
        <is>
          <t>Proveedor Prueba Pinturas y Acabados</t>
        </is>
      </c>
      <c r="L126" s="18" t="n">
        <v>13</v>
      </c>
      <c r="M126" s="22" t="n">
        <v>6500</v>
      </c>
      <c r="N126" s="22" t="n">
        <v>9200</v>
      </c>
      <c r="O126" s="23" t="n">
        <v>11</v>
      </c>
      <c r="P126" s="24" t="inlineStr">
        <is>
          <t>UNIDAD</t>
        </is>
      </c>
      <c r="Q126" s="20" t="inlineStr">
        <is>
          <t>NO</t>
        </is>
      </c>
      <c r="R126" s="20" t="inlineStr">
        <is>
          <t>NO</t>
        </is>
      </c>
      <c r="S126" s="25" t="n">
        <v>1</v>
      </c>
      <c r="T126" s="20" t="inlineStr">
        <is>
          <t>NO</t>
        </is>
      </c>
      <c r="U126" s="20" t="inlineStr">
        <is>
          <t>Bodega de pruebas</t>
        </is>
      </c>
      <c r="V126" s="21" t="inlineStr">
        <is>
          <t>Producto ficticio de prueba para validacion de busquedas, inventario, ventas y compras en FERREPRO. No corresponde a inventario real.</t>
        </is>
      </c>
      <c r="W126" s="26" t="n">
        <v>45</v>
      </c>
      <c r="X126" s="27" t="n"/>
      <c r="Y126" s="20" t="n"/>
      <c r="Z126" s="20" t="n"/>
      <c r="AA126" s="26">
        <f>IF(X126="","",X126-IF(W126="",0,W126))</f>
        <v/>
      </c>
      <c r="AB126" s="28">
        <f>IF(OR(X126="",M126=""),"",X126*M126)</f>
        <v/>
      </c>
      <c r="AC126" s="28">
        <f>IF(OR(X126="",N126=""),"",X126*N126)</f>
        <v/>
      </c>
      <c r="AD126" s="28">
        <f>IF(OR(M126="",N126=""),"",N126-M126)</f>
        <v/>
      </c>
      <c r="AE126" s="29">
        <f>IFERROR(IF(M126&gt;0,(N126-M126)/M126,""),"")</f>
        <v/>
      </c>
      <c r="AF126" s="30" t="n"/>
      <c r="AG126" s="30" t="inlineStr">
        <is>
          <t>PENDIENTE</t>
        </is>
      </c>
      <c r="AH126" s="18">
        <f>IF(NOT(OR(B126="EXISTENTE",COUNTA(G126,H126,I126,J126,K126,M126,N126,U126,V126,X126,Y126,Z126,AF126,AJ126)&gt;0)),"",IF(AK126&lt;&gt;"","REVISAR",IF(OR(G126="",H126="",M126="",N126="",O126="",P126="",X126=""),"INCOMPLETO",IF(AI126&lt;&gt;"","REVISAR",IF(AND(AF126&lt;&gt;"",AG126="ESCANEADO"),"LISTO_COMPLETO","LISTO_SIN_BARCODE")))))</f>
        <v/>
      </c>
      <c r="AI126" s="17">
        <f>IF(NOT(OR(B126="EXISTENTE",COUNTA(G126,H126,I126,J126,K126,M126,N126,U126,V126,X126,Y126,Z126,AF126,AJ126)&gt;0)),"",TEXTJOIN(" | ",TRUE,IF(A126="","Falta ID staging",""),IF(COUNTIF($A$5:$A$445,A126)&gt;1,"ID staging duplicado",""),IF(G126="","Falta nombre",""),IF(LEN(G126)&gt;150,"Nombre &gt;150 caracteres",""),IF(H126="","Falta categoría",IF(COUNTIF(CategoriasLista,H126)=0,"Categoría inválida","")),IF(M126="","Falta precio compra",IF(OR(NOT(ISNUMBER(M126)),M126&lt;0),"Precio compra inválido","")),IF(N126="","Falta precio venta",IF(OR(NOT(ISNUMBER(N126)),N126&lt;=0,N126&lt;M126),"Precio venta inválido","")),IF(O126="","Falta stock mínimo",IF(OR(NOT(ISNUMBER(O126)),O126&lt;0,MOD(O126,1)&lt;&gt;0),"Stock mínimo inválido","")),IF(P126="","Falta unidad",IF(COUNTIF(UnidadesLista,P126)=0,"Unidad inválida","")),IF(AND(K126&lt;&gt;"",COUNTIF(ProveedoresLista,K126)=0),"Proveedor no catalogado",""),IF(X126="","Falta cantidad contada",IF(OR(NOT(ISNUMBER(X126)),X126&lt;0,ABS(X126*1000-ROUND(X126*1000,0))&gt;0.0000001),"Cantidad inválida",IF(AND(Q126="NO",MOD(X126,1)&lt;&gt;0),"Cantidad fraccionaria no permitida",""))),IF(AND(R126="SI",OR(NOT(ISNUMBER(S126)),S126&lt;1,MOD(S126,1)&lt;&gt;0)),"Empaque inválido",""),IF(OR(AND(AF126="",AG126="ESCANEADO"),AND(AF126&lt;&gt;"",AG126&lt;&gt;"ESCANEADO")),"Barcode/estado inconsistente",""),IF(AK126&lt;&gt;"",AK126,"")))</f>
        <v/>
      </c>
      <c r="AJ126" s="21" t="n"/>
      <c r="AK126" s="17">
        <f>IF(G126="","",IF(OR(COUNTIFS($G$5:$G$445,G126,$I$5:$I$445,I126,$J$5:$J$445,J126,$P$5:$P$445,P126)&gt;1,AND(AF126&lt;&gt;"",COUNTIF($AF$5:$AF$445,AF126)&gt;1)),"REVISAR_POSIBLE_DUPLICADO",""))</f>
        <v/>
      </c>
    </row>
    <row r="127">
      <c r="A127" s="17" t="inlineStr">
        <is>
          <t>9564ebdb-7e06-54d6-a3e1-daacca06a3eb</t>
        </is>
      </c>
      <c r="B127" s="18" t="inlineStr">
        <is>
          <t>EXISTENTE</t>
        </is>
      </c>
      <c r="C127" s="18" t="inlineStr">
        <is>
          <t>ACTIVO</t>
        </is>
      </c>
      <c r="D127" s="18" t="n">
        <v>162</v>
      </c>
      <c r="E127" s="17" t="inlineStr">
        <is>
          <t>bd240e32-d934-44c1-ad42-f8f94e833ec2</t>
        </is>
      </c>
      <c r="F127" s="17" t="inlineStr">
        <is>
          <t>PRB-FER-0110</t>
        </is>
      </c>
      <c r="G127" s="19" t="inlineStr">
        <is>
          <t>Cinta enmascarar 1 pulgada</t>
        </is>
      </c>
      <c r="H127" s="19" t="inlineStr">
        <is>
          <t>Adhesivos y selladores</t>
        </is>
      </c>
      <c r="I127" s="20" t="inlineStr">
        <is>
          <t>Pintulínea</t>
        </is>
      </c>
      <c r="J127" s="20" t="inlineStr">
        <is>
          <t>Unidad</t>
        </is>
      </c>
      <c r="K127" s="21" t="inlineStr">
        <is>
          <t>Proveedor Prueba Herramientas Industriales</t>
        </is>
      </c>
      <c r="L127" s="18" t="n">
        <v>14</v>
      </c>
      <c r="M127" s="22" t="n">
        <v>3200</v>
      </c>
      <c r="N127" s="22" t="n">
        <v>4600</v>
      </c>
      <c r="O127" s="23" t="n">
        <v>18</v>
      </c>
      <c r="P127" s="24" t="inlineStr">
        <is>
          <t>UNIDAD</t>
        </is>
      </c>
      <c r="Q127" s="20" t="inlineStr">
        <is>
          <t>NO</t>
        </is>
      </c>
      <c r="R127" s="20" t="inlineStr">
        <is>
          <t>NO</t>
        </is>
      </c>
      <c r="S127" s="25" t="n">
        <v>1</v>
      </c>
      <c r="T127" s="20" t="inlineStr">
        <is>
          <t>NO</t>
        </is>
      </c>
      <c r="U127" s="20" t="inlineStr">
        <is>
          <t>Bodega de pruebas</t>
        </is>
      </c>
      <c r="V127" s="21" t="inlineStr">
        <is>
          <t>Producto ficticio de prueba para validacion de busquedas, inventario, ventas y compras en FERREPRO. No corresponde a inventario real.</t>
        </is>
      </c>
      <c r="W127" s="26" t="n">
        <v>75</v>
      </c>
      <c r="X127" s="27" t="n"/>
      <c r="Y127" s="20" t="n"/>
      <c r="Z127" s="20" t="n"/>
      <c r="AA127" s="26">
        <f>IF(X127="","",X127-IF(W127="",0,W127))</f>
        <v/>
      </c>
      <c r="AB127" s="28">
        <f>IF(OR(X127="",M127=""),"",X127*M127)</f>
        <v/>
      </c>
      <c r="AC127" s="28">
        <f>IF(OR(X127="",N127=""),"",X127*N127)</f>
        <v/>
      </c>
      <c r="AD127" s="28">
        <f>IF(OR(M127="",N127=""),"",N127-M127)</f>
        <v/>
      </c>
      <c r="AE127" s="29">
        <f>IFERROR(IF(M127&gt;0,(N127-M127)/M127,""),"")</f>
        <v/>
      </c>
      <c r="AF127" s="30" t="n"/>
      <c r="AG127" s="30" t="inlineStr">
        <is>
          <t>PENDIENTE</t>
        </is>
      </c>
      <c r="AH127" s="18">
        <f>IF(NOT(OR(B127="EXISTENTE",COUNTA(G127,H127,I127,J127,K127,M127,N127,U127,V127,X127,Y127,Z127,AF127,AJ127)&gt;0)),"",IF(AK127&lt;&gt;"","REVISAR",IF(OR(G127="",H127="",M127="",N127="",O127="",P127="",X127=""),"INCOMPLETO",IF(AI127&lt;&gt;"","REVISAR",IF(AND(AF127&lt;&gt;"",AG127="ESCANEADO"),"LISTO_COMPLETO","LISTO_SIN_BARCODE")))))</f>
        <v/>
      </c>
      <c r="AI127" s="17">
        <f>IF(NOT(OR(B127="EXISTENTE",COUNTA(G127,H127,I127,J127,K127,M127,N127,U127,V127,X127,Y127,Z127,AF127,AJ127)&gt;0)),"",TEXTJOIN(" | ",TRUE,IF(A127="","Falta ID staging",""),IF(COUNTIF($A$5:$A$445,A127)&gt;1,"ID staging duplicado",""),IF(G127="","Falta nombre",""),IF(LEN(G127)&gt;150,"Nombre &gt;150 caracteres",""),IF(H127="","Falta categoría",IF(COUNTIF(CategoriasLista,H127)=0,"Categoría inválida","")),IF(M127="","Falta precio compra",IF(OR(NOT(ISNUMBER(M127)),M127&lt;0),"Precio compra inválido","")),IF(N127="","Falta precio venta",IF(OR(NOT(ISNUMBER(N127)),N127&lt;=0,N127&lt;M127),"Precio venta inválido","")),IF(O127="","Falta stock mínimo",IF(OR(NOT(ISNUMBER(O127)),O127&lt;0,MOD(O127,1)&lt;&gt;0),"Stock mínimo inválido","")),IF(P127="","Falta unidad",IF(COUNTIF(UnidadesLista,P127)=0,"Unidad inválida","")),IF(AND(K127&lt;&gt;"",COUNTIF(ProveedoresLista,K127)=0),"Proveedor no catalogado",""),IF(X127="","Falta cantidad contada",IF(OR(NOT(ISNUMBER(X127)),X127&lt;0,ABS(X127*1000-ROUND(X127*1000,0))&gt;0.0000001),"Cantidad inválida",IF(AND(Q127="NO",MOD(X127,1)&lt;&gt;0),"Cantidad fraccionaria no permitida",""))),IF(AND(R127="SI",OR(NOT(ISNUMBER(S127)),S127&lt;1,MOD(S127,1)&lt;&gt;0)),"Empaque inválido",""),IF(OR(AND(AF127="",AG127="ESCANEADO"),AND(AF127&lt;&gt;"",AG127&lt;&gt;"ESCANEADO")),"Barcode/estado inconsistente",""),IF(AK127&lt;&gt;"",AK127,"")))</f>
        <v/>
      </c>
      <c r="AJ127" s="21" t="n"/>
      <c r="AK127" s="17">
        <f>IF(G127="","",IF(OR(COUNTIFS($G$5:$G$445,G127,$I$5:$I$445,I127,$J$5:$J$445,J127,$P$5:$P$445,P127)&gt;1,AND(AF127&lt;&gt;"",COUNTIF($AF$5:$AF$445,AF127)&gt;1)),"REVISAR_POSIBLE_DUPLICADO",""))</f>
        <v/>
      </c>
    </row>
    <row r="128">
      <c r="A128" s="17" t="inlineStr">
        <is>
          <t>ddbca284-6e44-544a-8c9f-bbf5bda06d0d</t>
        </is>
      </c>
      <c r="B128" s="18" t="inlineStr">
        <is>
          <t>EXISTENTE</t>
        </is>
      </c>
      <c r="C128" s="18" t="inlineStr">
        <is>
          <t>ACTIVO</t>
        </is>
      </c>
      <c r="D128" s="18" t="n">
        <v>163</v>
      </c>
      <c r="E128" s="17" t="inlineStr">
        <is>
          <t>822a0741-49f4-4c01-9ad9-ab6a10fe44cf</t>
        </is>
      </c>
      <c r="F128" s="17" t="inlineStr">
        <is>
          <t>PRB-FER-0111</t>
        </is>
      </c>
      <c r="G128" s="19" t="inlineStr">
        <is>
          <t>Cinta transparente ancha</t>
        </is>
      </c>
      <c r="H128" s="19" t="inlineStr">
        <is>
          <t>Adhesivos y selladores</t>
        </is>
      </c>
      <c r="I128" s="20" t="inlineStr">
        <is>
          <t>Genérico</t>
        </is>
      </c>
      <c r="J128" s="20" t="inlineStr">
        <is>
          <t>Unidad</t>
        </is>
      </c>
      <c r="K128" s="21" t="inlineStr">
        <is>
          <t>Proveedor Prueba Plomería Nacional</t>
        </is>
      </c>
      <c r="L128" s="18" t="n">
        <v>15</v>
      </c>
      <c r="M128" s="22" t="n">
        <v>3500</v>
      </c>
      <c r="N128" s="22" t="n">
        <v>5000</v>
      </c>
      <c r="O128" s="23" t="n">
        <v>20</v>
      </c>
      <c r="P128" s="24" t="inlineStr">
        <is>
          <t>UNIDAD</t>
        </is>
      </c>
      <c r="Q128" s="20" t="inlineStr">
        <is>
          <t>NO</t>
        </is>
      </c>
      <c r="R128" s="20" t="inlineStr">
        <is>
          <t>NO</t>
        </is>
      </c>
      <c r="S128" s="25" t="n">
        <v>1</v>
      </c>
      <c r="T128" s="20" t="inlineStr">
        <is>
          <t>NO</t>
        </is>
      </c>
      <c r="U128" s="20" t="inlineStr">
        <is>
          <t>Bodega de pruebas</t>
        </is>
      </c>
      <c r="V128" s="21" t="inlineStr">
        <is>
          <t>Producto ficticio de prueba para validacion de busquedas, inventario, ventas y compras en FERREPRO. No corresponde a inventario real.</t>
        </is>
      </c>
      <c r="W128" s="26" t="n">
        <v>80</v>
      </c>
      <c r="X128" s="27" t="n"/>
      <c r="Y128" s="20" t="n"/>
      <c r="Z128" s="20" t="n"/>
      <c r="AA128" s="26">
        <f>IF(X128="","",X128-IF(W128="",0,W128))</f>
        <v/>
      </c>
      <c r="AB128" s="28">
        <f>IF(OR(X128="",M128=""),"",X128*M128)</f>
        <v/>
      </c>
      <c r="AC128" s="28">
        <f>IF(OR(X128="",N128=""),"",X128*N128)</f>
        <v/>
      </c>
      <c r="AD128" s="28">
        <f>IF(OR(M128="",N128=""),"",N128-M128)</f>
        <v/>
      </c>
      <c r="AE128" s="29">
        <f>IFERROR(IF(M128&gt;0,(N128-M128)/M128,""),"")</f>
        <v/>
      </c>
      <c r="AF128" s="30" t="n"/>
      <c r="AG128" s="30" t="inlineStr">
        <is>
          <t>PENDIENTE</t>
        </is>
      </c>
      <c r="AH128" s="18">
        <f>IF(NOT(OR(B128="EXISTENTE",COUNTA(G128,H128,I128,J128,K128,M128,N128,U128,V128,X128,Y128,Z128,AF128,AJ128)&gt;0)),"",IF(AK128&lt;&gt;"","REVISAR",IF(OR(G128="",H128="",M128="",N128="",O128="",P128="",X128=""),"INCOMPLETO",IF(AI128&lt;&gt;"","REVISAR",IF(AND(AF128&lt;&gt;"",AG128="ESCANEADO"),"LISTO_COMPLETO","LISTO_SIN_BARCODE")))))</f>
        <v/>
      </c>
      <c r="AI128" s="17">
        <f>IF(NOT(OR(B128="EXISTENTE",COUNTA(G128,H128,I128,J128,K128,M128,N128,U128,V128,X128,Y128,Z128,AF128,AJ128)&gt;0)),"",TEXTJOIN(" | ",TRUE,IF(A128="","Falta ID staging",""),IF(COUNTIF($A$5:$A$445,A128)&gt;1,"ID staging duplicado",""),IF(G128="","Falta nombre",""),IF(LEN(G128)&gt;150,"Nombre &gt;150 caracteres",""),IF(H128="","Falta categoría",IF(COUNTIF(CategoriasLista,H128)=0,"Categoría inválida","")),IF(M128="","Falta precio compra",IF(OR(NOT(ISNUMBER(M128)),M128&lt;0),"Precio compra inválido","")),IF(N128="","Falta precio venta",IF(OR(NOT(ISNUMBER(N128)),N128&lt;=0,N128&lt;M128),"Precio venta inválido","")),IF(O128="","Falta stock mínimo",IF(OR(NOT(ISNUMBER(O128)),O128&lt;0,MOD(O128,1)&lt;&gt;0),"Stock mínimo inválido","")),IF(P128="","Falta unidad",IF(COUNTIF(UnidadesLista,P128)=0,"Unidad inválida","")),IF(AND(K128&lt;&gt;"",COUNTIF(ProveedoresLista,K128)=0),"Proveedor no catalogado",""),IF(X128="","Falta cantidad contada",IF(OR(NOT(ISNUMBER(X128)),X128&lt;0,ABS(X128*1000-ROUND(X128*1000,0))&gt;0.0000001),"Cantidad inválida",IF(AND(Q128="NO",MOD(X128,1)&lt;&gt;0),"Cantidad fraccionaria no permitida",""))),IF(AND(R128="SI",OR(NOT(ISNUMBER(S128)),S128&lt;1,MOD(S128,1)&lt;&gt;0)),"Empaque inválido",""),IF(OR(AND(AF128="",AG128="ESCANEADO"),AND(AF128&lt;&gt;"",AG128&lt;&gt;"ESCANEADO")),"Barcode/estado inconsistente",""),IF(AK128&lt;&gt;"",AK128,"")))</f>
        <v/>
      </c>
      <c r="AJ128" s="21" t="n"/>
      <c r="AK128" s="17">
        <f>IF(G128="","",IF(OR(COUNTIFS($G$5:$G$445,G128,$I$5:$I$445,I128,$J$5:$J$445,J128,$P$5:$P$445,P128)&gt;1,AND(AF128&lt;&gt;"",COUNTIF($AF$5:$AF$445,AF128)&gt;1)),"REVISAR_POSIBLE_DUPLICADO",""))</f>
        <v/>
      </c>
    </row>
    <row r="129">
      <c r="A129" s="17" t="inlineStr">
        <is>
          <t>6131c430-8425-55ab-9973-751eec762f47</t>
        </is>
      </c>
      <c r="B129" s="18" t="inlineStr">
        <is>
          <t>EXISTENTE</t>
        </is>
      </c>
      <c r="C129" s="18" t="inlineStr">
        <is>
          <t>ACTIVO</t>
        </is>
      </c>
      <c r="D129" s="18" t="n">
        <v>164</v>
      </c>
      <c r="E129" s="17" t="inlineStr">
        <is>
          <t>0df3d5e4-e037-4a97-8fe2-c3f7706b5ec0</t>
        </is>
      </c>
      <c r="F129" s="17" t="inlineStr">
        <is>
          <t>PRB-FER-0112</t>
        </is>
      </c>
      <c r="G129" s="19" t="inlineStr">
        <is>
          <t>Sellador poliuretano gris</t>
        </is>
      </c>
      <c r="H129" s="19" t="inlineStr">
        <is>
          <t>Adhesivos y selladores</t>
        </is>
      </c>
      <c r="I129" s="20" t="inlineStr">
        <is>
          <t>FixMaster</t>
        </is>
      </c>
      <c r="J129" s="20" t="inlineStr">
        <is>
          <t>Cartucho</t>
        </is>
      </c>
      <c r="K129" s="21" t="inlineStr">
        <is>
          <t>Proveedor Prueba Seguridad y Protección</t>
        </is>
      </c>
      <c r="L129" s="18" t="n">
        <v>16</v>
      </c>
      <c r="M129" s="22" t="n">
        <v>13500</v>
      </c>
      <c r="N129" s="22" t="n">
        <v>19000</v>
      </c>
      <c r="O129" s="23" t="n">
        <v>8</v>
      </c>
      <c r="P129" s="24" t="inlineStr">
        <is>
          <t>UNIDAD</t>
        </is>
      </c>
      <c r="Q129" s="20" t="inlineStr">
        <is>
          <t>NO</t>
        </is>
      </c>
      <c r="R129" s="20" t="inlineStr">
        <is>
          <t>NO</t>
        </is>
      </c>
      <c r="S129" s="25" t="n">
        <v>1</v>
      </c>
      <c r="T129" s="20" t="inlineStr">
        <is>
          <t>NO</t>
        </is>
      </c>
      <c r="U129" s="20" t="inlineStr">
        <is>
          <t>Bodega de pruebas</t>
        </is>
      </c>
      <c r="V129" s="21" t="inlineStr">
        <is>
          <t>Producto ficticio de prueba para validacion de busquedas, inventario, ventas y compras en FERREPRO. No corresponde a inventario real.</t>
        </is>
      </c>
      <c r="W129" s="26" t="n">
        <v>35</v>
      </c>
      <c r="X129" s="27" t="n"/>
      <c r="Y129" s="20" t="n"/>
      <c r="Z129" s="20" t="n"/>
      <c r="AA129" s="26">
        <f>IF(X129="","",X129-IF(W129="",0,W129))</f>
        <v/>
      </c>
      <c r="AB129" s="28">
        <f>IF(OR(X129="",M129=""),"",X129*M129)</f>
        <v/>
      </c>
      <c r="AC129" s="28">
        <f>IF(OR(X129="",N129=""),"",X129*N129)</f>
        <v/>
      </c>
      <c r="AD129" s="28">
        <f>IF(OR(M129="",N129=""),"",N129-M129)</f>
        <v/>
      </c>
      <c r="AE129" s="29">
        <f>IFERROR(IF(M129&gt;0,(N129-M129)/M129,""),"")</f>
        <v/>
      </c>
      <c r="AF129" s="30" t="n"/>
      <c r="AG129" s="30" t="inlineStr">
        <is>
          <t>PENDIENTE</t>
        </is>
      </c>
      <c r="AH129" s="18">
        <f>IF(NOT(OR(B129="EXISTENTE",COUNTA(G129,H129,I129,J129,K129,M129,N129,U129,V129,X129,Y129,Z129,AF129,AJ129)&gt;0)),"",IF(AK129&lt;&gt;"","REVISAR",IF(OR(G129="",H129="",M129="",N129="",O129="",P129="",X129=""),"INCOMPLETO",IF(AI129&lt;&gt;"","REVISAR",IF(AND(AF129&lt;&gt;"",AG129="ESCANEADO"),"LISTO_COMPLETO","LISTO_SIN_BARCODE")))))</f>
        <v/>
      </c>
      <c r="AI129" s="17">
        <f>IF(NOT(OR(B129="EXISTENTE",COUNTA(G129,H129,I129,J129,K129,M129,N129,U129,V129,X129,Y129,Z129,AF129,AJ129)&gt;0)),"",TEXTJOIN(" | ",TRUE,IF(A129="","Falta ID staging",""),IF(COUNTIF($A$5:$A$445,A129)&gt;1,"ID staging duplicado",""),IF(G129="","Falta nombre",""),IF(LEN(G129)&gt;150,"Nombre &gt;150 caracteres",""),IF(H129="","Falta categoría",IF(COUNTIF(CategoriasLista,H129)=0,"Categoría inválida","")),IF(M129="","Falta precio compra",IF(OR(NOT(ISNUMBER(M129)),M129&lt;0),"Precio compra inválido","")),IF(N129="","Falta precio venta",IF(OR(NOT(ISNUMBER(N129)),N129&lt;=0,N129&lt;M129),"Precio venta inválido","")),IF(O129="","Falta stock mínimo",IF(OR(NOT(ISNUMBER(O129)),O129&lt;0,MOD(O129,1)&lt;&gt;0),"Stock mínimo inválido","")),IF(P129="","Falta unidad",IF(COUNTIF(UnidadesLista,P129)=0,"Unidad inválida","")),IF(AND(K129&lt;&gt;"",COUNTIF(ProveedoresLista,K129)=0),"Proveedor no catalogado",""),IF(X129="","Falta cantidad contada",IF(OR(NOT(ISNUMBER(X129)),X129&lt;0,ABS(X129*1000-ROUND(X129*1000,0))&gt;0.0000001),"Cantidad inválida",IF(AND(Q129="NO",MOD(X129,1)&lt;&gt;0),"Cantidad fraccionaria no permitida",""))),IF(AND(R129="SI",OR(NOT(ISNUMBER(S129)),S129&lt;1,MOD(S129,1)&lt;&gt;0)),"Empaque inválido",""),IF(OR(AND(AF129="",AG129="ESCANEADO"),AND(AF129&lt;&gt;"",AG129&lt;&gt;"ESCANEADO")),"Barcode/estado inconsistente",""),IF(AK129&lt;&gt;"",AK129,"")))</f>
        <v/>
      </c>
      <c r="AJ129" s="21" t="n"/>
      <c r="AK129" s="17">
        <f>IF(G129="","",IF(OR(COUNTIFS($G$5:$G$445,G129,$I$5:$I$445,I129,$J$5:$J$445,J129,$P$5:$P$445,P129)&gt;1,AND(AF129&lt;&gt;"",COUNTIF($AF$5:$AF$445,AF129)&gt;1)),"REVISAR_POSIBLE_DUPLICADO",""))</f>
        <v/>
      </c>
    </row>
    <row r="130">
      <c r="A130" s="17" t="inlineStr">
        <is>
          <t>ec22d5b4-8c6f-5795-bb64-9982c7fad74e</t>
        </is>
      </c>
      <c r="B130" s="18" t="inlineStr">
        <is>
          <t>EXISTENTE</t>
        </is>
      </c>
      <c r="C130" s="18" t="inlineStr">
        <is>
          <t>ACTIVO</t>
        </is>
      </c>
      <c r="D130" s="18" t="n">
        <v>165</v>
      </c>
      <c r="E130" s="17" t="inlineStr">
        <is>
          <t>c4b88524-ea9c-46d2-ae05-06654173253d</t>
        </is>
      </c>
      <c r="F130" s="17" t="inlineStr">
        <is>
          <t>PRB-FER-0113</t>
        </is>
      </c>
      <c r="G130" s="19" t="inlineStr">
        <is>
          <t>Cerradura pomo alcoba</t>
        </is>
      </c>
      <c r="H130" s="19" t="inlineStr">
        <is>
          <t>Cerraduras y herrajes</t>
        </is>
      </c>
      <c r="I130" s="20" t="inlineStr">
        <is>
          <t>CasaForte</t>
        </is>
      </c>
      <c r="J130" s="20" t="inlineStr">
        <is>
          <t>Unidad</t>
        </is>
      </c>
      <c r="K130" s="21" t="inlineStr">
        <is>
          <t>Proveedor Prueba Ferretería Central S.A.S.</t>
        </is>
      </c>
      <c r="L130" s="18" t="n">
        <v>9</v>
      </c>
      <c r="M130" s="22" t="n">
        <v>32000</v>
      </c>
      <c r="N130" s="22" t="n">
        <v>45000</v>
      </c>
      <c r="O130" s="23" t="n">
        <v>4</v>
      </c>
      <c r="P130" s="24" t="inlineStr">
        <is>
          <t>UNIDAD</t>
        </is>
      </c>
      <c r="Q130" s="20" t="inlineStr">
        <is>
          <t>NO</t>
        </is>
      </c>
      <c r="R130" s="20" t="inlineStr">
        <is>
          <t>NO</t>
        </is>
      </c>
      <c r="S130" s="25" t="n">
        <v>1</v>
      </c>
      <c r="T130" s="20" t="inlineStr">
        <is>
          <t>NO</t>
        </is>
      </c>
      <c r="U130" s="20" t="inlineStr">
        <is>
          <t>Bodega de pruebas</t>
        </is>
      </c>
      <c r="V130" s="21" t="inlineStr">
        <is>
          <t>Producto ficticio de prueba para validacion de busquedas, inventario, ventas y compras en FERREPRO. No corresponde a inventario real.</t>
        </is>
      </c>
      <c r="W130" s="26" t="n">
        <v>18</v>
      </c>
      <c r="X130" s="27" t="n"/>
      <c r="Y130" s="20" t="n"/>
      <c r="Z130" s="20" t="n"/>
      <c r="AA130" s="26">
        <f>IF(X130="","",X130-IF(W130="",0,W130))</f>
        <v/>
      </c>
      <c r="AB130" s="28">
        <f>IF(OR(X130="",M130=""),"",X130*M130)</f>
        <v/>
      </c>
      <c r="AC130" s="28">
        <f>IF(OR(X130="",N130=""),"",X130*N130)</f>
        <v/>
      </c>
      <c r="AD130" s="28">
        <f>IF(OR(M130="",N130=""),"",N130-M130)</f>
        <v/>
      </c>
      <c r="AE130" s="29">
        <f>IFERROR(IF(M130&gt;0,(N130-M130)/M130,""),"")</f>
        <v/>
      </c>
      <c r="AF130" s="30" t="n"/>
      <c r="AG130" s="30" t="inlineStr">
        <is>
          <t>PENDIENTE</t>
        </is>
      </c>
      <c r="AH130" s="18">
        <f>IF(NOT(OR(B130="EXISTENTE",COUNTA(G130,H130,I130,J130,K130,M130,N130,U130,V130,X130,Y130,Z130,AF130,AJ130)&gt;0)),"",IF(AK130&lt;&gt;"","REVISAR",IF(OR(G130="",H130="",M130="",N130="",O130="",P130="",X130=""),"INCOMPLETO",IF(AI130&lt;&gt;"","REVISAR",IF(AND(AF130&lt;&gt;"",AG130="ESCANEADO"),"LISTO_COMPLETO","LISTO_SIN_BARCODE")))))</f>
        <v/>
      </c>
      <c r="AI130" s="17">
        <f>IF(NOT(OR(B130="EXISTENTE",COUNTA(G130,H130,I130,J130,K130,M130,N130,U130,V130,X130,Y130,Z130,AF130,AJ130)&gt;0)),"",TEXTJOIN(" | ",TRUE,IF(A130="","Falta ID staging",""),IF(COUNTIF($A$5:$A$445,A130)&gt;1,"ID staging duplicado",""),IF(G130="","Falta nombre",""),IF(LEN(G130)&gt;150,"Nombre &gt;150 caracteres",""),IF(H130="","Falta categoría",IF(COUNTIF(CategoriasLista,H130)=0,"Categoría inválida","")),IF(M130="","Falta precio compra",IF(OR(NOT(ISNUMBER(M130)),M130&lt;0),"Precio compra inválido","")),IF(N130="","Falta precio venta",IF(OR(NOT(ISNUMBER(N130)),N130&lt;=0,N130&lt;M130),"Precio venta inválido","")),IF(O130="","Falta stock mínimo",IF(OR(NOT(ISNUMBER(O130)),O130&lt;0,MOD(O130,1)&lt;&gt;0),"Stock mínimo inválido","")),IF(P130="","Falta unidad",IF(COUNTIF(UnidadesLista,P130)=0,"Unidad inválida","")),IF(AND(K130&lt;&gt;"",COUNTIF(ProveedoresLista,K130)=0),"Proveedor no catalogado",""),IF(X130="","Falta cantidad contada",IF(OR(NOT(ISNUMBER(X130)),X130&lt;0,ABS(X130*1000-ROUND(X130*1000,0))&gt;0.0000001),"Cantidad inválida",IF(AND(Q130="NO",MOD(X130,1)&lt;&gt;0),"Cantidad fraccionaria no permitida",""))),IF(AND(R130="SI",OR(NOT(ISNUMBER(S130)),S130&lt;1,MOD(S130,1)&lt;&gt;0)),"Empaque inválido",""),IF(OR(AND(AF130="",AG130="ESCANEADO"),AND(AF130&lt;&gt;"",AG130&lt;&gt;"ESCANEADO")),"Barcode/estado inconsistente",""),IF(AK130&lt;&gt;"",AK130,"")))</f>
        <v/>
      </c>
      <c r="AJ130" s="21" t="n"/>
      <c r="AK130" s="17">
        <f>IF(G130="","",IF(OR(COUNTIFS($G$5:$G$445,G130,$I$5:$I$445,I130,$J$5:$J$445,J130,$P$5:$P$445,P130)&gt;1,AND(AF130&lt;&gt;"",COUNTIF($AF$5:$AF$445,AF130)&gt;1)),"REVISAR_POSIBLE_DUPLICADO",""))</f>
        <v/>
      </c>
    </row>
    <row r="131">
      <c r="A131" s="17" t="inlineStr">
        <is>
          <t>afb448cb-cfd2-56fb-bf77-c6caf4078186</t>
        </is>
      </c>
      <c r="B131" s="18" t="inlineStr">
        <is>
          <t>EXISTENTE</t>
        </is>
      </c>
      <c r="C131" s="18" t="inlineStr">
        <is>
          <t>ACTIVO</t>
        </is>
      </c>
      <c r="D131" s="18" t="n">
        <v>166</v>
      </c>
      <c r="E131" s="17" t="inlineStr">
        <is>
          <t>1e26b06e-ce28-483f-85ee-3740542e54da</t>
        </is>
      </c>
      <c r="F131" s="17" t="inlineStr">
        <is>
          <t>PRB-FER-0114</t>
        </is>
      </c>
      <c r="G131" s="19" t="inlineStr">
        <is>
          <t>Cerradura pomo baño</t>
        </is>
      </c>
      <c r="H131" s="19" t="inlineStr">
        <is>
          <t>Cerraduras y herrajes</t>
        </is>
      </c>
      <c r="I131" s="20" t="inlineStr">
        <is>
          <t>CasaForte</t>
        </is>
      </c>
      <c r="J131" s="20" t="inlineStr">
        <is>
          <t>Unidad</t>
        </is>
      </c>
      <c r="K131" s="21" t="inlineStr">
        <is>
          <t>Proveedor Prueba ConstruMateriales del Norte</t>
        </is>
      </c>
      <c r="L131" s="18" t="n">
        <v>10</v>
      </c>
      <c r="M131" s="22" t="n">
        <v>30000</v>
      </c>
      <c r="N131" s="22" t="n">
        <v>42500</v>
      </c>
      <c r="O131" s="23" t="n">
        <v>4</v>
      </c>
      <c r="P131" s="24" t="inlineStr">
        <is>
          <t>UNIDAD</t>
        </is>
      </c>
      <c r="Q131" s="20" t="inlineStr">
        <is>
          <t>NO</t>
        </is>
      </c>
      <c r="R131" s="20" t="inlineStr">
        <is>
          <t>NO</t>
        </is>
      </c>
      <c r="S131" s="25" t="n">
        <v>1</v>
      </c>
      <c r="T131" s="20" t="inlineStr">
        <is>
          <t>NO</t>
        </is>
      </c>
      <c r="U131" s="20" t="inlineStr">
        <is>
          <t>Bodega de pruebas</t>
        </is>
      </c>
      <c r="V131" s="21" t="inlineStr">
        <is>
          <t>Producto ficticio de prueba para validacion de busquedas, inventario, ventas y compras en FERREPRO. No corresponde a inventario real.</t>
        </is>
      </c>
      <c r="W131" s="26" t="n">
        <v>18</v>
      </c>
      <c r="X131" s="27" t="n"/>
      <c r="Y131" s="20" t="n"/>
      <c r="Z131" s="20" t="n"/>
      <c r="AA131" s="26">
        <f>IF(X131="","",X131-IF(W131="",0,W131))</f>
        <v/>
      </c>
      <c r="AB131" s="28">
        <f>IF(OR(X131="",M131=""),"",X131*M131)</f>
        <v/>
      </c>
      <c r="AC131" s="28">
        <f>IF(OR(X131="",N131=""),"",X131*N131)</f>
        <v/>
      </c>
      <c r="AD131" s="28">
        <f>IF(OR(M131="",N131=""),"",N131-M131)</f>
        <v/>
      </c>
      <c r="AE131" s="29">
        <f>IFERROR(IF(M131&gt;0,(N131-M131)/M131,""),"")</f>
        <v/>
      </c>
      <c r="AF131" s="30" t="n"/>
      <c r="AG131" s="30" t="inlineStr">
        <is>
          <t>PENDIENTE</t>
        </is>
      </c>
      <c r="AH131" s="18">
        <f>IF(NOT(OR(B131="EXISTENTE",COUNTA(G131,H131,I131,J131,K131,M131,N131,U131,V131,X131,Y131,Z131,AF131,AJ131)&gt;0)),"",IF(AK131&lt;&gt;"","REVISAR",IF(OR(G131="",H131="",M131="",N131="",O131="",P131="",X131=""),"INCOMPLETO",IF(AI131&lt;&gt;"","REVISAR",IF(AND(AF131&lt;&gt;"",AG131="ESCANEADO"),"LISTO_COMPLETO","LISTO_SIN_BARCODE")))))</f>
        <v/>
      </c>
      <c r="AI131" s="17">
        <f>IF(NOT(OR(B131="EXISTENTE",COUNTA(G131,H131,I131,J131,K131,M131,N131,U131,V131,X131,Y131,Z131,AF131,AJ131)&gt;0)),"",TEXTJOIN(" | ",TRUE,IF(A131="","Falta ID staging",""),IF(COUNTIF($A$5:$A$445,A131)&gt;1,"ID staging duplicado",""),IF(G131="","Falta nombre",""),IF(LEN(G131)&gt;150,"Nombre &gt;150 caracteres",""),IF(H131="","Falta categoría",IF(COUNTIF(CategoriasLista,H131)=0,"Categoría inválida","")),IF(M131="","Falta precio compra",IF(OR(NOT(ISNUMBER(M131)),M131&lt;0),"Precio compra inválido","")),IF(N131="","Falta precio venta",IF(OR(NOT(ISNUMBER(N131)),N131&lt;=0,N131&lt;M131),"Precio venta inválido","")),IF(O131="","Falta stock mínimo",IF(OR(NOT(ISNUMBER(O131)),O131&lt;0,MOD(O131,1)&lt;&gt;0),"Stock mínimo inválido","")),IF(P131="","Falta unidad",IF(COUNTIF(UnidadesLista,P131)=0,"Unidad inválida","")),IF(AND(K131&lt;&gt;"",COUNTIF(ProveedoresLista,K131)=0),"Proveedor no catalogado",""),IF(X131="","Falta cantidad contada",IF(OR(NOT(ISNUMBER(X131)),X131&lt;0,ABS(X131*1000-ROUND(X131*1000,0))&gt;0.0000001),"Cantidad inválida",IF(AND(Q131="NO",MOD(X131,1)&lt;&gt;0),"Cantidad fraccionaria no permitida",""))),IF(AND(R131="SI",OR(NOT(ISNUMBER(S131)),S131&lt;1,MOD(S131,1)&lt;&gt;0)),"Empaque inválido",""),IF(OR(AND(AF131="",AG131="ESCANEADO"),AND(AF131&lt;&gt;"",AG131&lt;&gt;"ESCANEADO")),"Barcode/estado inconsistente",""),IF(AK131&lt;&gt;"",AK131,"")))</f>
        <v/>
      </c>
      <c r="AJ131" s="21" t="n"/>
      <c r="AK131" s="17">
        <f>IF(G131="","",IF(OR(COUNTIFS($G$5:$G$445,G131,$I$5:$I$445,I131,$J$5:$J$445,J131,$P$5:$P$445,P131)&gt;1,AND(AF131&lt;&gt;"",COUNTIF($AF$5:$AF$445,AF131)&gt;1)),"REVISAR_POSIBLE_DUPLICADO",""))</f>
        <v/>
      </c>
    </row>
    <row r="132">
      <c r="A132" s="17" t="inlineStr">
        <is>
          <t>155c2257-cf3a-5f69-9026-3c07146b50d3</t>
        </is>
      </c>
      <c r="B132" s="18" t="inlineStr">
        <is>
          <t>EXISTENTE</t>
        </is>
      </c>
      <c r="C132" s="18" t="inlineStr">
        <is>
          <t>ACTIVO</t>
        </is>
      </c>
      <c r="D132" s="18" t="n">
        <v>167</v>
      </c>
      <c r="E132" s="17" t="inlineStr">
        <is>
          <t>f5e6ad25-f793-49c0-baeb-acd93e2b760c</t>
        </is>
      </c>
      <c r="F132" s="17" t="inlineStr">
        <is>
          <t>PRB-FER-0115</t>
        </is>
      </c>
      <c r="G132" s="19" t="inlineStr">
        <is>
          <t>Cerradura seguridad principal</t>
        </is>
      </c>
      <c r="H132" s="19" t="inlineStr">
        <is>
          <t>Cerraduras y herrajes</t>
        </is>
      </c>
      <c r="I132" s="20" t="inlineStr">
        <is>
          <t>CasaForte</t>
        </is>
      </c>
      <c r="J132" s="20" t="inlineStr">
        <is>
          <t>Unidad</t>
        </is>
      </c>
      <c r="K132" s="21" t="inlineStr">
        <is>
          <t>Proveedor Prueba Tornillos y Fijaciones Andinas</t>
        </is>
      </c>
      <c r="L132" s="18" t="n">
        <v>11</v>
      </c>
      <c r="M132" s="22" t="n">
        <v>75000</v>
      </c>
      <c r="N132" s="22" t="n">
        <v>105000</v>
      </c>
      <c r="O132" s="23" t="n">
        <v>3</v>
      </c>
      <c r="P132" s="24" t="inlineStr">
        <is>
          <t>UNIDAD</t>
        </is>
      </c>
      <c r="Q132" s="20" t="inlineStr">
        <is>
          <t>NO</t>
        </is>
      </c>
      <c r="R132" s="20" t="inlineStr">
        <is>
          <t>NO</t>
        </is>
      </c>
      <c r="S132" s="25" t="n">
        <v>1</v>
      </c>
      <c r="T132" s="20" t="inlineStr">
        <is>
          <t>NO</t>
        </is>
      </c>
      <c r="U132" s="20" t="inlineStr">
        <is>
          <t>Bodega de pruebas</t>
        </is>
      </c>
      <c r="V132" s="21" t="inlineStr">
        <is>
          <t>Producto ficticio de prueba para validacion de busquedas, inventario, ventas y compras en FERREPRO. No corresponde a inventario real.</t>
        </is>
      </c>
      <c r="W132" s="26" t="n">
        <v>10</v>
      </c>
      <c r="X132" s="27" t="n"/>
      <c r="Y132" s="20" t="n"/>
      <c r="Z132" s="20" t="n"/>
      <c r="AA132" s="26">
        <f>IF(X132="","",X132-IF(W132="",0,W132))</f>
        <v/>
      </c>
      <c r="AB132" s="28">
        <f>IF(OR(X132="",M132=""),"",X132*M132)</f>
        <v/>
      </c>
      <c r="AC132" s="28">
        <f>IF(OR(X132="",N132=""),"",X132*N132)</f>
        <v/>
      </c>
      <c r="AD132" s="28">
        <f>IF(OR(M132="",N132=""),"",N132-M132)</f>
        <v/>
      </c>
      <c r="AE132" s="29">
        <f>IFERROR(IF(M132&gt;0,(N132-M132)/M132,""),"")</f>
        <v/>
      </c>
      <c r="AF132" s="30" t="n"/>
      <c r="AG132" s="30" t="inlineStr">
        <is>
          <t>PENDIENTE</t>
        </is>
      </c>
      <c r="AH132" s="18">
        <f>IF(NOT(OR(B132="EXISTENTE",COUNTA(G132,H132,I132,J132,K132,M132,N132,U132,V132,X132,Y132,Z132,AF132,AJ132)&gt;0)),"",IF(AK132&lt;&gt;"","REVISAR",IF(OR(G132="",H132="",M132="",N132="",O132="",P132="",X132=""),"INCOMPLETO",IF(AI132&lt;&gt;"","REVISAR",IF(AND(AF132&lt;&gt;"",AG132="ESCANEADO"),"LISTO_COMPLETO","LISTO_SIN_BARCODE")))))</f>
        <v/>
      </c>
      <c r="AI132" s="17">
        <f>IF(NOT(OR(B132="EXISTENTE",COUNTA(G132,H132,I132,J132,K132,M132,N132,U132,V132,X132,Y132,Z132,AF132,AJ132)&gt;0)),"",TEXTJOIN(" | ",TRUE,IF(A132="","Falta ID staging",""),IF(COUNTIF($A$5:$A$445,A132)&gt;1,"ID staging duplicado",""),IF(G132="","Falta nombre",""),IF(LEN(G132)&gt;150,"Nombre &gt;150 caracteres",""),IF(H132="","Falta categoría",IF(COUNTIF(CategoriasLista,H132)=0,"Categoría inválida","")),IF(M132="","Falta precio compra",IF(OR(NOT(ISNUMBER(M132)),M132&lt;0),"Precio compra inválido","")),IF(N132="","Falta precio venta",IF(OR(NOT(ISNUMBER(N132)),N132&lt;=0,N132&lt;M132),"Precio venta inválido","")),IF(O132="","Falta stock mínimo",IF(OR(NOT(ISNUMBER(O132)),O132&lt;0,MOD(O132,1)&lt;&gt;0),"Stock mínimo inválido","")),IF(P132="","Falta unidad",IF(COUNTIF(UnidadesLista,P132)=0,"Unidad inválida","")),IF(AND(K132&lt;&gt;"",COUNTIF(ProveedoresLista,K132)=0),"Proveedor no catalogado",""),IF(X132="","Falta cantidad contada",IF(OR(NOT(ISNUMBER(X132)),X132&lt;0,ABS(X132*1000-ROUND(X132*1000,0))&gt;0.0000001),"Cantidad inválida",IF(AND(Q132="NO",MOD(X132,1)&lt;&gt;0),"Cantidad fraccionaria no permitida",""))),IF(AND(R132="SI",OR(NOT(ISNUMBER(S132)),S132&lt;1,MOD(S132,1)&lt;&gt;0)),"Empaque inválido",""),IF(OR(AND(AF132="",AG132="ESCANEADO"),AND(AF132&lt;&gt;"",AG132&lt;&gt;"ESCANEADO")),"Barcode/estado inconsistente",""),IF(AK132&lt;&gt;"",AK132,"")))</f>
        <v/>
      </c>
      <c r="AJ132" s="21" t="n"/>
      <c r="AK132" s="17">
        <f>IF(G132="","",IF(OR(COUNTIFS($G$5:$G$445,G132,$I$5:$I$445,I132,$J$5:$J$445,J132,$P$5:$P$445,P132)&gt;1,AND(AF132&lt;&gt;"",COUNTIF($AF$5:$AF$445,AF132)&gt;1)),"REVISAR_POSIBLE_DUPLICADO",""))</f>
        <v/>
      </c>
    </row>
    <row r="133">
      <c r="A133" s="17" t="inlineStr">
        <is>
          <t>07579c89-0845-512b-9924-a493fd6ea92d</t>
        </is>
      </c>
      <c r="B133" s="18" t="inlineStr">
        <is>
          <t>EXISTENTE</t>
        </is>
      </c>
      <c r="C133" s="18" t="inlineStr">
        <is>
          <t>ACTIVO</t>
        </is>
      </c>
      <c r="D133" s="18" t="n">
        <v>168</v>
      </c>
      <c r="E133" s="17" t="inlineStr">
        <is>
          <t>05b8e8f5-acdb-409b-8394-18d5dbc7bc00</t>
        </is>
      </c>
      <c r="F133" s="17" t="inlineStr">
        <is>
          <t>PRB-FER-0116</t>
        </is>
      </c>
      <c r="G133" s="19" t="inlineStr">
        <is>
          <t>Bisagra 3 pulgadas</t>
        </is>
      </c>
      <c r="H133" s="19" t="inlineStr">
        <is>
          <t>Cerraduras y herrajes</t>
        </is>
      </c>
      <c r="I133" s="20" t="inlineStr">
        <is>
          <t>AceroPlus</t>
        </is>
      </c>
      <c r="J133" s="20" t="inlineStr">
        <is>
          <t>Unidad</t>
        </is>
      </c>
      <c r="K133" s="21" t="inlineStr">
        <is>
          <t>Proveedor Prueba Eléctricos Colombia</t>
        </is>
      </c>
      <c r="L133" s="18" t="n">
        <v>12</v>
      </c>
      <c r="M133" s="22" t="n">
        <v>4200</v>
      </c>
      <c r="N133" s="22" t="n">
        <v>6000</v>
      </c>
      <c r="O133" s="23" t="n">
        <v>18</v>
      </c>
      <c r="P133" s="24" t="inlineStr">
        <is>
          <t>UNIDAD</t>
        </is>
      </c>
      <c r="Q133" s="20" t="inlineStr">
        <is>
          <t>NO</t>
        </is>
      </c>
      <c r="R133" s="20" t="inlineStr">
        <is>
          <t>NO</t>
        </is>
      </c>
      <c r="S133" s="25" t="n">
        <v>1</v>
      </c>
      <c r="T133" s="20" t="inlineStr">
        <is>
          <t>NO</t>
        </is>
      </c>
      <c r="U133" s="20" t="inlineStr">
        <is>
          <t>Bodega de pruebas</t>
        </is>
      </c>
      <c r="V133" s="21" t="inlineStr">
        <is>
          <t>Producto ficticio de prueba para validacion de busquedas, inventario, ventas y compras en FERREPRO. No corresponde a inventario real.</t>
        </is>
      </c>
      <c r="W133" s="26" t="n">
        <v>75</v>
      </c>
      <c r="X133" s="27" t="n"/>
      <c r="Y133" s="20" t="n"/>
      <c r="Z133" s="20" t="n"/>
      <c r="AA133" s="26">
        <f>IF(X133="","",X133-IF(W133="",0,W133))</f>
        <v/>
      </c>
      <c r="AB133" s="28">
        <f>IF(OR(X133="",M133=""),"",X133*M133)</f>
        <v/>
      </c>
      <c r="AC133" s="28">
        <f>IF(OR(X133="",N133=""),"",X133*N133)</f>
        <v/>
      </c>
      <c r="AD133" s="28">
        <f>IF(OR(M133="",N133=""),"",N133-M133)</f>
        <v/>
      </c>
      <c r="AE133" s="29">
        <f>IFERROR(IF(M133&gt;0,(N133-M133)/M133,""),"")</f>
        <v/>
      </c>
      <c r="AF133" s="30" t="n"/>
      <c r="AG133" s="30" t="inlineStr">
        <is>
          <t>PENDIENTE</t>
        </is>
      </c>
      <c r="AH133" s="18">
        <f>IF(NOT(OR(B133="EXISTENTE",COUNTA(G133,H133,I133,J133,K133,M133,N133,U133,V133,X133,Y133,Z133,AF133,AJ133)&gt;0)),"",IF(AK133&lt;&gt;"","REVISAR",IF(OR(G133="",H133="",M133="",N133="",O133="",P133="",X133=""),"INCOMPLETO",IF(AI133&lt;&gt;"","REVISAR",IF(AND(AF133&lt;&gt;"",AG133="ESCANEADO"),"LISTO_COMPLETO","LISTO_SIN_BARCODE")))))</f>
        <v/>
      </c>
      <c r="AI133" s="17">
        <f>IF(NOT(OR(B133="EXISTENTE",COUNTA(G133,H133,I133,J133,K133,M133,N133,U133,V133,X133,Y133,Z133,AF133,AJ133)&gt;0)),"",TEXTJOIN(" | ",TRUE,IF(A133="","Falta ID staging",""),IF(COUNTIF($A$5:$A$445,A133)&gt;1,"ID staging duplicado",""),IF(G133="","Falta nombre",""),IF(LEN(G133)&gt;150,"Nombre &gt;150 caracteres",""),IF(H133="","Falta categoría",IF(COUNTIF(CategoriasLista,H133)=0,"Categoría inválida","")),IF(M133="","Falta precio compra",IF(OR(NOT(ISNUMBER(M133)),M133&lt;0),"Precio compra inválido","")),IF(N133="","Falta precio venta",IF(OR(NOT(ISNUMBER(N133)),N133&lt;=0,N133&lt;M133),"Precio venta inválido","")),IF(O133="","Falta stock mínimo",IF(OR(NOT(ISNUMBER(O133)),O133&lt;0,MOD(O133,1)&lt;&gt;0),"Stock mínimo inválido","")),IF(P133="","Falta unidad",IF(COUNTIF(UnidadesLista,P133)=0,"Unidad inválida","")),IF(AND(K133&lt;&gt;"",COUNTIF(ProveedoresLista,K133)=0),"Proveedor no catalogado",""),IF(X133="","Falta cantidad contada",IF(OR(NOT(ISNUMBER(X133)),X133&lt;0,ABS(X133*1000-ROUND(X133*1000,0))&gt;0.0000001),"Cantidad inválida",IF(AND(Q133="NO",MOD(X133,1)&lt;&gt;0),"Cantidad fraccionaria no permitida",""))),IF(AND(R133="SI",OR(NOT(ISNUMBER(S133)),S133&lt;1,MOD(S133,1)&lt;&gt;0)),"Empaque inválido",""),IF(OR(AND(AF133="",AG133="ESCANEADO"),AND(AF133&lt;&gt;"",AG133&lt;&gt;"ESCANEADO")),"Barcode/estado inconsistente",""),IF(AK133&lt;&gt;"",AK133,"")))</f>
        <v/>
      </c>
      <c r="AJ133" s="21" t="n"/>
      <c r="AK133" s="17">
        <f>IF(G133="","",IF(OR(COUNTIFS($G$5:$G$445,G133,$I$5:$I$445,I133,$J$5:$J$445,J133,$P$5:$P$445,P133)&gt;1,AND(AF133&lt;&gt;"",COUNTIF($AF$5:$AF$445,AF133)&gt;1)),"REVISAR_POSIBLE_DUPLICADO",""))</f>
        <v/>
      </c>
    </row>
    <row r="134">
      <c r="A134" s="17" t="inlineStr">
        <is>
          <t>f0e6f337-4849-501b-9acd-5118830e81eb</t>
        </is>
      </c>
      <c r="B134" s="18" t="inlineStr">
        <is>
          <t>EXISTENTE</t>
        </is>
      </c>
      <c r="C134" s="18" t="inlineStr">
        <is>
          <t>ACTIVO</t>
        </is>
      </c>
      <c r="D134" s="18" t="n">
        <v>169</v>
      </c>
      <c r="E134" s="17" t="inlineStr">
        <is>
          <t>3c8f9fb3-205a-4a8e-846a-02e7c8e68e78</t>
        </is>
      </c>
      <c r="F134" s="17" t="inlineStr">
        <is>
          <t>PRB-FER-0117</t>
        </is>
      </c>
      <c r="G134" s="19" t="inlineStr">
        <is>
          <t>Bisagra 4 pulgadas</t>
        </is>
      </c>
      <c r="H134" s="19" t="inlineStr">
        <is>
          <t>Cerraduras y herrajes</t>
        </is>
      </c>
      <c r="I134" s="20" t="inlineStr">
        <is>
          <t>AceroPlus</t>
        </is>
      </c>
      <c r="J134" s="20" t="inlineStr">
        <is>
          <t>Unidad</t>
        </is>
      </c>
      <c r="K134" s="21" t="inlineStr">
        <is>
          <t>Proveedor Prueba Pinturas y Acabados</t>
        </is>
      </c>
      <c r="L134" s="18" t="n">
        <v>13</v>
      </c>
      <c r="M134" s="22" t="n">
        <v>5500</v>
      </c>
      <c r="N134" s="22" t="n">
        <v>7800</v>
      </c>
      <c r="O134" s="23" t="n">
        <v>16</v>
      </c>
      <c r="P134" s="24" t="inlineStr">
        <is>
          <t>UNIDAD</t>
        </is>
      </c>
      <c r="Q134" s="20" t="inlineStr">
        <is>
          <t>NO</t>
        </is>
      </c>
      <c r="R134" s="20" t="inlineStr">
        <is>
          <t>NO</t>
        </is>
      </c>
      <c r="S134" s="25" t="n">
        <v>1</v>
      </c>
      <c r="T134" s="20" t="inlineStr">
        <is>
          <t>NO</t>
        </is>
      </c>
      <c r="U134" s="20" t="inlineStr">
        <is>
          <t>Bodega de pruebas</t>
        </is>
      </c>
      <c r="V134" s="21" t="inlineStr">
        <is>
          <t>Producto ficticio de prueba para validacion de busquedas, inventario, ventas y compras en FERREPRO. No corresponde a inventario real.</t>
        </is>
      </c>
      <c r="W134" s="26" t="n">
        <v>65</v>
      </c>
      <c r="X134" s="27" t="n"/>
      <c r="Y134" s="20" t="n"/>
      <c r="Z134" s="20" t="n"/>
      <c r="AA134" s="26">
        <f>IF(X134="","",X134-IF(W134="",0,W134))</f>
        <v/>
      </c>
      <c r="AB134" s="28">
        <f>IF(OR(X134="",M134=""),"",X134*M134)</f>
        <v/>
      </c>
      <c r="AC134" s="28">
        <f>IF(OR(X134="",N134=""),"",X134*N134)</f>
        <v/>
      </c>
      <c r="AD134" s="28">
        <f>IF(OR(M134="",N134=""),"",N134-M134)</f>
        <v/>
      </c>
      <c r="AE134" s="29">
        <f>IFERROR(IF(M134&gt;0,(N134-M134)/M134,""),"")</f>
        <v/>
      </c>
      <c r="AF134" s="30" t="n"/>
      <c r="AG134" s="30" t="inlineStr">
        <is>
          <t>PENDIENTE</t>
        </is>
      </c>
      <c r="AH134" s="18">
        <f>IF(NOT(OR(B134="EXISTENTE",COUNTA(G134,H134,I134,J134,K134,M134,N134,U134,V134,X134,Y134,Z134,AF134,AJ134)&gt;0)),"",IF(AK134&lt;&gt;"","REVISAR",IF(OR(G134="",H134="",M134="",N134="",O134="",P134="",X134=""),"INCOMPLETO",IF(AI134&lt;&gt;"","REVISAR",IF(AND(AF134&lt;&gt;"",AG134="ESCANEADO"),"LISTO_COMPLETO","LISTO_SIN_BARCODE")))))</f>
        <v/>
      </c>
      <c r="AI134" s="17">
        <f>IF(NOT(OR(B134="EXISTENTE",COUNTA(G134,H134,I134,J134,K134,M134,N134,U134,V134,X134,Y134,Z134,AF134,AJ134)&gt;0)),"",TEXTJOIN(" | ",TRUE,IF(A134="","Falta ID staging",""),IF(COUNTIF($A$5:$A$445,A134)&gt;1,"ID staging duplicado",""),IF(G134="","Falta nombre",""),IF(LEN(G134)&gt;150,"Nombre &gt;150 caracteres",""),IF(H134="","Falta categoría",IF(COUNTIF(CategoriasLista,H134)=0,"Categoría inválida","")),IF(M134="","Falta precio compra",IF(OR(NOT(ISNUMBER(M134)),M134&lt;0),"Precio compra inválido","")),IF(N134="","Falta precio venta",IF(OR(NOT(ISNUMBER(N134)),N134&lt;=0,N134&lt;M134),"Precio venta inválido","")),IF(O134="","Falta stock mínimo",IF(OR(NOT(ISNUMBER(O134)),O134&lt;0,MOD(O134,1)&lt;&gt;0),"Stock mínimo inválido","")),IF(P134="","Falta unidad",IF(COUNTIF(UnidadesLista,P134)=0,"Unidad inválida","")),IF(AND(K134&lt;&gt;"",COUNTIF(ProveedoresLista,K134)=0),"Proveedor no catalogado",""),IF(X134="","Falta cantidad contada",IF(OR(NOT(ISNUMBER(X134)),X134&lt;0,ABS(X134*1000-ROUND(X134*1000,0))&gt;0.0000001),"Cantidad inválida",IF(AND(Q134="NO",MOD(X134,1)&lt;&gt;0),"Cantidad fraccionaria no permitida",""))),IF(AND(R134="SI",OR(NOT(ISNUMBER(S134)),S134&lt;1,MOD(S134,1)&lt;&gt;0)),"Empaque inválido",""),IF(OR(AND(AF134="",AG134="ESCANEADO"),AND(AF134&lt;&gt;"",AG134&lt;&gt;"ESCANEADO")),"Barcode/estado inconsistente",""),IF(AK134&lt;&gt;"",AK134,"")))</f>
        <v/>
      </c>
      <c r="AJ134" s="21" t="n"/>
      <c r="AK134" s="17">
        <f>IF(G134="","",IF(OR(COUNTIFS($G$5:$G$445,G134,$I$5:$I$445,I134,$J$5:$J$445,J134,$P$5:$P$445,P134)&gt;1,AND(AF134&lt;&gt;"",COUNTIF($AF$5:$AF$445,AF134)&gt;1)),"REVISAR_POSIBLE_DUPLICADO",""))</f>
        <v/>
      </c>
    </row>
    <row r="135">
      <c r="A135" s="17" t="inlineStr">
        <is>
          <t>ad9a60d6-521b-5170-a058-4b7acdd0fed0</t>
        </is>
      </c>
      <c r="B135" s="18" t="inlineStr">
        <is>
          <t>EXISTENTE</t>
        </is>
      </c>
      <c r="C135" s="18" t="inlineStr">
        <is>
          <t>ACTIVO</t>
        </is>
      </c>
      <c r="D135" s="18" t="n">
        <v>170</v>
      </c>
      <c r="E135" s="17" t="inlineStr">
        <is>
          <t>2fa58dc3-2fdc-48cb-b097-a3a5feb6855a</t>
        </is>
      </c>
      <c r="F135" s="17" t="inlineStr">
        <is>
          <t>PRB-FER-0118</t>
        </is>
      </c>
      <c r="G135" s="19" t="inlineStr">
        <is>
          <t>Pasador metálico 4 pulgadas</t>
        </is>
      </c>
      <c r="H135" s="19" t="inlineStr">
        <is>
          <t>Cerraduras y herrajes</t>
        </is>
      </c>
      <c r="I135" s="20" t="inlineStr">
        <is>
          <t>AceroPlus</t>
        </is>
      </c>
      <c r="J135" s="20" t="inlineStr">
        <is>
          <t>Unidad</t>
        </is>
      </c>
      <c r="K135" s="21" t="inlineStr">
        <is>
          <t>Proveedor Prueba Herramientas Industriales</t>
        </is>
      </c>
      <c r="L135" s="18" t="n">
        <v>14</v>
      </c>
      <c r="M135" s="22" t="n">
        <v>7000</v>
      </c>
      <c r="N135" s="22" t="n">
        <v>10000</v>
      </c>
      <c r="O135" s="23" t="n">
        <v>11</v>
      </c>
      <c r="P135" s="24" t="inlineStr">
        <is>
          <t>UNIDAD</t>
        </is>
      </c>
      <c r="Q135" s="20" t="inlineStr">
        <is>
          <t>NO</t>
        </is>
      </c>
      <c r="R135" s="20" t="inlineStr">
        <is>
          <t>NO</t>
        </is>
      </c>
      <c r="S135" s="25" t="n">
        <v>1</v>
      </c>
      <c r="T135" s="20" t="inlineStr">
        <is>
          <t>NO</t>
        </is>
      </c>
      <c r="U135" s="20" t="inlineStr">
        <is>
          <t>Bodega de pruebas</t>
        </is>
      </c>
      <c r="V135" s="21" t="inlineStr">
        <is>
          <t>Producto ficticio de prueba para validacion de busquedas, inventario, ventas y compras en FERREPRO. No corresponde a inventario real.</t>
        </is>
      </c>
      <c r="W135" s="26" t="n">
        <v>45</v>
      </c>
      <c r="X135" s="27" t="n"/>
      <c r="Y135" s="20" t="n"/>
      <c r="Z135" s="20" t="n"/>
      <c r="AA135" s="26">
        <f>IF(X135="","",X135-IF(W135="",0,W135))</f>
        <v/>
      </c>
      <c r="AB135" s="28">
        <f>IF(OR(X135="",M135=""),"",X135*M135)</f>
        <v/>
      </c>
      <c r="AC135" s="28">
        <f>IF(OR(X135="",N135=""),"",X135*N135)</f>
        <v/>
      </c>
      <c r="AD135" s="28">
        <f>IF(OR(M135="",N135=""),"",N135-M135)</f>
        <v/>
      </c>
      <c r="AE135" s="29">
        <f>IFERROR(IF(M135&gt;0,(N135-M135)/M135,""),"")</f>
        <v/>
      </c>
      <c r="AF135" s="30" t="n"/>
      <c r="AG135" s="30" t="inlineStr">
        <is>
          <t>PENDIENTE</t>
        </is>
      </c>
      <c r="AH135" s="18">
        <f>IF(NOT(OR(B135="EXISTENTE",COUNTA(G135,H135,I135,J135,K135,M135,N135,U135,V135,X135,Y135,Z135,AF135,AJ135)&gt;0)),"",IF(AK135&lt;&gt;"","REVISAR",IF(OR(G135="",H135="",M135="",N135="",O135="",P135="",X135=""),"INCOMPLETO",IF(AI135&lt;&gt;"","REVISAR",IF(AND(AF135&lt;&gt;"",AG135="ESCANEADO"),"LISTO_COMPLETO","LISTO_SIN_BARCODE")))))</f>
        <v/>
      </c>
      <c r="AI135" s="17">
        <f>IF(NOT(OR(B135="EXISTENTE",COUNTA(G135,H135,I135,J135,K135,M135,N135,U135,V135,X135,Y135,Z135,AF135,AJ135)&gt;0)),"",TEXTJOIN(" | ",TRUE,IF(A135="","Falta ID staging",""),IF(COUNTIF($A$5:$A$445,A135)&gt;1,"ID staging duplicado",""),IF(G135="","Falta nombre",""),IF(LEN(G135)&gt;150,"Nombre &gt;150 caracteres",""),IF(H135="","Falta categoría",IF(COUNTIF(CategoriasLista,H135)=0,"Categoría inválida","")),IF(M135="","Falta precio compra",IF(OR(NOT(ISNUMBER(M135)),M135&lt;0),"Precio compra inválido","")),IF(N135="","Falta precio venta",IF(OR(NOT(ISNUMBER(N135)),N135&lt;=0,N135&lt;M135),"Precio venta inválido","")),IF(O135="","Falta stock mínimo",IF(OR(NOT(ISNUMBER(O135)),O135&lt;0,MOD(O135,1)&lt;&gt;0),"Stock mínimo inválido","")),IF(P135="","Falta unidad",IF(COUNTIF(UnidadesLista,P135)=0,"Unidad inválida","")),IF(AND(K135&lt;&gt;"",COUNTIF(ProveedoresLista,K135)=0),"Proveedor no catalogado",""),IF(X135="","Falta cantidad contada",IF(OR(NOT(ISNUMBER(X135)),X135&lt;0,ABS(X135*1000-ROUND(X135*1000,0))&gt;0.0000001),"Cantidad inválida",IF(AND(Q135="NO",MOD(X135,1)&lt;&gt;0),"Cantidad fraccionaria no permitida",""))),IF(AND(R135="SI",OR(NOT(ISNUMBER(S135)),S135&lt;1,MOD(S135,1)&lt;&gt;0)),"Empaque inválido",""),IF(OR(AND(AF135="",AG135="ESCANEADO"),AND(AF135&lt;&gt;"",AG135&lt;&gt;"ESCANEADO")),"Barcode/estado inconsistente",""),IF(AK135&lt;&gt;"",AK135,"")))</f>
        <v/>
      </c>
      <c r="AJ135" s="21" t="n"/>
      <c r="AK135" s="17">
        <f>IF(G135="","",IF(OR(COUNTIFS($G$5:$G$445,G135,$I$5:$I$445,I135,$J$5:$J$445,J135,$P$5:$P$445,P135)&gt;1,AND(AF135&lt;&gt;"",COUNTIF($AF$5:$AF$445,AF135)&gt;1)),"REVISAR_POSIBLE_DUPLICADO",""))</f>
        <v/>
      </c>
    </row>
    <row r="136">
      <c r="A136" s="17" t="inlineStr">
        <is>
          <t>17272db1-20cd-5b3b-bba8-ffc3ee43f173</t>
        </is>
      </c>
      <c r="B136" s="18" t="inlineStr">
        <is>
          <t>EXISTENTE</t>
        </is>
      </c>
      <c r="C136" s="18" t="inlineStr">
        <is>
          <t>ACTIVO</t>
        </is>
      </c>
      <c r="D136" s="18" t="n">
        <v>171</v>
      </c>
      <c r="E136" s="17" t="inlineStr">
        <is>
          <t>3c2e3b76-2b65-49e8-89fe-fe1d3a2f4f28</t>
        </is>
      </c>
      <c r="F136" s="17" t="inlineStr">
        <is>
          <t>PRB-FER-0119</t>
        </is>
      </c>
      <c r="G136" s="19" t="inlineStr">
        <is>
          <t>Candado 40 mm</t>
        </is>
      </c>
      <c r="H136" s="19" t="inlineStr">
        <is>
          <t>Cerraduras y herrajes</t>
        </is>
      </c>
      <c r="I136" s="20" t="inlineStr">
        <is>
          <t>CasaForte</t>
        </is>
      </c>
      <c r="J136" s="20" t="inlineStr">
        <is>
          <t>Unidad</t>
        </is>
      </c>
      <c r="K136" s="21" t="inlineStr">
        <is>
          <t>Proveedor Prueba Plomería Nacional</t>
        </is>
      </c>
      <c r="L136" s="18" t="n">
        <v>15</v>
      </c>
      <c r="M136" s="22" t="n">
        <v>16000</v>
      </c>
      <c r="N136" s="22" t="n">
        <v>22500</v>
      </c>
      <c r="O136" s="23" t="n">
        <v>7</v>
      </c>
      <c r="P136" s="24" t="inlineStr">
        <is>
          <t>UNIDAD</t>
        </is>
      </c>
      <c r="Q136" s="20" t="inlineStr">
        <is>
          <t>NO</t>
        </is>
      </c>
      <c r="R136" s="20" t="inlineStr">
        <is>
          <t>NO</t>
        </is>
      </c>
      <c r="S136" s="25" t="n">
        <v>1</v>
      </c>
      <c r="T136" s="20" t="inlineStr">
        <is>
          <t>NO</t>
        </is>
      </c>
      <c r="U136" s="20" t="inlineStr">
        <is>
          <t>Bodega de pruebas</t>
        </is>
      </c>
      <c r="V136" s="21" t="inlineStr">
        <is>
          <t>Producto ficticio de prueba para validacion de busquedas, inventario, ventas y compras en FERREPRO. No corresponde a inventario real.</t>
        </is>
      </c>
      <c r="W136" s="26" t="n">
        <v>30</v>
      </c>
      <c r="X136" s="27" t="n"/>
      <c r="Y136" s="20" t="n"/>
      <c r="Z136" s="20" t="n"/>
      <c r="AA136" s="26">
        <f>IF(X136="","",X136-IF(W136="",0,W136))</f>
        <v/>
      </c>
      <c r="AB136" s="28">
        <f>IF(OR(X136="",M136=""),"",X136*M136)</f>
        <v/>
      </c>
      <c r="AC136" s="28">
        <f>IF(OR(X136="",N136=""),"",X136*N136)</f>
        <v/>
      </c>
      <c r="AD136" s="28">
        <f>IF(OR(M136="",N136=""),"",N136-M136)</f>
        <v/>
      </c>
      <c r="AE136" s="29">
        <f>IFERROR(IF(M136&gt;0,(N136-M136)/M136,""),"")</f>
        <v/>
      </c>
      <c r="AF136" s="30" t="n"/>
      <c r="AG136" s="30" t="inlineStr">
        <is>
          <t>PENDIENTE</t>
        </is>
      </c>
      <c r="AH136" s="18">
        <f>IF(NOT(OR(B136="EXISTENTE",COUNTA(G136,H136,I136,J136,K136,M136,N136,U136,V136,X136,Y136,Z136,AF136,AJ136)&gt;0)),"",IF(AK136&lt;&gt;"","REVISAR",IF(OR(G136="",H136="",M136="",N136="",O136="",P136="",X136=""),"INCOMPLETO",IF(AI136&lt;&gt;"","REVISAR",IF(AND(AF136&lt;&gt;"",AG136="ESCANEADO"),"LISTO_COMPLETO","LISTO_SIN_BARCODE")))))</f>
        <v/>
      </c>
      <c r="AI136" s="17">
        <f>IF(NOT(OR(B136="EXISTENTE",COUNTA(G136,H136,I136,J136,K136,M136,N136,U136,V136,X136,Y136,Z136,AF136,AJ136)&gt;0)),"",TEXTJOIN(" | ",TRUE,IF(A136="","Falta ID staging",""),IF(COUNTIF($A$5:$A$445,A136)&gt;1,"ID staging duplicado",""),IF(G136="","Falta nombre",""),IF(LEN(G136)&gt;150,"Nombre &gt;150 caracteres",""),IF(H136="","Falta categoría",IF(COUNTIF(CategoriasLista,H136)=0,"Categoría inválida","")),IF(M136="","Falta precio compra",IF(OR(NOT(ISNUMBER(M136)),M136&lt;0),"Precio compra inválido","")),IF(N136="","Falta precio venta",IF(OR(NOT(ISNUMBER(N136)),N136&lt;=0,N136&lt;M136),"Precio venta inválido","")),IF(O136="","Falta stock mínimo",IF(OR(NOT(ISNUMBER(O136)),O136&lt;0,MOD(O136,1)&lt;&gt;0),"Stock mínimo inválido","")),IF(P136="","Falta unidad",IF(COUNTIF(UnidadesLista,P136)=0,"Unidad inválida","")),IF(AND(K136&lt;&gt;"",COUNTIF(ProveedoresLista,K136)=0),"Proveedor no catalogado",""),IF(X136="","Falta cantidad contada",IF(OR(NOT(ISNUMBER(X136)),X136&lt;0,ABS(X136*1000-ROUND(X136*1000,0))&gt;0.0000001),"Cantidad inválida",IF(AND(Q136="NO",MOD(X136,1)&lt;&gt;0),"Cantidad fraccionaria no permitida",""))),IF(AND(R136="SI",OR(NOT(ISNUMBER(S136)),S136&lt;1,MOD(S136,1)&lt;&gt;0)),"Empaque inválido",""),IF(OR(AND(AF136="",AG136="ESCANEADO"),AND(AF136&lt;&gt;"",AG136&lt;&gt;"ESCANEADO")),"Barcode/estado inconsistente",""),IF(AK136&lt;&gt;"",AK136,"")))</f>
        <v/>
      </c>
      <c r="AJ136" s="21" t="n"/>
      <c r="AK136" s="17">
        <f>IF(G136="","",IF(OR(COUNTIFS($G$5:$G$445,G136,$I$5:$I$445,I136,$J$5:$J$445,J136,$P$5:$P$445,P136)&gt;1,AND(AF136&lt;&gt;"",COUNTIF($AF$5:$AF$445,AF136)&gt;1)),"REVISAR_POSIBLE_DUPLICADO",""))</f>
        <v/>
      </c>
    </row>
    <row r="137">
      <c r="A137" s="17" t="inlineStr">
        <is>
          <t>5421d87f-56c2-58d5-a03d-605ddc8ee133</t>
        </is>
      </c>
      <c r="B137" s="18" t="inlineStr">
        <is>
          <t>EXISTENTE</t>
        </is>
      </c>
      <c r="C137" s="18" t="inlineStr">
        <is>
          <t>ACTIVO</t>
        </is>
      </c>
      <c r="D137" s="18" t="n">
        <v>172</v>
      </c>
      <c r="E137" s="17" t="inlineStr">
        <is>
          <t>38a22a05-6f01-4faa-afeb-2b68c9184938</t>
        </is>
      </c>
      <c r="F137" s="17" t="inlineStr">
        <is>
          <t>PRB-FER-0120</t>
        </is>
      </c>
      <c r="G137" s="19" t="inlineStr">
        <is>
          <t>Candado 50 mm</t>
        </is>
      </c>
      <c r="H137" s="19" t="inlineStr">
        <is>
          <t>Cerraduras y herrajes</t>
        </is>
      </c>
      <c r="I137" s="20" t="inlineStr">
        <is>
          <t>CasaForte</t>
        </is>
      </c>
      <c r="J137" s="20" t="inlineStr">
        <is>
          <t>Unidad</t>
        </is>
      </c>
      <c r="K137" s="21" t="inlineStr">
        <is>
          <t>Proveedor Prueba Seguridad y Protección</t>
        </is>
      </c>
      <c r="L137" s="18" t="n">
        <v>16</v>
      </c>
      <c r="M137" s="22" t="n">
        <v>22000</v>
      </c>
      <c r="N137" s="22" t="n">
        <v>31000</v>
      </c>
      <c r="O137" s="23" t="n">
        <v>6</v>
      </c>
      <c r="P137" s="24" t="inlineStr">
        <is>
          <t>UNIDAD</t>
        </is>
      </c>
      <c r="Q137" s="20" t="inlineStr">
        <is>
          <t>NO</t>
        </is>
      </c>
      <c r="R137" s="20" t="inlineStr">
        <is>
          <t>NO</t>
        </is>
      </c>
      <c r="S137" s="25" t="n">
        <v>1</v>
      </c>
      <c r="T137" s="20" t="inlineStr">
        <is>
          <t>NO</t>
        </is>
      </c>
      <c r="U137" s="20" t="inlineStr">
        <is>
          <t>Bodega de pruebas</t>
        </is>
      </c>
      <c r="V137" s="21" t="inlineStr">
        <is>
          <t>Producto ficticio de prueba para validacion de busquedas, inventario, ventas y compras en FERREPRO. No corresponde a inventario real.</t>
        </is>
      </c>
      <c r="W137" s="26" t="n">
        <v>25</v>
      </c>
      <c r="X137" s="27" t="n"/>
      <c r="Y137" s="20" t="n"/>
      <c r="Z137" s="20" t="n"/>
      <c r="AA137" s="26">
        <f>IF(X137="","",X137-IF(W137="",0,W137))</f>
        <v/>
      </c>
      <c r="AB137" s="28">
        <f>IF(OR(X137="",M137=""),"",X137*M137)</f>
        <v/>
      </c>
      <c r="AC137" s="28">
        <f>IF(OR(X137="",N137=""),"",X137*N137)</f>
        <v/>
      </c>
      <c r="AD137" s="28">
        <f>IF(OR(M137="",N137=""),"",N137-M137)</f>
        <v/>
      </c>
      <c r="AE137" s="29">
        <f>IFERROR(IF(M137&gt;0,(N137-M137)/M137,""),"")</f>
        <v/>
      </c>
      <c r="AF137" s="30" t="n"/>
      <c r="AG137" s="30" t="inlineStr">
        <is>
          <t>PENDIENTE</t>
        </is>
      </c>
      <c r="AH137" s="18">
        <f>IF(NOT(OR(B137="EXISTENTE",COUNTA(G137,H137,I137,J137,K137,M137,N137,U137,V137,X137,Y137,Z137,AF137,AJ137)&gt;0)),"",IF(AK137&lt;&gt;"","REVISAR",IF(OR(G137="",H137="",M137="",N137="",O137="",P137="",X137=""),"INCOMPLETO",IF(AI137&lt;&gt;"","REVISAR",IF(AND(AF137&lt;&gt;"",AG137="ESCANEADO"),"LISTO_COMPLETO","LISTO_SIN_BARCODE")))))</f>
        <v/>
      </c>
      <c r="AI137" s="17">
        <f>IF(NOT(OR(B137="EXISTENTE",COUNTA(G137,H137,I137,J137,K137,M137,N137,U137,V137,X137,Y137,Z137,AF137,AJ137)&gt;0)),"",TEXTJOIN(" | ",TRUE,IF(A137="","Falta ID staging",""),IF(COUNTIF($A$5:$A$445,A137)&gt;1,"ID staging duplicado",""),IF(G137="","Falta nombre",""),IF(LEN(G137)&gt;150,"Nombre &gt;150 caracteres",""),IF(H137="","Falta categoría",IF(COUNTIF(CategoriasLista,H137)=0,"Categoría inválida","")),IF(M137="","Falta precio compra",IF(OR(NOT(ISNUMBER(M137)),M137&lt;0),"Precio compra inválido","")),IF(N137="","Falta precio venta",IF(OR(NOT(ISNUMBER(N137)),N137&lt;=0,N137&lt;M137),"Precio venta inválido","")),IF(O137="","Falta stock mínimo",IF(OR(NOT(ISNUMBER(O137)),O137&lt;0,MOD(O137,1)&lt;&gt;0),"Stock mínimo inválido","")),IF(P137="","Falta unidad",IF(COUNTIF(UnidadesLista,P137)=0,"Unidad inválida","")),IF(AND(K137&lt;&gt;"",COUNTIF(ProveedoresLista,K137)=0),"Proveedor no catalogado",""),IF(X137="","Falta cantidad contada",IF(OR(NOT(ISNUMBER(X137)),X137&lt;0,ABS(X137*1000-ROUND(X137*1000,0))&gt;0.0000001),"Cantidad inválida",IF(AND(Q137="NO",MOD(X137,1)&lt;&gt;0),"Cantidad fraccionaria no permitida",""))),IF(AND(R137="SI",OR(NOT(ISNUMBER(S137)),S137&lt;1,MOD(S137,1)&lt;&gt;0)),"Empaque inválido",""),IF(OR(AND(AF137="",AG137="ESCANEADO"),AND(AF137&lt;&gt;"",AG137&lt;&gt;"ESCANEADO")),"Barcode/estado inconsistente",""),IF(AK137&lt;&gt;"",AK137,"")))</f>
        <v/>
      </c>
      <c r="AJ137" s="21" t="n"/>
      <c r="AK137" s="17">
        <f>IF(G137="","",IF(OR(COUNTIFS($G$5:$G$445,G137,$I$5:$I$445,I137,$J$5:$J$445,J137,$P$5:$P$445,P137)&gt;1,AND(AF137&lt;&gt;"",COUNTIF($AF$5:$AF$445,AF137)&gt;1)),"REVISAR_POSIBLE_DUPLICADO",""))</f>
        <v/>
      </c>
    </row>
    <row r="138">
      <c r="A138" s="17" t="inlineStr">
        <is>
          <t>fd682a03-6cb4-540c-b365-52902946852a</t>
        </is>
      </c>
      <c r="B138" s="18" t="inlineStr">
        <is>
          <t>EXISTENTE</t>
        </is>
      </c>
      <c r="C138" s="18" t="inlineStr">
        <is>
          <t>ACTIVO</t>
        </is>
      </c>
      <c r="D138" s="18" t="n">
        <v>173</v>
      </c>
      <c r="E138" s="17" t="inlineStr">
        <is>
          <t>282ac10c-c392-4992-9900-6b4edd983ea9</t>
        </is>
      </c>
      <c r="F138" s="17" t="inlineStr">
        <is>
          <t>PRB-FER-0121</t>
        </is>
      </c>
      <c r="G138" s="19" t="inlineStr">
        <is>
          <t>Manija metálica puerta</t>
        </is>
      </c>
      <c r="H138" s="19" t="inlineStr">
        <is>
          <t>Cerraduras y herrajes</t>
        </is>
      </c>
      <c r="I138" s="20" t="inlineStr">
        <is>
          <t>CasaForte</t>
        </is>
      </c>
      <c r="J138" s="20" t="inlineStr">
        <is>
          <t>Unidad</t>
        </is>
      </c>
      <c r="K138" s="21" t="inlineStr">
        <is>
          <t>Proveedor Prueba Ferretería Central S.A.S.</t>
        </is>
      </c>
      <c r="L138" s="18" t="n">
        <v>9</v>
      </c>
      <c r="M138" s="22" t="n">
        <v>18500</v>
      </c>
      <c r="N138" s="22" t="n">
        <v>26500</v>
      </c>
      <c r="O138" s="23" t="n">
        <v>7</v>
      </c>
      <c r="P138" s="24" t="inlineStr">
        <is>
          <t>UNIDAD</t>
        </is>
      </c>
      <c r="Q138" s="20" t="inlineStr">
        <is>
          <t>NO</t>
        </is>
      </c>
      <c r="R138" s="20" t="inlineStr">
        <is>
          <t>NO</t>
        </is>
      </c>
      <c r="S138" s="25" t="n">
        <v>1</v>
      </c>
      <c r="T138" s="20" t="inlineStr">
        <is>
          <t>NO</t>
        </is>
      </c>
      <c r="U138" s="20" t="inlineStr">
        <is>
          <t>Bodega de pruebas</t>
        </is>
      </c>
      <c r="V138" s="21" t="inlineStr">
        <is>
          <t>Producto ficticio de prueba para validacion de busquedas, inventario, ventas y compras en FERREPRO. No corresponde a inventario real.</t>
        </is>
      </c>
      <c r="W138" s="26" t="n">
        <v>30</v>
      </c>
      <c r="X138" s="27" t="n"/>
      <c r="Y138" s="20" t="n"/>
      <c r="Z138" s="20" t="n"/>
      <c r="AA138" s="26">
        <f>IF(X138="","",X138-IF(W138="",0,W138))</f>
        <v/>
      </c>
      <c r="AB138" s="28">
        <f>IF(OR(X138="",M138=""),"",X138*M138)</f>
        <v/>
      </c>
      <c r="AC138" s="28">
        <f>IF(OR(X138="",N138=""),"",X138*N138)</f>
        <v/>
      </c>
      <c r="AD138" s="28">
        <f>IF(OR(M138="",N138=""),"",N138-M138)</f>
        <v/>
      </c>
      <c r="AE138" s="29">
        <f>IFERROR(IF(M138&gt;0,(N138-M138)/M138,""),"")</f>
        <v/>
      </c>
      <c r="AF138" s="30" t="n"/>
      <c r="AG138" s="30" t="inlineStr">
        <is>
          <t>PENDIENTE</t>
        </is>
      </c>
      <c r="AH138" s="18">
        <f>IF(NOT(OR(B138="EXISTENTE",COUNTA(G138,H138,I138,J138,K138,M138,N138,U138,V138,X138,Y138,Z138,AF138,AJ138)&gt;0)),"",IF(AK138&lt;&gt;"","REVISAR",IF(OR(G138="",H138="",M138="",N138="",O138="",P138="",X138=""),"INCOMPLETO",IF(AI138&lt;&gt;"","REVISAR",IF(AND(AF138&lt;&gt;"",AG138="ESCANEADO"),"LISTO_COMPLETO","LISTO_SIN_BARCODE")))))</f>
        <v/>
      </c>
      <c r="AI138" s="17">
        <f>IF(NOT(OR(B138="EXISTENTE",COUNTA(G138,H138,I138,J138,K138,M138,N138,U138,V138,X138,Y138,Z138,AF138,AJ138)&gt;0)),"",TEXTJOIN(" | ",TRUE,IF(A138="","Falta ID staging",""),IF(COUNTIF($A$5:$A$445,A138)&gt;1,"ID staging duplicado",""),IF(G138="","Falta nombre",""),IF(LEN(G138)&gt;150,"Nombre &gt;150 caracteres",""),IF(H138="","Falta categoría",IF(COUNTIF(CategoriasLista,H138)=0,"Categoría inválida","")),IF(M138="","Falta precio compra",IF(OR(NOT(ISNUMBER(M138)),M138&lt;0),"Precio compra inválido","")),IF(N138="","Falta precio venta",IF(OR(NOT(ISNUMBER(N138)),N138&lt;=0,N138&lt;M138),"Precio venta inválido","")),IF(O138="","Falta stock mínimo",IF(OR(NOT(ISNUMBER(O138)),O138&lt;0,MOD(O138,1)&lt;&gt;0),"Stock mínimo inválido","")),IF(P138="","Falta unidad",IF(COUNTIF(UnidadesLista,P138)=0,"Unidad inválida","")),IF(AND(K138&lt;&gt;"",COUNTIF(ProveedoresLista,K138)=0),"Proveedor no catalogado",""),IF(X138="","Falta cantidad contada",IF(OR(NOT(ISNUMBER(X138)),X138&lt;0,ABS(X138*1000-ROUND(X138*1000,0))&gt;0.0000001),"Cantidad inválida",IF(AND(Q138="NO",MOD(X138,1)&lt;&gt;0),"Cantidad fraccionaria no permitida",""))),IF(AND(R138="SI",OR(NOT(ISNUMBER(S138)),S138&lt;1,MOD(S138,1)&lt;&gt;0)),"Empaque inválido",""),IF(OR(AND(AF138="",AG138="ESCANEADO"),AND(AF138&lt;&gt;"",AG138&lt;&gt;"ESCANEADO")),"Barcode/estado inconsistente",""),IF(AK138&lt;&gt;"",AK138,"")))</f>
        <v/>
      </c>
      <c r="AJ138" s="21" t="n"/>
      <c r="AK138" s="17">
        <f>IF(G138="","",IF(OR(COUNTIFS($G$5:$G$445,G138,$I$5:$I$445,I138,$J$5:$J$445,J138,$P$5:$P$445,P138)&gt;1,AND(AF138&lt;&gt;"",COUNTIF($AF$5:$AF$445,AF138)&gt;1)),"REVISAR_POSIBLE_DUPLICADO",""))</f>
        <v/>
      </c>
    </row>
    <row r="139">
      <c r="A139" s="17" t="inlineStr">
        <is>
          <t>827f2384-a705-5afe-900e-9f634bd5b762</t>
        </is>
      </c>
      <c r="B139" s="18" t="inlineStr">
        <is>
          <t>EXISTENTE</t>
        </is>
      </c>
      <c r="C139" s="18" t="inlineStr">
        <is>
          <t>ACTIVO</t>
        </is>
      </c>
      <c r="D139" s="18" t="n">
        <v>174</v>
      </c>
      <c r="E139" s="17" t="inlineStr">
        <is>
          <t>77386140-4a07-4b65-8237-4a36b4bf291d</t>
        </is>
      </c>
      <c r="F139" s="17" t="inlineStr">
        <is>
          <t>PRB-FER-0122</t>
        </is>
      </c>
      <c r="G139" s="19" t="inlineStr">
        <is>
          <t>Soporte repisa metálico</t>
        </is>
      </c>
      <c r="H139" s="19" t="inlineStr">
        <is>
          <t>Cerraduras y herrajes</t>
        </is>
      </c>
      <c r="I139" s="20" t="inlineStr">
        <is>
          <t>AceroPlus</t>
        </is>
      </c>
      <c r="J139" s="20" t="inlineStr">
        <is>
          <t>Unidad</t>
        </is>
      </c>
      <c r="K139" s="21" t="inlineStr">
        <is>
          <t>Proveedor Prueba ConstruMateriales del Norte</t>
        </is>
      </c>
      <c r="L139" s="18" t="n">
        <v>10</v>
      </c>
      <c r="M139" s="22" t="n">
        <v>7800</v>
      </c>
      <c r="N139" s="22" t="n">
        <v>11000</v>
      </c>
      <c r="O139" s="23" t="n">
        <v>12</v>
      </c>
      <c r="P139" s="24" t="inlineStr">
        <is>
          <t>UNIDAD</t>
        </is>
      </c>
      <c r="Q139" s="20" t="inlineStr">
        <is>
          <t>NO</t>
        </is>
      </c>
      <c r="R139" s="20" t="inlineStr">
        <is>
          <t>NO</t>
        </is>
      </c>
      <c r="S139" s="25" t="n">
        <v>1</v>
      </c>
      <c r="T139" s="20" t="inlineStr">
        <is>
          <t>NO</t>
        </is>
      </c>
      <c r="U139" s="20" t="inlineStr">
        <is>
          <t>Bodega de pruebas</t>
        </is>
      </c>
      <c r="V139" s="21" t="inlineStr">
        <is>
          <t>Producto ficticio de prueba para validacion de busquedas, inventario, ventas y compras en FERREPRO. No corresponde a inventario real.</t>
        </is>
      </c>
      <c r="W139" s="26" t="n">
        <v>50</v>
      </c>
      <c r="X139" s="27" t="n"/>
      <c r="Y139" s="20" t="n"/>
      <c r="Z139" s="20" t="n"/>
      <c r="AA139" s="26">
        <f>IF(X139="","",X139-IF(W139="",0,W139))</f>
        <v/>
      </c>
      <c r="AB139" s="28">
        <f>IF(OR(X139="",M139=""),"",X139*M139)</f>
        <v/>
      </c>
      <c r="AC139" s="28">
        <f>IF(OR(X139="",N139=""),"",X139*N139)</f>
        <v/>
      </c>
      <c r="AD139" s="28">
        <f>IF(OR(M139="",N139=""),"",N139-M139)</f>
        <v/>
      </c>
      <c r="AE139" s="29">
        <f>IFERROR(IF(M139&gt;0,(N139-M139)/M139,""),"")</f>
        <v/>
      </c>
      <c r="AF139" s="30" t="n"/>
      <c r="AG139" s="30" t="inlineStr">
        <is>
          <t>PENDIENTE</t>
        </is>
      </c>
      <c r="AH139" s="18">
        <f>IF(NOT(OR(B139="EXISTENTE",COUNTA(G139,H139,I139,J139,K139,M139,N139,U139,V139,X139,Y139,Z139,AF139,AJ139)&gt;0)),"",IF(AK139&lt;&gt;"","REVISAR",IF(OR(G139="",H139="",M139="",N139="",O139="",P139="",X139=""),"INCOMPLETO",IF(AI139&lt;&gt;"","REVISAR",IF(AND(AF139&lt;&gt;"",AG139="ESCANEADO"),"LISTO_COMPLETO","LISTO_SIN_BARCODE")))))</f>
        <v/>
      </c>
      <c r="AI139" s="17">
        <f>IF(NOT(OR(B139="EXISTENTE",COUNTA(G139,H139,I139,J139,K139,M139,N139,U139,V139,X139,Y139,Z139,AF139,AJ139)&gt;0)),"",TEXTJOIN(" | ",TRUE,IF(A139="","Falta ID staging",""),IF(COUNTIF($A$5:$A$445,A139)&gt;1,"ID staging duplicado",""),IF(G139="","Falta nombre",""),IF(LEN(G139)&gt;150,"Nombre &gt;150 caracteres",""),IF(H139="","Falta categoría",IF(COUNTIF(CategoriasLista,H139)=0,"Categoría inválida","")),IF(M139="","Falta precio compra",IF(OR(NOT(ISNUMBER(M139)),M139&lt;0),"Precio compra inválido","")),IF(N139="","Falta precio venta",IF(OR(NOT(ISNUMBER(N139)),N139&lt;=0,N139&lt;M139),"Precio venta inválido","")),IF(O139="","Falta stock mínimo",IF(OR(NOT(ISNUMBER(O139)),O139&lt;0,MOD(O139,1)&lt;&gt;0),"Stock mínimo inválido","")),IF(P139="","Falta unidad",IF(COUNTIF(UnidadesLista,P139)=0,"Unidad inválida","")),IF(AND(K139&lt;&gt;"",COUNTIF(ProveedoresLista,K139)=0),"Proveedor no catalogado",""),IF(X139="","Falta cantidad contada",IF(OR(NOT(ISNUMBER(X139)),X139&lt;0,ABS(X139*1000-ROUND(X139*1000,0))&gt;0.0000001),"Cantidad inválida",IF(AND(Q139="NO",MOD(X139,1)&lt;&gt;0),"Cantidad fraccionaria no permitida",""))),IF(AND(R139="SI",OR(NOT(ISNUMBER(S139)),S139&lt;1,MOD(S139,1)&lt;&gt;0)),"Empaque inválido",""),IF(OR(AND(AF139="",AG139="ESCANEADO"),AND(AF139&lt;&gt;"",AG139&lt;&gt;"ESCANEADO")),"Barcode/estado inconsistente",""),IF(AK139&lt;&gt;"",AK139,"")))</f>
        <v/>
      </c>
      <c r="AJ139" s="21" t="n"/>
      <c r="AK139" s="17">
        <f>IF(G139="","",IF(OR(COUNTIFS($G$5:$G$445,G139,$I$5:$I$445,I139,$J$5:$J$445,J139,$P$5:$P$445,P139)&gt;1,AND(AF139&lt;&gt;"",COUNTIF($AF$5:$AF$445,AF139)&gt;1)),"REVISAR_POSIBLE_DUPLICADO",""))</f>
        <v/>
      </c>
    </row>
    <row r="140">
      <c r="A140" s="17" t="inlineStr">
        <is>
          <t>5a75592c-cb28-508b-8a80-e712acbbbd6e</t>
        </is>
      </c>
      <c r="B140" s="18" t="inlineStr">
        <is>
          <t>EXISTENTE</t>
        </is>
      </c>
      <c r="C140" s="18" t="inlineStr">
        <is>
          <t>ACTIVO</t>
        </is>
      </c>
      <c r="D140" s="18" t="n">
        <v>175</v>
      </c>
      <c r="E140" s="17" t="inlineStr">
        <is>
          <t>2d507c04-f55f-4d3c-885c-1db41749c68d</t>
        </is>
      </c>
      <c r="F140" s="17" t="inlineStr">
        <is>
          <t>PRB-FER-0123</t>
        </is>
      </c>
      <c r="G140" s="19" t="inlineStr">
        <is>
          <t>Desengrasante industrial 1 litro</t>
        </is>
      </c>
      <c r="H140" s="19" t="inlineStr">
        <is>
          <t>Limpieza y mantenimiento</t>
        </is>
      </c>
      <c r="I140" s="20" t="inlineStr">
        <is>
          <t>Genérico</t>
        </is>
      </c>
      <c r="J140" s="20" t="inlineStr">
        <is>
          <t>Litro</t>
        </is>
      </c>
      <c r="K140" s="21" t="inlineStr">
        <is>
          <t>Proveedor Prueba Tornillos y Fijaciones Andinas</t>
        </is>
      </c>
      <c r="L140" s="18" t="n">
        <v>11</v>
      </c>
      <c r="M140" s="22" t="n">
        <v>9000</v>
      </c>
      <c r="N140" s="22" t="n">
        <v>13000</v>
      </c>
      <c r="O140" s="23" t="n">
        <v>7</v>
      </c>
      <c r="P140" s="24" t="inlineStr">
        <is>
          <t>LITRO</t>
        </is>
      </c>
      <c r="Q140" s="20" t="inlineStr">
        <is>
          <t>SI</t>
        </is>
      </c>
      <c r="R140" s="20" t="inlineStr">
        <is>
          <t>NO</t>
        </is>
      </c>
      <c r="S140" s="25" t="n">
        <v>1</v>
      </c>
      <c r="T140" s="20" t="inlineStr">
        <is>
          <t>NO</t>
        </is>
      </c>
      <c r="U140" s="20" t="inlineStr">
        <is>
          <t>Bodega de pruebas</t>
        </is>
      </c>
      <c r="V140" s="21" t="inlineStr">
        <is>
          <t>Producto ficticio de prueba para validacion de busquedas, inventario, ventas y compras en FERREPRO. No corresponde a inventario real.</t>
        </is>
      </c>
      <c r="W140" s="26" t="n">
        <v>30</v>
      </c>
      <c r="X140" s="27" t="n"/>
      <c r="Y140" s="20" t="n"/>
      <c r="Z140" s="20" t="n"/>
      <c r="AA140" s="26">
        <f>IF(X140="","",X140-IF(W140="",0,W140))</f>
        <v/>
      </c>
      <c r="AB140" s="28">
        <f>IF(OR(X140="",M140=""),"",X140*M140)</f>
        <v/>
      </c>
      <c r="AC140" s="28">
        <f>IF(OR(X140="",N140=""),"",X140*N140)</f>
        <v/>
      </c>
      <c r="AD140" s="28">
        <f>IF(OR(M140="",N140=""),"",N140-M140)</f>
        <v/>
      </c>
      <c r="AE140" s="29">
        <f>IFERROR(IF(M140&gt;0,(N140-M140)/M140,""),"")</f>
        <v/>
      </c>
      <c r="AF140" s="30" t="n"/>
      <c r="AG140" s="30" t="inlineStr">
        <is>
          <t>PENDIENTE</t>
        </is>
      </c>
      <c r="AH140" s="18">
        <f>IF(NOT(OR(B140="EXISTENTE",COUNTA(G140,H140,I140,J140,K140,M140,N140,U140,V140,X140,Y140,Z140,AF140,AJ140)&gt;0)),"",IF(AK140&lt;&gt;"","REVISAR",IF(OR(G140="",H140="",M140="",N140="",O140="",P140="",X140=""),"INCOMPLETO",IF(AI140&lt;&gt;"","REVISAR",IF(AND(AF140&lt;&gt;"",AG140="ESCANEADO"),"LISTO_COMPLETO","LISTO_SIN_BARCODE")))))</f>
        <v/>
      </c>
      <c r="AI140" s="17">
        <f>IF(NOT(OR(B140="EXISTENTE",COUNTA(G140,H140,I140,J140,K140,M140,N140,U140,V140,X140,Y140,Z140,AF140,AJ140)&gt;0)),"",TEXTJOIN(" | ",TRUE,IF(A140="","Falta ID staging",""),IF(COUNTIF($A$5:$A$445,A140)&gt;1,"ID staging duplicado",""),IF(G140="","Falta nombre",""),IF(LEN(G140)&gt;150,"Nombre &gt;150 caracteres",""),IF(H140="","Falta categoría",IF(COUNTIF(CategoriasLista,H140)=0,"Categoría inválida","")),IF(M140="","Falta precio compra",IF(OR(NOT(ISNUMBER(M140)),M140&lt;0),"Precio compra inválido","")),IF(N140="","Falta precio venta",IF(OR(NOT(ISNUMBER(N140)),N140&lt;=0,N140&lt;M140),"Precio venta inválido","")),IF(O140="","Falta stock mínimo",IF(OR(NOT(ISNUMBER(O140)),O140&lt;0,MOD(O140,1)&lt;&gt;0),"Stock mínimo inválido","")),IF(P140="","Falta unidad",IF(COUNTIF(UnidadesLista,P140)=0,"Unidad inválida","")),IF(AND(K140&lt;&gt;"",COUNTIF(ProveedoresLista,K140)=0),"Proveedor no catalogado",""),IF(X140="","Falta cantidad contada",IF(OR(NOT(ISNUMBER(X140)),X140&lt;0,ABS(X140*1000-ROUND(X140*1000,0))&gt;0.0000001),"Cantidad inválida",IF(AND(Q140="NO",MOD(X140,1)&lt;&gt;0),"Cantidad fraccionaria no permitida",""))),IF(AND(R140="SI",OR(NOT(ISNUMBER(S140)),S140&lt;1,MOD(S140,1)&lt;&gt;0)),"Empaque inválido",""),IF(OR(AND(AF140="",AG140="ESCANEADO"),AND(AF140&lt;&gt;"",AG140&lt;&gt;"ESCANEADO")),"Barcode/estado inconsistente",""),IF(AK140&lt;&gt;"",AK140,"")))</f>
        <v/>
      </c>
      <c r="AJ140" s="21" t="n"/>
      <c r="AK140" s="17">
        <f>IF(G140="","",IF(OR(COUNTIFS($G$5:$G$445,G140,$I$5:$I$445,I140,$J$5:$J$445,J140,$P$5:$P$445,P140)&gt;1,AND(AF140&lt;&gt;"",COUNTIF($AF$5:$AF$445,AF140)&gt;1)),"REVISAR_POSIBLE_DUPLICADO",""))</f>
        <v/>
      </c>
    </row>
    <row r="141">
      <c r="A141" s="17" t="inlineStr">
        <is>
          <t>a25997c4-73fe-5257-94c7-e9c5496c2d02</t>
        </is>
      </c>
      <c r="B141" s="18" t="inlineStr">
        <is>
          <t>EXISTENTE</t>
        </is>
      </c>
      <c r="C141" s="18" t="inlineStr">
        <is>
          <t>ACTIVO</t>
        </is>
      </c>
      <c r="D141" s="18" t="n">
        <v>176</v>
      </c>
      <c r="E141" s="17" t="inlineStr">
        <is>
          <t>d261e56d-dc06-4584-bfc7-00bb6f6efc60</t>
        </is>
      </c>
      <c r="F141" s="17" t="inlineStr">
        <is>
          <t>PRB-FER-0124</t>
        </is>
      </c>
      <c r="G141" s="19" t="inlineStr">
        <is>
          <t>Lubricante multiuso 400 ml</t>
        </is>
      </c>
      <c r="H141" s="19" t="inlineStr">
        <is>
          <t>Limpieza y mantenimiento</t>
        </is>
      </c>
      <c r="I141" s="20" t="inlineStr">
        <is>
          <t>FixMaster</t>
        </is>
      </c>
      <c r="J141" s="20" t="inlineStr">
        <is>
          <t>Unidad</t>
        </is>
      </c>
      <c r="K141" s="21" t="inlineStr">
        <is>
          <t>Proveedor Prueba Eléctricos Colombia</t>
        </is>
      </c>
      <c r="L141" s="18" t="n">
        <v>12</v>
      </c>
      <c r="M141" s="22" t="n">
        <v>12500</v>
      </c>
      <c r="N141" s="22" t="n">
        <v>18000</v>
      </c>
      <c r="O141" s="23" t="n">
        <v>8</v>
      </c>
      <c r="P141" s="24" t="inlineStr">
        <is>
          <t>UNIDAD</t>
        </is>
      </c>
      <c r="Q141" s="20" t="inlineStr">
        <is>
          <t>NO</t>
        </is>
      </c>
      <c r="R141" s="20" t="inlineStr">
        <is>
          <t>NO</t>
        </is>
      </c>
      <c r="S141" s="25" t="n">
        <v>1</v>
      </c>
      <c r="T141" s="20" t="inlineStr">
        <is>
          <t>NO</t>
        </is>
      </c>
      <c r="U141" s="20" t="inlineStr">
        <is>
          <t>Bodega de pruebas</t>
        </is>
      </c>
      <c r="V141" s="21" t="inlineStr">
        <is>
          <t>Producto ficticio de prueba para validacion de busquedas, inventario, ventas y compras en FERREPRO. No corresponde a inventario real.</t>
        </is>
      </c>
      <c r="W141" s="26" t="n">
        <v>35</v>
      </c>
      <c r="X141" s="27" t="n"/>
      <c r="Y141" s="20" t="n"/>
      <c r="Z141" s="20" t="n"/>
      <c r="AA141" s="26">
        <f>IF(X141="","",X141-IF(W141="",0,W141))</f>
        <v/>
      </c>
      <c r="AB141" s="28">
        <f>IF(OR(X141="",M141=""),"",X141*M141)</f>
        <v/>
      </c>
      <c r="AC141" s="28">
        <f>IF(OR(X141="",N141=""),"",X141*N141)</f>
        <v/>
      </c>
      <c r="AD141" s="28">
        <f>IF(OR(M141="",N141=""),"",N141-M141)</f>
        <v/>
      </c>
      <c r="AE141" s="29">
        <f>IFERROR(IF(M141&gt;0,(N141-M141)/M141,""),"")</f>
        <v/>
      </c>
      <c r="AF141" s="30" t="n"/>
      <c r="AG141" s="30" t="inlineStr">
        <is>
          <t>PENDIENTE</t>
        </is>
      </c>
      <c r="AH141" s="18">
        <f>IF(NOT(OR(B141="EXISTENTE",COUNTA(G141,H141,I141,J141,K141,M141,N141,U141,V141,X141,Y141,Z141,AF141,AJ141)&gt;0)),"",IF(AK141&lt;&gt;"","REVISAR",IF(OR(G141="",H141="",M141="",N141="",O141="",P141="",X141=""),"INCOMPLETO",IF(AI141&lt;&gt;"","REVISAR",IF(AND(AF141&lt;&gt;"",AG141="ESCANEADO"),"LISTO_COMPLETO","LISTO_SIN_BARCODE")))))</f>
        <v/>
      </c>
      <c r="AI141" s="17">
        <f>IF(NOT(OR(B141="EXISTENTE",COUNTA(G141,H141,I141,J141,K141,M141,N141,U141,V141,X141,Y141,Z141,AF141,AJ141)&gt;0)),"",TEXTJOIN(" | ",TRUE,IF(A141="","Falta ID staging",""),IF(COUNTIF($A$5:$A$445,A141)&gt;1,"ID staging duplicado",""),IF(G141="","Falta nombre",""),IF(LEN(G141)&gt;150,"Nombre &gt;150 caracteres",""),IF(H141="","Falta categoría",IF(COUNTIF(CategoriasLista,H141)=0,"Categoría inválida","")),IF(M141="","Falta precio compra",IF(OR(NOT(ISNUMBER(M141)),M141&lt;0),"Precio compra inválido","")),IF(N141="","Falta precio venta",IF(OR(NOT(ISNUMBER(N141)),N141&lt;=0,N141&lt;M141),"Precio venta inválido","")),IF(O141="","Falta stock mínimo",IF(OR(NOT(ISNUMBER(O141)),O141&lt;0,MOD(O141,1)&lt;&gt;0),"Stock mínimo inválido","")),IF(P141="","Falta unidad",IF(COUNTIF(UnidadesLista,P141)=0,"Unidad inválida","")),IF(AND(K141&lt;&gt;"",COUNTIF(ProveedoresLista,K141)=0),"Proveedor no catalogado",""),IF(X141="","Falta cantidad contada",IF(OR(NOT(ISNUMBER(X141)),X141&lt;0,ABS(X141*1000-ROUND(X141*1000,0))&gt;0.0000001),"Cantidad inválida",IF(AND(Q141="NO",MOD(X141,1)&lt;&gt;0),"Cantidad fraccionaria no permitida",""))),IF(AND(R141="SI",OR(NOT(ISNUMBER(S141)),S141&lt;1,MOD(S141,1)&lt;&gt;0)),"Empaque inválido",""),IF(OR(AND(AF141="",AG141="ESCANEADO"),AND(AF141&lt;&gt;"",AG141&lt;&gt;"ESCANEADO")),"Barcode/estado inconsistente",""),IF(AK141&lt;&gt;"",AK141,"")))</f>
        <v/>
      </c>
      <c r="AJ141" s="21" t="n"/>
      <c r="AK141" s="17">
        <f>IF(G141="","",IF(OR(COUNTIFS($G$5:$G$445,G141,$I$5:$I$445,I141,$J$5:$J$445,J141,$P$5:$P$445,P141)&gt;1,AND(AF141&lt;&gt;"",COUNTIF($AF$5:$AF$445,AF141)&gt;1)),"REVISAR_POSIBLE_DUPLICADO",""))</f>
        <v/>
      </c>
    </row>
    <row r="142">
      <c r="A142" s="17" t="inlineStr">
        <is>
          <t>cff7af57-37d1-517b-bd94-9a27048ae454</t>
        </is>
      </c>
      <c r="B142" s="18" t="inlineStr">
        <is>
          <t>EXISTENTE</t>
        </is>
      </c>
      <c r="C142" s="18" t="inlineStr">
        <is>
          <t>ACTIVO</t>
        </is>
      </c>
      <c r="D142" s="18" t="n">
        <v>177</v>
      </c>
      <c r="E142" s="17" t="inlineStr">
        <is>
          <t>8abfbde1-f0a2-41b6-96cb-f2f9f0721c65</t>
        </is>
      </c>
      <c r="F142" s="17" t="inlineStr">
        <is>
          <t>PRB-FER-0125</t>
        </is>
      </c>
      <c r="G142" s="19" t="inlineStr">
        <is>
          <t>Cepillo de alambre</t>
        </is>
      </c>
      <c r="H142" s="19" t="inlineStr">
        <is>
          <t>Limpieza y mantenimiento</t>
        </is>
      </c>
      <c r="I142" s="20" t="inlineStr">
        <is>
          <t>Herracol</t>
        </is>
      </c>
      <c r="J142" s="20" t="inlineStr">
        <is>
          <t>Unidad</t>
        </is>
      </c>
      <c r="K142" s="21" t="inlineStr">
        <is>
          <t>Proveedor Prueba Pinturas y Acabados</t>
        </is>
      </c>
      <c r="L142" s="18" t="n">
        <v>13</v>
      </c>
      <c r="M142" s="22" t="n">
        <v>6500</v>
      </c>
      <c r="N142" s="22" t="n">
        <v>9200</v>
      </c>
      <c r="O142" s="23" t="n">
        <v>10</v>
      </c>
      <c r="P142" s="24" t="inlineStr">
        <is>
          <t>UNIDAD</t>
        </is>
      </c>
      <c r="Q142" s="20" t="inlineStr">
        <is>
          <t>NO</t>
        </is>
      </c>
      <c r="R142" s="20" t="inlineStr">
        <is>
          <t>NO</t>
        </is>
      </c>
      <c r="S142" s="25" t="n">
        <v>1</v>
      </c>
      <c r="T142" s="20" t="inlineStr">
        <is>
          <t>NO</t>
        </is>
      </c>
      <c r="U142" s="20" t="inlineStr">
        <is>
          <t>Bodega de pruebas</t>
        </is>
      </c>
      <c r="V142" s="21" t="inlineStr">
        <is>
          <t>Producto ficticio de prueba para validacion de busquedas, inventario, ventas y compras en FERREPRO. No corresponde a inventario real.</t>
        </is>
      </c>
      <c r="W142" s="26" t="n">
        <v>40</v>
      </c>
      <c r="X142" s="27" t="n"/>
      <c r="Y142" s="20" t="n"/>
      <c r="Z142" s="20" t="n"/>
      <c r="AA142" s="26">
        <f>IF(X142="","",X142-IF(W142="",0,W142))</f>
        <v/>
      </c>
      <c r="AB142" s="28">
        <f>IF(OR(X142="",M142=""),"",X142*M142)</f>
        <v/>
      </c>
      <c r="AC142" s="28">
        <f>IF(OR(X142="",N142=""),"",X142*N142)</f>
        <v/>
      </c>
      <c r="AD142" s="28">
        <f>IF(OR(M142="",N142=""),"",N142-M142)</f>
        <v/>
      </c>
      <c r="AE142" s="29">
        <f>IFERROR(IF(M142&gt;0,(N142-M142)/M142,""),"")</f>
        <v/>
      </c>
      <c r="AF142" s="30" t="n"/>
      <c r="AG142" s="30" t="inlineStr">
        <is>
          <t>PENDIENTE</t>
        </is>
      </c>
      <c r="AH142" s="18">
        <f>IF(NOT(OR(B142="EXISTENTE",COUNTA(G142,H142,I142,J142,K142,M142,N142,U142,V142,X142,Y142,Z142,AF142,AJ142)&gt;0)),"",IF(AK142&lt;&gt;"","REVISAR",IF(OR(G142="",H142="",M142="",N142="",O142="",P142="",X142=""),"INCOMPLETO",IF(AI142&lt;&gt;"","REVISAR",IF(AND(AF142&lt;&gt;"",AG142="ESCANEADO"),"LISTO_COMPLETO","LISTO_SIN_BARCODE")))))</f>
        <v/>
      </c>
      <c r="AI142" s="17">
        <f>IF(NOT(OR(B142="EXISTENTE",COUNTA(G142,H142,I142,J142,K142,M142,N142,U142,V142,X142,Y142,Z142,AF142,AJ142)&gt;0)),"",TEXTJOIN(" | ",TRUE,IF(A142="","Falta ID staging",""),IF(COUNTIF($A$5:$A$445,A142)&gt;1,"ID staging duplicado",""),IF(G142="","Falta nombre",""),IF(LEN(G142)&gt;150,"Nombre &gt;150 caracteres",""),IF(H142="","Falta categoría",IF(COUNTIF(CategoriasLista,H142)=0,"Categoría inválida","")),IF(M142="","Falta precio compra",IF(OR(NOT(ISNUMBER(M142)),M142&lt;0),"Precio compra inválido","")),IF(N142="","Falta precio venta",IF(OR(NOT(ISNUMBER(N142)),N142&lt;=0,N142&lt;M142),"Precio venta inválido","")),IF(O142="","Falta stock mínimo",IF(OR(NOT(ISNUMBER(O142)),O142&lt;0,MOD(O142,1)&lt;&gt;0),"Stock mínimo inválido","")),IF(P142="","Falta unidad",IF(COUNTIF(UnidadesLista,P142)=0,"Unidad inválida","")),IF(AND(K142&lt;&gt;"",COUNTIF(ProveedoresLista,K142)=0),"Proveedor no catalogado",""),IF(X142="","Falta cantidad contada",IF(OR(NOT(ISNUMBER(X142)),X142&lt;0,ABS(X142*1000-ROUND(X142*1000,0))&gt;0.0000001),"Cantidad inválida",IF(AND(Q142="NO",MOD(X142,1)&lt;&gt;0),"Cantidad fraccionaria no permitida",""))),IF(AND(R142="SI",OR(NOT(ISNUMBER(S142)),S142&lt;1,MOD(S142,1)&lt;&gt;0)),"Empaque inválido",""),IF(OR(AND(AF142="",AG142="ESCANEADO"),AND(AF142&lt;&gt;"",AG142&lt;&gt;"ESCANEADO")),"Barcode/estado inconsistente",""),IF(AK142&lt;&gt;"",AK142,"")))</f>
        <v/>
      </c>
      <c r="AJ142" s="21" t="n"/>
      <c r="AK142" s="17">
        <f>IF(G142="","",IF(OR(COUNTIFS($G$5:$G$445,G142,$I$5:$I$445,I142,$J$5:$J$445,J142,$P$5:$P$445,P142)&gt;1,AND(AF142&lt;&gt;"",COUNTIF($AF$5:$AF$445,AF142)&gt;1)),"REVISAR_POSIBLE_DUPLICADO",""))</f>
        <v/>
      </c>
    </row>
    <row r="143">
      <c r="A143" s="17" t="inlineStr">
        <is>
          <t>9ac36c7d-d51f-5f8a-8afc-f4c1f33678e3</t>
        </is>
      </c>
      <c r="B143" s="18" t="inlineStr">
        <is>
          <t>EXISTENTE</t>
        </is>
      </c>
      <c r="C143" s="18" t="inlineStr">
        <is>
          <t>ACTIVO</t>
        </is>
      </c>
      <c r="D143" s="18" t="n">
        <v>178</v>
      </c>
      <c r="E143" s="17" t="inlineStr">
        <is>
          <t>96f9968d-8e78-4d22-90a6-fd68eb4ebfcb</t>
        </is>
      </c>
      <c r="F143" s="17" t="inlineStr">
        <is>
          <t>PRB-FER-0126</t>
        </is>
      </c>
      <c r="G143" s="19" t="inlineStr">
        <is>
          <t>Escoba industrial</t>
        </is>
      </c>
      <c r="H143" s="19" t="inlineStr">
        <is>
          <t>Limpieza y mantenimiento</t>
        </is>
      </c>
      <c r="I143" s="20" t="inlineStr">
        <is>
          <t>Genérico</t>
        </is>
      </c>
      <c r="J143" s="20" t="inlineStr">
        <is>
          <t>Unidad</t>
        </is>
      </c>
      <c r="K143" s="21" t="inlineStr">
        <is>
          <t>Proveedor Prueba Herramientas Industriales</t>
        </is>
      </c>
      <c r="L143" s="18" t="n">
        <v>14</v>
      </c>
      <c r="M143" s="22" t="n">
        <v>14500</v>
      </c>
      <c r="N143" s="22" t="n">
        <v>20500</v>
      </c>
      <c r="O143" s="23" t="n">
        <v>5</v>
      </c>
      <c r="P143" s="24" t="inlineStr">
        <is>
          <t>UNIDAD</t>
        </is>
      </c>
      <c r="Q143" s="20" t="inlineStr">
        <is>
          <t>NO</t>
        </is>
      </c>
      <c r="R143" s="20" t="inlineStr">
        <is>
          <t>NO</t>
        </is>
      </c>
      <c r="S143" s="25" t="n">
        <v>1</v>
      </c>
      <c r="T143" s="20" t="inlineStr">
        <is>
          <t>NO</t>
        </is>
      </c>
      <c r="U143" s="20" t="inlineStr">
        <is>
          <t>Bodega de pruebas</t>
        </is>
      </c>
      <c r="V143" s="21" t="inlineStr">
        <is>
          <t>Producto ficticio de prueba para validacion de busquedas, inventario, ventas y compras en FERREPRO. No corresponde a inventario real.</t>
        </is>
      </c>
      <c r="W143" s="26" t="n">
        <v>20</v>
      </c>
      <c r="X143" s="27" t="n"/>
      <c r="Y143" s="20" t="n"/>
      <c r="Z143" s="20" t="n"/>
      <c r="AA143" s="26">
        <f>IF(X143="","",X143-IF(W143="",0,W143))</f>
        <v/>
      </c>
      <c r="AB143" s="28">
        <f>IF(OR(X143="",M143=""),"",X143*M143)</f>
        <v/>
      </c>
      <c r="AC143" s="28">
        <f>IF(OR(X143="",N143=""),"",X143*N143)</f>
        <v/>
      </c>
      <c r="AD143" s="28">
        <f>IF(OR(M143="",N143=""),"",N143-M143)</f>
        <v/>
      </c>
      <c r="AE143" s="29">
        <f>IFERROR(IF(M143&gt;0,(N143-M143)/M143,""),"")</f>
        <v/>
      </c>
      <c r="AF143" s="30" t="n"/>
      <c r="AG143" s="30" t="inlineStr">
        <is>
          <t>PENDIENTE</t>
        </is>
      </c>
      <c r="AH143" s="18">
        <f>IF(NOT(OR(B143="EXISTENTE",COUNTA(G143,H143,I143,J143,K143,M143,N143,U143,V143,X143,Y143,Z143,AF143,AJ143)&gt;0)),"",IF(AK143&lt;&gt;"","REVISAR",IF(OR(G143="",H143="",M143="",N143="",O143="",P143="",X143=""),"INCOMPLETO",IF(AI143&lt;&gt;"","REVISAR",IF(AND(AF143&lt;&gt;"",AG143="ESCANEADO"),"LISTO_COMPLETO","LISTO_SIN_BARCODE")))))</f>
        <v/>
      </c>
      <c r="AI143" s="17">
        <f>IF(NOT(OR(B143="EXISTENTE",COUNTA(G143,H143,I143,J143,K143,M143,N143,U143,V143,X143,Y143,Z143,AF143,AJ143)&gt;0)),"",TEXTJOIN(" | ",TRUE,IF(A143="","Falta ID staging",""),IF(COUNTIF($A$5:$A$445,A143)&gt;1,"ID staging duplicado",""),IF(G143="","Falta nombre",""),IF(LEN(G143)&gt;150,"Nombre &gt;150 caracteres",""),IF(H143="","Falta categoría",IF(COUNTIF(CategoriasLista,H143)=0,"Categoría inválida","")),IF(M143="","Falta precio compra",IF(OR(NOT(ISNUMBER(M143)),M143&lt;0),"Precio compra inválido","")),IF(N143="","Falta precio venta",IF(OR(NOT(ISNUMBER(N143)),N143&lt;=0,N143&lt;M143),"Precio venta inválido","")),IF(O143="","Falta stock mínimo",IF(OR(NOT(ISNUMBER(O143)),O143&lt;0,MOD(O143,1)&lt;&gt;0),"Stock mínimo inválido","")),IF(P143="","Falta unidad",IF(COUNTIF(UnidadesLista,P143)=0,"Unidad inválida","")),IF(AND(K143&lt;&gt;"",COUNTIF(ProveedoresLista,K143)=0),"Proveedor no catalogado",""),IF(X143="","Falta cantidad contada",IF(OR(NOT(ISNUMBER(X143)),X143&lt;0,ABS(X143*1000-ROUND(X143*1000,0))&gt;0.0000001),"Cantidad inválida",IF(AND(Q143="NO",MOD(X143,1)&lt;&gt;0),"Cantidad fraccionaria no permitida",""))),IF(AND(R143="SI",OR(NOT(ISNUMBER(S143)),S143&lt;1,MOD(S143,1)&lt;&gt;0)),"Empaque inválido",""),IF(OR(AND(AF143="",AG143="ESCANEADO"),AND(AF143&lt;&gt;"",AG143&lt;&gt;"ESCANEADO")),"Barcode/estado inconsistente",""),IF(AK143&lt;&gt;"",AK143,"")))</f>
        <v/>
      </c>
      <c r="AJ143" s="21" t="n"/>
      <c r="AK143" s="17">
        <f>IF(G143="","",IF(OR(COUNTIFS($G$5:$G$445,G143,$I$5:$I$445,I143,$J$5:$J$445,J143,$P$5:$P$445,P143)&gt;1,AND(AF143&lt;&gt;"",COUNTIF($AF$5:$AF$445,AF143)&gt;1)),"REVISAR_POSIBLE_DUPLICADO",""))</f>
        <v/>
      </c>
    </row>
    <row r="144">
      <c r="A144" s="17" t="inlineStr">
        <is>
          <t>68a43597-58ca-5b3f-99a7-7e1305528aa2</t>
        </is>
      </c>
      <c r="B144" s="18" t="inlineStr">
        <is>
          <t>EXISTENTE</t>
        </is>
      </c>
      <c r="C144" s="18" t="inlineStr">
        <is>
          <t>ACTIVO</t>
        </is>
      </c>
      <c r="D144" s="18" t="n">
        <v>179</v>
      </c>
      <c r="E144" s="17" t="inlineStr">
        <is>
          <t>f2526b2a-adc8-450a-8443-ae29efcaacce</t>
        </is>
      </c>
      <c r="F144" s="17" t="inlineStr">
        <is>
          <t>PRB-FER-0127</t>
        </is>
      </c>
      <c r="G144" s="19" t="inlineStr">
        <is>
          <t>Recogedor metálico</t>
        </is>
      </c>
      <c r="H144" s="19" t="inlineStr">
        <is>
          <t>Limpieza y mantenimiento</t>
        </is>
      </c>
      <c r="I144" s="20" t="inlineStr">
        <is>
          <t>Genérico</t>
        </is>
      </c>
      <c r="J144" s="20" t="inlineStr">
        <is>
          <t>Unidad</t>
        </is>
      </c>
      <c r="K144" s="21" t="inlineStr">
        <is>
          <t>Proveedor Prueba Plomería Nacional</t>
        </is>
      </c>
      <c r="L144" s="18" t="n">
        <v>15</v>
      </c>
      <c r="M144" s="22" t="n">
        <v>8500</v>
      </c>
      <c r="N144" s="22" t="n">
        <v>12000</v>
      </c>
      <c r="O144" s="23" t="n">
        <v>6</v>
      </c>
      <c r="P144" s="24" t="inlineStr">
        <is>
          <t>UNIDAD</t>
        </is>
      </c>
      <c r="Q144" s="20" t="inlineStr">
        <is>
          <t>NO</t>
        </is>
      </c>
      <c r="R144" s="20" t="inlineStr">
        <is>
          <t>NO</t>
        </is>
      </c>
      <c r="S144" s="25" t="n">
        <v>1</v>
      </c>
      <c r="T144" s="20" t="inlineStr">
        <is>
          <t>NO</t>
        </is>
      </c>
      <c r="U144" s="20" t="inlineStr">
        <is>
          <t>Bodega de pruebas</t>
        </is>
      </c>
      <c r="V144" s="21" t="inlineStr">
        <is>
          <t>Producto ficticio de prueba para validacion de busquedas, inventario, ventas y compras en FERREPRO. No corresponde a inventario real.</t>
        </is>
      </c>
      <c r="W144" s="26" t="n">
        <v>25</v>
      </c>
      <c r="X144" s="27" t="n"/>
      <c r="Y144" s="20" t="n"/>
      <c r="Z144" s="20" t="n"/>
      <c r="AA144" s="26">
        <f>IF(X144="","",X144-IF(W144="",0,W144))</f>
        <v/>
      </c>
      <c r="AB144" s="28">
        <f>IF(OR(X144="",M144=""),"",X144*M144)</f>
        <v/>
      </c>
      <c r="AC144" s="28">
        <f>IF(OR(X144="",N144=""),"",X144*N144)</f>
        <v/>
      </c>
      <c r="AD144" s="28">
        <f>IF(OR(M144="",N144=""),"",N144-M144)</f>
        <v/>
      </c>
      <c r="AE144" s="29">
        <f>IFERROR(IF(M144&gt;0,(N144-M144)/M144,""),"")</f>
        <v/>
      </c>
      <c r="AF144" s="30" t="n"/>
      <c r="AG144" s="30" t="inlineStr">
        <is>
          <t>PENDIENTE</t>
        </is>
      </c>
      <c r="AH144" s="18">
        <f>IF(NOT(OR(B144="EXISTENTE",COUNTA(G144,H144,I144,J144,K144,M144,N144,U144,V144,X144,Y144,Z144,AF144,AJ144)&gt;0)),"",IF(AK144&lt;&gt;"","REVISAR",IF(OR(G144="",H144="",M144="",N144="",O144="",P144="",X144=""),"INCOMPLETO",IF(AI144&lt;&gt;"","REVISAR",IF(AND(AF144&lt;&gt;"",AG144="ESCANEADO"),"LISTO_COMPLETO","LISTO_SIN_BARCODE")))))</f>
        <v/>
      </c>
      <c r="AI144" s="17">
        <f>IF(NOT(OR(B144="EXISTENTE",COUNTA(G144,H144,I144,J144,K144,M144,N144,U144,V144,X144,Y144,Z144,AF144,AJ144)&gt;0)),"",TEXTJOIN(" | ",TRUE,IF(A144="","Falta ID staging",""),IF(COUNTIF($A$5:$A$445,A144)&gt;1,"ID staging duplicado",""),IF(G144="","Falta nombre",""),IF(LEN(G144)&gt;150,"Nombre &gt;150 caracteres",""),IF(H144="","Falta categoría",IF(COUNTIF(CategoriasLista,H144)=0,"Categoría inválida","")),IF(M144="","Falta precio compra",IF(OR(NOT(ISNUMBER(M144)),M144&lt;0),"Precio compra inválido","")),IF(N144="","Falta precio venta",IF(OR(NOT(ISNUMBER(N144)),N144&lt;=0,N144&lt;M144),"Precio venta inválido","")),IF(O144="","Falta stock mínimo",IF(OR(NOT(ISNUMBER(O144)),O144&lt;0,MOD(O144,1)&lt;&gt;0),"Stock mínimo inválido","")),IF(P144="","Falta unidad",IF(COUNTIF(UnidadesLista,P144)=0,"Unidad inválida","")),IF(AND(K144&lt;&gt;"",COUNTIF(ProveedoresLista,K144)=0),"Proveedor no catalogado",""),IF(X144="","Falta cantidad contada",IF(OR(NOT(ISNUMBER(X144)),X144&lt;0,ABS(X144*1000-ROUND(X144*1000,0))&gt;0.0000001),"Cantidad inválida",IF(AND(Q144="NO",MOD(X144,1)&lt;&gt;0),"Cantidad fraccionaria no permitida",""))),IF(AND(R144="SI",OR(NOT(ISNUMBER(S144)),S144&lt;1,MOD(S144,1)&lt;&gt;0)),"Empaque inválido",""),IF(OR(AND(AF144="",AG144="ESCANEADO"),AND(AF144&lt;&gt;"",AG144&lt;&gt;"ESCANEADO")),"Barcode/estado inconsistente",""),IF(AK144&lt;&gt;"",AK144,"")))</f>
        <v/>
      </c>
      <c r="AJ144" s="21" t="n"/>
      <c r="AK144" s="17">
        <f>IF(G144="","",IF(OR(COUNTIFS($G$5:$G$445,G144,$I$5:$I$445,I144,$J$5:$J$445,J144,$P$5:$P$445,P144)&gt;1,AND(AF144&lt;&gt;"",COUNTIF($AF$5:$AF$445,AF144)&gt;1)),"REVISAR_POSIBLE_DUPLICADO",""))</f>
        <v/>
      </c>
    </row>
    <row r="145">
      <c r="A145" s="17" t="inlineStr">
        <is>
          <t>04a683ae-e374-5b30-a129-7592c190cf25</t>
        </is>
      </c>
      <c r="B145" s="18" t="inlineStr">
        <is>
          <t>EXISTENTE</t>
        </is>
      </c>
      <c r="C145" s="18" t="inlineStr">
        <is>
          <t>ACTIVO</t>
        </is>
      </c>
      <c r="D145" s="18" t="n">
        <v>180</v>
      </c>
      <c r="E145" s="17" t="inlineStr">
        <is>
          <t>0f98595a-dd66-4ff1-8bc9-ab0777f769ea</t>
        </is>
      </c>
      <c r="F145" s="17" t="inlineStr">
        <is>
          <t>PRB-FER-0128</t>
        </is>
      </c>
      <c r="G145" s="19" t="inlineStr">
        <is>
          <t>Trapo industrial absorbente</t>
        </is>
      </c>
      <c r="H145" s="19" t="inlineStr">
        <is>
          <t>Limpieza y mantenimiento</t>
        </is>
      </c>
      <c r="I145" s="20" t="inlineStr">
        <is>
          <t>Genérico</t>
        </is>
      </c>
      <c r="J145" s="20" t="inlineStr">
        <is>
          <t>Unidad</t>
        </is>
      </c>
      <c r="K145" s="21" t="inlineStr">
        <is>
          <t>Proveedor Prueba Seguridad y Protección</t>
        </is>
      </c>
      <c r="L145" s="18" t="n">
        <v>16</v>
      </c>
      <c r="M145" s="22" t="n">
        <v>3500</v>
      </c>
      <c r="N145" s="22" t="n">
        <v>5000</v>
      </c>
      <c r="O145" s="23" t="n">
        <v>20</v>
      </c>
      <c r="P145" s="24" t="inlineStr">
        <is>
          <t>UNIDAD</t>
        </is>
      </c>
      <c r="Q145" s="20" t="inlineStr">
        <is>
          <t>NO</t>
        </is>
      </c>
      <c r="R145" s="20" t="inlineStr">
        <is>
          <t>NO</t>
        </is>
      </c>
      <c r="S145" s="25" t="n">
        <v>1</v>
      </c>
      <c r="T145" s="20" t="inlineStr">
        <is>
          <t>NO</t>
        </is>
      </c>
      <c r="U145" s="20" t="inlineStr">
        <is>
          <t>Bodega de pruebas</t>
        </is>
      </c>
      <c r="V145" s="21" t="inlineStr">
        <is>
          <t>Producto ficticio de prueba para validacion de busquedas, inventario, ventas y compras en FERREPRO. No corresponde a inventario real.</t>
        </is>
      </c>
      <c r="W145" s="26" t="n">
        <v>80</v>
      </c>
      <c r="X145" s="27" t="n"/>
      <c r="Y145" s="20" t="n"/>
      <c r="Z145" s="20" t="n"/>
      <c r="AA145" s="26">
        <f>IF(X145="","",X145-IF(W145="",0,W145))</f>
        <v/>
      </c>
      <c r="AB145" s="28">
        <f>IF(OR(X145="",M145=""),"",X145*M145)</f>
        <v/>
      </c>
      <c r="AC145" s="28">
        <f>IF(OR(X145="",N145=""),"",X145*N145)</f>
        <v/>
      </c>
      <c r="AD145" s="28">
        <f>IF(OR(M145="",N145=""),"",N145-M145)</f>
        <v/>
      </c>
      <c r="AE145" s="29">
        <f>IFERROR(IF(M145&gt;0,(N145-M145)/M145,""),"")</f>
        <v/>
      </c>
      <c r="AF145" s="30" t="n"/>
      <c r="AG145" s="30" t="inlineStr">
        <is>
          <t>PENDIENTE</t>
        </is>
      </c>
      <c r="AH145" s="18">
        <f>IF(NOT(OR(B145="EXISTENTE",COUNTA(G145,H145,I145,J145,K145,M145,N145,U145,V145,X145,Y145,Z145,AF145,AJ145)&gt;0)),"",IF(AK145&lt;&gt;"","REVISAR",IF(OR(G145="",H145="",M145="",N145="",O145="",P145="",X145=""),"INCOMPLETO",IF(AI145&lt;&gt;"","REVISAR",IF(AND(AF145&lt;&gt;"",AG145="ESCANEADO"),"LISTO_COMPLETO","LISTO_SIN_BARCODE")))))</f>
        <v/>
      </c>
      <c r="AI145" s="17">
        <f>IF(NOT(OR(B145="EXISTENTE",COUNTA(G145,H145,I145,J145,K145,M145,N145,U145,V145,X145,Y145,Z145,AF145,AJ145)&gt;0)),"",TEXTJOIN(" | ",TRUE,IF(A145="","Falta ID staging",""),IF(COUNTIF($A$5:$A$445,A145)&gt;1,"ID staging duplicado",""),IF(G145="","Falta nombre",""),IF(LEN(G145)&gt;150,"Nombre &gt;150 caracteres",""),IF(H145="","Falta categoría",IF(COUNTIF(CategoriasLista,H145)=0,"Categoría inválida","")),IF(M145="","Falta precio compra",IF(OR(NOT(ISNUMBER(M145)),M145&lt;0),"Precio compra inválido","")),IF(N145="","Falta precio venta",IF(OR(NOT(ISNUMBER(N145)),N145&lt;=0,N145&lt;M145),"Precio venta inválido","")),IF(O145="","Falta stock mínimo",IF(OR(NOT(ISNUMBER(O145)),O145&lt;0,MOD(O145,1)&lt;&gt;0),"Stock mínimo inválido","")),IF(P145="","Falta unidad",IF(COUNTIF(UnidadesLista,P145)=0,"Unidad inválida","")),IF(AND(K145&lt;&gt;"",COUNTIF(ProveedoresLista,K145)=0),"Proveedor no catalogado",""),IF(X145="","Falta cantidad contada",IF(OR(NOT(ISNUMBER(X145)),X145&lt;0,ABS(X145*1000-ROUND(X145*1000,0))&gt;0.0000001),"Cantidad inválida",IF(AND(Q145="NO",MOD(X145,1)&lt;&gt;0),"Cantidad fraccionaria no permitida",""))),IF(AND(R145="SI",OR(NOT(ISNUMBER(S145)),S145&lt;1,MOD(S145,1)&lt;&gt;0)),"Empaque inválido",""),IF(OR(AND(AF145="",AG145="ESCANEADO"),AND(AF145&lt;&gt;"",AG145&lt;&gt;"ESCANEADO")),"Barcode/estado inconsistente",""),IF(AK145&lt;&gt;"",AK145,"")))</f>
        <v/>
      </c>
      <c r="AJ145" s="21" t="n"/>
      <c r="AK145" s="17">
        <f>IF(G145="","",IF(OR(COUNTIFS($G$5:$G$445,G145,$I$5:$I$445,I145,$J$5:$J$445,J145,$P$5:$P$445,P145)&gt;1,AND(AF145&lt;&gt;"",COUNTIF($AF$5:$AF$445,AF145)&gt;1)),"REVISAR_POSIBLE_DUPLICADO",""))</f>
        <v/>
      </c>
    </row>
    <row r="146">
      <c r="A146" s="17" t="inlineStr">
        <is>
          <t>65fe88ba-dbf5-5f60-ab1e-2a7d7fc81b33</t>
        </is>
      </c>
      <c r="B146" s="18" t="inlineStr">
        <is>
          <t>NUEVO</t>
        </is>
      </c>
      <c r="C146" s="18" t="inlineStr">
        <is>
          <t>ACTIVO</t>
        </is>
      </c>
      <c r="D146" s="18" t="n"/>
      <c r="E146" s="17" t="n"/>
      <c r="F146" s="17" t="n"/>
      <c r="G146" s="19" t="n"/>
      <c r="H146" s="19" t="n"/>
      <c r="I146" s="20" t="n"/>
      <c r="J146" s="20" t="n"/>
      <c r="K146" s="21" t="n"/>
      <c r="L146" s="18" t="n"/>
      <c r="M146" s="22" t="n"/>
      <c r="N146" s="22" t="n"/>
      <c r="O146" s="23" t="n">
        <v>10</v>
      </c>
      <c r="P146" s="24" t="inlineStr">
        <is>
          <t>UNIDAD</t>
        </is>
      </c>
      <c r="Q146" s="20" t="inlineStr">
        <is>
          <t>NO</t>
        </is>
      </c>
      <c r="R146" s="20" t="inlineStr">
        <is>
          <t>NO</t>
        </is>
      </c>
      <c r="S146" s="25" t="n">
        <v>1</v>
      </c>
      <c r="T146" s="20" t="inlineStr">
        <is>
          <t>NO</t>
        </is>
      </c>
      <c r="U146" s="20" t="n"/>
      <c r="V146" s="21" t="n"/>
      <c r="W146" s="26" t="n"/>
      <c r="X146" s="27" t="n"/>
      <c r="Y146" s="20" t="n"/>
      <c r="Z146" s="20" t="n"/>
      <c r="AA146" s="26">
        <f>IF(X146="","",X146-IF(W146="",0,W146))</f>
        <v/>
      </c>
      <c r="AB146" s="28">
        <f>IF(OR(X146="",M146=""),"",X146*M146)</f>
        <v/>
      </c>
      <c r="AC146" s="28">
        <f>IF(OR(X146="",N146=""),"",X146*N146)</f>
        <v/>
      </c>
      <c r="AD146" s="28">
        <f>IF(OR(M146="",N146=""),"",N146-M146)</f>
        <v/>
      </c>
      <c r="AE146" s="29">
        <f>IFERROR(IF(M146&gt;0,(N146-M146)/M146,""),"")</f>
        <v/>
      </c>
      <c r="AF146" s="30" t="n"/>
      <c r="AG146" s="30" t="inlineStr">
        <is>
          <t>PENDIENTE</t>
        </is>
      </c>
      <c r="AH146" s="18">
        <f>IF(NOT(OR(B146="EXISTENTE",COUNTA(G146,H146,I146,J146,K146,M146,N146,U146,V146,X146,Y146,Z146,AF146,AJ146)&gt;0)),"",IF(AK146&lt;&gt;"","REVISAR",IF(OR(G146="",H146="",M146="",N146="",O146="",P146="",X146=""),"INCOMPLETO",IF(AI146&lt;&gt;"","REVISAR",IF(AND(AF146&lt;&gt;"",AG146="ESCANEADO"),"LISTO_COMPLETO","LISTO_SIN_BARCODE")))))</f>
        <v/>
      </c>
      <c r="AI146" s="17">
        <f>IF(NOT(OR(B146="EXISTENTE",COUNTA(G146,H146,I146,J146,K146,M146,N146,U146,V146,X146,Y146,Z146,AF146,AJ146)&gt;0)),"",TEXTJOIN(" | ",TRUE,IF(A146="","Falta ID staging",""),IF(COUNTIF($A$5:$A$445,A146)&gt;1,"ID staging duplicado",""),IF(G146="","Falta nombre",""),IF(LEN(G146)&gt;150,"Nombre &gt;150 caracteres",""),IF(H146="","Falta categoría",IF(COUNTIF(CategoriasLista,H146)=0,"Categoría inválida","")),IF(M146="","Falta precio compra",IF(OR(NOT(ISNUMBER(M146)),M146&lt;0),"Precio compra inválido","")),IF(N146="","Falta precio venta",IF(OR(NOT(ISNUMBER(N146)),N146&lt;=0,N146&lt;M146),"Precio venta inválido","")),IF(O146="","Falta stock mínimo",IF(OR(NOT(ISNUMBER(O146)),O146&lt;0,MOD(O146,1)&lt;&gt;0),"Stock mínimo inválido","")),IF(P146="","Falta unidad",IF(COUNTIF(UnidadesLista,P146)=0,"Unidad inválida","")),IF(AND(K146&lt;&gt;"",COUNTIF(ProveedoresLista,K146)=0),"Proveedor no catalogado",""),IF(X146="","Falta cantidad contada",IF(OR(NOT(ISNUMBER(X146)),X146&lt;0,ABS(X146*1000-ROUND(X146*1000,0))&gt;0.0000001),"Cantidad inválida",IF(AND(Q146="NO",MOD(X146,1)&lt;&gt;0),"Cantidad fraccionaria no permitida",""))),IF(AND(R146="SI",OR(NOT(ISNUMBER(S146)),S146&lt;1,MOD(S146,1)&lt;&gt;0)),"Empaque inválido",""),IF(OR(AND(AF146="",AG146="ESCANEADO"),AND(AF146&lt;&gt;"",AG146&lt;&gt;"ESCANEADO")),"Barcode/estado inconsistente",""),IF(AK146&lt;&gt;"",AK146,"")))</f>
        <v/>
      </c>
      <c r="AJ146" s="21" t="n"/>
      <c r="AK146" s="17">
        <f>IF(G146="","",IF(OR(COUNTIFS($G$5:$G$445,G146,$I$5:$I$445,I146,$J$5:$J$445,J146,$P$5:$P$445,P146)&gt;1,AND(AF146&lt;&gt;"",COUNTIF($AF$5:$AF$445,AF146)&gt;1)),"REVISAR_POSIBLE_DUPLICADO",""))</f>
        <v/>
      </c>
    </row>
    <row r="147">
      <c r="A147" s="17" t="inlineStr">
        <is>
          <t>35144d8e-0e8f-5b89-bd2e-0cc0ef460f0a</t>
        </is>
      </c>
      <c r="B147" s="18" t="inlineStr">
        <is>
          <t>NUEVO</t>
        </is>
      </c>
      <c r="C147" s="18" t="inlineStr">
        <is>
          <t>ACTIVO</t>
        </is>
      </c>
      <c r="D147" s="18" t="n"/>
      <c r="E147" s="17" t="n"/>
      <c r="F147" s="17" t="n"/>
      <c r="G147" s="19" t="n"/>
      <c r="H147" s="19" t="n"/>
      <c r="I147" s="20" t="n"/>
      <c r="J147" s="20" t="n"/>
      <c r="K147" s="21" t="n"/>
      <c r="L147" s="18" t="n"/>
      <c r="M147" s="22" t="n"/>
      <c r="N147" s="22" t="n"/>
      <c r="O147" s="23" t="n">
        <v>10</v>
      </c>
      <c r="P147" s="24" t="inlineStr">
        <is>
          <t>UNIDAD</t>
        </is>
      </c>
      <c r="Q147" s="20" t="inlineStr">
        <is>
          <t>NO</t>
        </is>
      </c>
      <c r="R147" s="20" t="inlineStr">
        <is>
          <t>NO</t>
        </is>
      </c>
      <c r="S147" s="25" t="n">
        <v>1</v>
      </c>
      <c r="T147" s="20" t="inlineStr">
        <is>
          <t>NO</t>
        </is>
      </c>
      <c r="U147" s="20" t="n"/>
      <c r="V147" s="21" t="n"/>
      <c r="W147" s="26" t="n"/>
      <c r="X147" s="27" t="n"/>
      <c r="Y147" s="20" t="n"/>
      <c r="Z147" s="20" t="n"/>
      <c r="AA147" s="26">
        <f>IF(X147="","",X147-IF(W147="",0,W147))</f>
        <v/>
      </c>
      <c r="AB147" s="28">
        <f>IF(OR(X147="",M147=""),"",X147*M147)</f>
        <v/>
      </c>
      <c r="AC147" s="28">
        <f>IF(OR(X147="",N147=""),"",X147*N147)</f>
        <v/>
      </c>
      <c r="AD147" s="28">
        <f>IF(OR(M147="",N147=""),"",N147-M147)</f>
        <v/>
      </c>
      <c r="AE147" s="29">
        <f>IFERROR(IF(M147&gt;0,(N147-M147)/M147,""),"")</f>
        <v/>
      </c>
      <c r="AF147" s="30" t="n"/>
      <c r="AG147" s="30" t="inlineStr">
        <is>
          <t>PENDIENTE</t>
        </is>
      </c>
      <c r="AH147" s="18">
        <f>IF(NOT(OR(B147="EXISTENTE",COUNTA(G147,H147,I147,J147,K147,M147,N147,U147,V147,X147,Y147,Z147,AF147,AJ147)&gt;0)),"",IF(AK147&lt;&gt;"","REVISAR",IF(OR(G147="",H147="",M147="",N147="",O147="",P147="",X147=""),"INCOMPLETO",IF(AI147&lt;&gt;"","REVISAR",IF(AND(AF147&lt;&gt;"",AG147="ESCANEADO"),"LISTO_COMPLETO","LISTO_SIN_BARCODE")))))</f>
        <v/>
      </c>
      <c r="AI147" s="17">
        <f>IF(NOT(OR(B147="EXISTENTE",COUNTA(G147,H147,I147,J147,K147,M147,N147,U147,V147,X147,Y147,Z147,AF147,AJ147)&gt;0)),"",TEXTJOIN(" | ",TRUE,IF(A147="","Falta ID staging",""),IF(COUNTIF($A$5:$A$445,A147)&gt;1,"ID staging duplicado",""),IF(G147="","Falta nombre",""),IF(LEN(G147)&gt;150,"Nombre &gt;150 caracteres",""),IF(H147="","Falta categoría",IF(COUNTIF(CategoriasLista,H147)=0,"Categoría inválida","")),IF(M147="","Falta precio compra",IF(OR(NOT(ISNUMBER(M147)),M147&lt;0),"Precio compra inválido","")),IF(N147="","Falta precio venta",IF(OR(NOT(ISNUMBER(N147)),N147&lt;=0,N147&lt;M147),"Precio venta inválido","")),IF(O147="","Falta stock mínimo",IF(OR(NOT(ISNUMBER(O147)),O147&lt;0,MOD(O147,1)&lt;&gt;0),"Stock mínimo inválido","")),IF(P147="","Falta unidad",IF(COUNTIF(UnidadesLista,P147)=0,"Unidad inválida","")),IF(AND(K147&lt;&gt;"",COUNTIF(ProveedoresLista,K147)=0),"Proveedor no catalogado",""),IF(X147="","Falta cantidad contada",IF(OR(NOT(ISNUMBER(X147)),X147&lt;0,ABS(X147*1000-ROUND(X147*1000,0))&gt;0.0000001),"Cantidad inválida",IF(AND(Q147="NO",MOD(X147,1)&lt;&gt;0),"Cantidad fraccionaria no permitida",""))),IF(AND(R147="SI",OR(NOT(ISNUMBER(S147)),S147&lt;1,MOD(S147,1)&lt;&gt;0)),"Empaque inválido",""),IF(OR(AND(AF147="",AG147="ESCANEADO"),AND(AF147&lt;&gt;"",AG147&lt;&gt;"ESCANEADO")),"Barcode/estado inconsistente",""),IF(AK147&lt;&gt;"",AK147,"")))</f>
        <v/>
      </c>
      <c r="AJ147" s="21" t="n"/>
      <c r="AK147" s="17">
        <f>IF(G147="","",IF(OR(COUNTIFS($G$5:$G$445,G147,$I$5:$I$445,I147,$J$5:$J$445,J147,$P$5:$P$445,P147)&gt;1,AND(AF147&lt;&gt;"",COUNTIF($AF$5:$AF$445,AF147)&gt;1)),"REVISAR_POSIBLE_DUPLICADO",""))</f>
        <v/>
      </c>
    </row>
    <row r="148">
      <c r="A148" s="17" t="inlineStr">
        <is>
          <t>bafd0102-f9a5-5395-8b33-a5ad31be107f</t>
        </is>
      </c>
      <c r="B148" s="18" t="inlineStr">
        <is>
          <t>NUEVO</t>
        </is>
      </c>
      <c r="C148" s="18" t="inlineStr">
        <is>
          <t>ACTIVO</t>
        </is>
      </c>
      <c r="D148" s="18" t="n"/>
      <c r="E148" s="17" t="n"/>
      <c r="F148" s="17" t="n"/>
      <c r="G148" s="19" t="n"/>
      <c r="H148" s="19" t="n"/>
      <c r="I148" s="20" t="n"/>
      <c r="J148" s="20" t="n"/>
      <c r="K148" s="21" t="n"/>
      <c r="L148" s="18" t="n"/>
      <c r="M148" s="22" t="n"/>
      <c r="N148" s="22" t="n"/>
      <c r="O148" s="23" t="n">
        <v>10</v>
      </c>
      <c r="P148" s="24" t="inlineStr">
        <is>
          <t>UNIDAD</t>
        </is>
      </c>
      <c r="Q148" s="20" t="inlineStr">
        <is>
          <t>NO</t>
        </is>
      </c>
      <c r="R148" s="20" t="inlineStr">
        <is>
          <t>NO</t>
        </is>
      </c>
      <c r="S148" s="25" t="n">
        <v>1</v>
      </c>
      <c r="T148" s="20" t="inlineStr">
        <is>
          <t>NO</t>
        </is>
      </c>
      <c r="U148" s="20" t="n"/>
      <c r="V148" s="21" t="n"/>
      <c r="W148" s="26" t="n"/>
      <c r="X148" s="27" t="n"/>
      <c r="Y148" s="20" t="n"/>
      <c r="Z148" s="20" t="n"/>
      <c r="AA148" s="26">
        <f>IF(X148="","",X148-IF(W148="",0,W148))</f>
        <v/>
      </c>
      <c r="AB148" s="28">
        <f>IF(OR(X148="",M148=""),"",X148*M148)</f>
        <v/>
      </c>
      <c r="AC148" s="28">
        <f>IF(OR(X148="",N148=""),"",X148*N148)</f>
        <v/>
      </c>
      <c r="AD148" s="28">
        <f>IF(OR(M148="",N148=""),"",N148-M148)</f>
        <v/>
      </c>
      <c r="AE148" s="29">
        <f>IFERROR(IF(M148&gt;0,(N148-M148)/M148,""),"")</f>
        <v/>
      </c>
      <c r="AF148" s="30" t="n"/>
      <c r="AG148" s="30" t="inlineStr">
        <is>
          <t>PENDIENTE</t>
        </is>
      </c>
      <c r="AH148" s="18">
        <f>IF(NOT(OR(B148="EXISTENTE",COUNTA(G148,H148,I148,J148,K148,M148,N148,U148,V148,X148,Y148,Z148,AF148,AJ148)&gt;0)),"",IF(AK148&lt;&gt;"","REVISAR",IF(OR(G148="",H148="",M148="",N148="",O148="",P148="",X148=""),"INCOMPLETO",IF(AI148&lt;&gt;"","REVISAR",IF(AND(AF148&lt;&gt;"",AG148="ESCANEADO"),"LISTO_COMPLETO","LISTO_SIN_BARCODE")))))</f>
        <v/>
      </c>
      <c r="AI148" s="17">
        <f>IF(NOT(OR(B148="EXISTENTE",COUNTA(G148,H148,I148,J148,K148,M148,N148,U148,V148,X148,Y148,Z148,AF148,AJ148)&gt;0)),"",TEXTJOIN(" | ",TRUE,IF(A148="","Falta ID staging",""),IF(COUNTIF($A$5:$A$445,A148)&gt;1,"ID staging duplicado",""),IF(G148="","Falta nombre",""),IF(LEN(G148)&gt;150,"Nombre &gt;150 caracteres",""),IF(H148="","Falta categoría",IF(COUNTIF(CategoriasLista,H148)=0,"Categoría inválida","")),IF(M148="","Falta precio compra",IF(OR(NOT(ISNUMBER(M148)),M148&lt;0),"Precio compra inválido","")),IF(N148="","Falta precio venta",IF(OR(NOT(ISNUMBER(N148)),N148&lt;=0,N148&lt;M148),"Precio venta inválido","")),IF(O148="","Falta stock mínimo",IF(OR(NOT(ISNUMBER(O148)),O148&lt;0,MOD(O148,1)&lt;&gt;0),"Stock mínimo inválido","")),IF(P148="","Falta unidad",IF(COUNTIF(UnidadesLista,P148)=0,"Unidad inválida","")),IF(AND(K148&lt;&gt;"",COUNTIF(ProveedoresLista,K148)=0),"Proveedor no catalogado",""),IF(X148="","Falta cantidad contada",IF(OR(NOT(ISNUMBER(X148)),X148&lt;0,ABS(X148*1000-ROUND(X148*1000,0))&gt;0.0000001),"Cantidad inválida",IF(AND(Q148="NO",MOD(X148,1)&lt;&gt;0),"Cantidad fraccionaria no permitida",""))),IF(AND(R148="SI",OR(NOT(ISNUMBER(S148)),S148&lt;1,MOD(S148,1)&lt;&gt;0)),"Empaque inválido",""),IF(OR(AND(AF148="",AG148="ESCANEADO"),AND(AF148&lt;&gt;"",AG148&lt;&gt;"ESCANEADO")),"Barcode/estado inconsistente",""),IF(AK148&lt;&gt;"",AK148,"")))</f>
        <v/>
      </c>
      <c r="AJ148" s="21" t="n"/>
      <c r="AK148" s="17">
        <f>IF(G148="","",IF(OR(COUNTIFS($G$5:$G$445,G148,$I$5:$I$445,I148,$J$5:$J$445,J148,$P$5:$P$445,P148)&gt;1,AND(AF148&lt;&gt;"",COUNTIF($AF$5:$AF$445,AF148)&gt;1)),"REVISAR_POSIBLE_DUPLICADO",""))</f>
        <v/>
      </c>
    </row>
    <row r="149">
      <c r="A149" s="17" t="inlineStr">
        <is>
          <t>ad3b9f18-db71-5411-9806-eee3f0393ac6</t>
        </is>
      </c>
      <c r="B149" s="18" t="inlineStr">
        <is>
          <t>NUEVO</t>
        </is>
      </c>
      <c r="C149" s="18" t="inlineStr">
        <is>
          <t>ACTIVO</t>
        </is>
      </c>
      <c r="D149" s="18" t="n"/>
      <c r="E149" s="17" t="n"/>
      <c r="F149" s="17" t="n"/>
      <c r="G149" s="19" t="n"/>
      <c r="H149" s="19" t="n"/>
      <c r="I149" s="20" t="n"/>
      <c r="J149" s="20" t="n"/>
      <c r="K149" s="21" t="n"/>
      <c r="L149" s="18" t="n"/>
      <c r="M149" s="22" t="n"/>
      <c r="N149" s="22" t="n"/>
      <c r="O149" s="23" t="n">
        <v>10</v>
      </c>
      <c r="P149" s="24" t="inlineStr">
        <is>
          <t>UNIDAD</t>
        </is>
      </c>
      <c r="Q149" s="20" t="inlineStr">
        <is>
          <t>NO</t>
        </is>
      </c>
      <c r="R149" s="20" t="inlineStr">
        <is>
          <t>NO</t>
        </is>
      </c>
      <c r="S149" s="25" t="n">
        <v>1</v>
      </c>
      <c r="T149" s="20" t="inlineStr">
        <is>
          <t>NO</t>
        </is>
      </c>
      <c r="U149" s="20" t="n"/>
      <c r="V149" s="21" t="n"/>
      <c r="W149" s="26" t="n"/>
      <c r="X149" s="27" t="n"/>
      <c r="Y149" s="20" t="n"/>
      <c r="Z149" s="20" t="n"/>
      <c r="AA149" s="26">
        <f>IF(X149="","",X149-IF(W149="",0,W149))</f>
        <v/>
      </c>
      <c r="AB149" s="28">
        <f>IF(OR(X149="",M149=""),"",X149*M149)</f>
        <v/>
      </c>
      <c r="AC149" s="28">
        <f>IF(OR(X149="",N149=""),"",X149*N149)</f>
        <v/>
      </c>
      <c r="AD149" s="28">
        <f>IF(OR(M149="",N149=""),"",N149-M149)</f>
        <v/>
      </c>
      <c r="AE149" s="29">
        <f>IFERROR(IF(M149&gt;0,(N149-M149)/M149,""),"")</f>
        <v/>
      </c>
      <c r="AF149" s="30" t="n"/>
      <c r="AG149" s="30" t="inlineStr">
        <is>
          <t>PENDIENTE</t>
        </is>
      </c>
      <c r="AH149" s="18">
        <f>IF(NOT(OR(B149="EXISTENTE",COUNTA(G149,H149,I149,J149,K149,M149,N149,U149,V149,X149,Y149,Z149,AF149,AJ149)&gt;0)),"",IF(AK149&lt;&gt;"","REVISAR",IF(OR(G149="",H149="",M149="",N149="",O149="",P149="",X149=""),"INCOMPLETO",IF(AI149&lt;&gt;"","REVISAR",IF(AND(AF149&lt;&gt;"",AG149="ESCANEADO"),"LISTO_COMPLETO","LISTO_SIN_BARCODE")))))</f>
        <v/>
      </c>
      <c r="AI149" s="17">
        <f>IF(NOT(OR(B149="EXISTENTE",COUNTA(G149,H149,I149,J149,K149,M149,N149,U149,V149,X149,Y149,Z149,AF149,AJ149)&gt;0)),"",TEXTJOIN(" | ",TRUE,IF(A149="","Falta ID staging",""),IF(COUNTIF($A$5:$A$445,A149)&gt;1,"ID staging duplicado",""),IF(G149="","Falta nombre",""),IF(LEN(G149)&gt;150,"Nombre &gt;150 caracteres",""),IF(H149="","Falta categoría",IF(COUNTIF(CategoriasLista,H149)=0,"Categoría inválida","")),IF(M149="","Falta precio compra",IF(OR(NOT(ISNUMBER(M149)),M149&lt;0),"Precio compra inválido","")),IF(N149="","Falta precio venta",IF(OR(NOT(ISNUMBER(N149)),N149&lt;=0,N149&lt;M149),"Precio venta inválido","")),IF(O149="","Falta stock mínimo",IF(OR(NOT(ISNUMBER(O149)),O149&lt;0,MOD(O149,1)&lt;&gt;0),"Stock mínimo inválido","")),IF(P149="","Falta unidad",IF(COUNTIF(UnidadesLista,P149)=0,"Unidad inválida","")),IF(AND(K149&lt;&gt;"",COUNTIF(ProveedoresLista,K149)=0),"Proveedor no catalogado",""),IF(X149="","Falta cantidad contada",IF(OR(NOT(ISNUMBER(X149)),X149&lt;0,ABS(X149*1000-ROUND(X149*1000,0))&gt;0.0000001),"Cantidad inválida",IF(AND(Q149="NO",MOD(X149,1)&lt;&gt;0),"Cantidad fraccionaria no permitida",""))),IF(AND(R149="SI",OR(NOT(ISNUMBER(S149)),S149&lt;1,MOD(S149,1)&lt;&gt;0)),"Empaque inválido",""),IF(OR(AND(AF149="",AG149="ESCANEADO"),AND(AF149&lt;&gt;"",AG149&lt;&gt;"ESCANEADO")),"Barcode/estado inconsistente",""),IF(AK149&lt;&gt;"",AK149,"")))</f>
        <v/>
      </c>
      <c r="AJ149" s="21" t="n"/>
      <c r="AK149" s="17">
        <f>IF(G149="","",IF(OR(COUNTIFS($G$5:$G$445,G149,$I$5:$I$445,I149,$J$5:$J$445,J149,$P$5:$P$445,P149)&gt;1,AND(AF149&lt;&gt;"",COUNTIF($AF$5:$AF$445,AF149)&gt;1)),"REVISAR_POSIBLE_DUPLICADO",""))</f>
        <v/>
      </c>
    </row>
    <row r="150">
      <c r="A150" s="17" t="inlineStr">
        <is>
          <t>3515cd9f-b145-5938-addb-db0f8bb1ccfe</t>
        </is>
      </c>
      <c r="B150" s="18" t="inlineStr">
        <is>
          <t>NUEVO</t>
        </is>
      </c>
      <c r="C150" s="18" t="inlineStr">
        <is>
          <t>ACTIVO</t>
        </is>
      </c>
      <c r="D150" s="18" t="n"/>
      <c r="E150" s="17" t="n"/>
      <c r="F150" s="17" t="n"/>
      <c r="G150" s="19" t="n"/>
      <c r="H150" s="19" t="n"/>
      <c r="I150" s="20" t="n"/>
      <c r="J150" s="20" t="n"/>
      <c r="K150" s="21" t="n"/>
      <c r="L150" s="18" t="n"/>
      <c r="M150" s="22" t="n"/>
      <c r="N150" s="22" t="n"/>
      <c r="O150" s="23" t="n">
        <v>10</v>
      </c>
      <c r="P150" s="24" t="inlineStr">
        <is>
          <t>UNIDAD</t>
        </is>
      </c>
      <c r="Q150" s="20" t="inlineStr">
        <is>
          <t>NO</t>
        </is>
      </c>
      <c r="R150" s="20" t="inlineStr">
        <is>
          <t>NO</t>
        </is>
      </c>
      <c r="S150" s="25" t="n">
        <v>1</v>
      </c>
      <c r="T150" s="20" t="inlineStr">
        <is>
          <t>NO</t>
        </is>
      </c>
      <c r="U150" s="20" t="n"/>
      <c r="V150" s="21" t="n"/>
      <c r="W150" s="26" t="n"/>
      <c r="X150" s="27" t="n"/>
      <c r="Y150" s="20" t="n"/>
      <c r="Z150" s="20" t="n"/>
      <c r="AA150" s="26">
        <f>IF(X150="","",X150-IF(W150="",0,W150))</f>
        <v/>
      </c>
      <c r="AB150" s="28">
        <f>IF(OR(X150="",M150=""),"",X150*M150)</f>
        <v/>
      </c>
      <c r="AC150" s="28">
        <f>IF(OR(X150="",N150=""),"",X150*N150)</f>
        <v/>
      </c>
      <c r="AD150" s="28">
        <f>IF(OR(M150="",N150=""),"",N150-M150)</f>
        <v/>
      </c>
      <c r="AE150" s="29">
        <f>IFERROR(IF(M150&gt;0,(N150-M150)/M150,""),"")</f>
        <v/>
      </c>
      <c r="AF150" s="30" t="n"/>
      <c r="AG150" s="30" t="inlineStr">
        <is>
          <t>PENDIENTE</t>
        </is>
      </c>
      <c r="AH150" s="18">
        <f>IF(NOT(OR(B150="EXISTENTE",COUNTA(G150,H150,I150,J150,K150,M150,N150,U150,V150,X150,Y150,Z150,AF150,AJ150)&gt;0)),"",IF(AK150&lt;&gt;"","REVISAR",IF(OR(G150="",H150="",M150="",N150="",O150="",P150="",X150=""),"INCOMPLETO",IF(AI150&lt;&gt;"","REVISAR",IF(AND(AF150&lt;&gt;"",AG150="ESCANEADO"),"LISTO_COMPLETO","LISTO_SIN_BARCODE")))))</f>
        <v/>
      </c>
      <c r="AI150" s="17">
        <f>IF(NOT(OR(B150="EXISTENTE",COUNTA(G150,H150,I150,J150,K150,M150,N150,U150,V150,X150,Y150,Z150,AF150,AJ150)&gt;0)),"",TEXTJOIN(" | ",TRUE,IF(A150="","Falta ID staging",""),IF(COUNTIF($A$5:$A$445,A150)&gt;1,"ID staging duplicado",""),IF(G150="","Falta nombre",""),IF(LEN(G150)&gt;150,"Nombre &gt;150 caracteres",""),IF(H150="","Falta categoría",IF(COUNTIF(CategoriasLista,H150)=0,"Categoría inválida","")),IF(M150="","Falta precio compra",IF(OR(NOT(ISNUMBER(M150)),M150&lt;0),"Precio compra inválido","")),IF(N150="","Falta precio venta",IF(OR(NOT(ISNUMBER(N150)),N150&lt;=0,N150&lt;M150),"Precio venta inválido","")),IF(O150="","Falta stock mínimo",IF(OR(NOT(ISNUMBER(O150)),O150&lt;0,MOD(O150,1)&lt;&gt;0),"Stock mínimo inválido","")),IF(P150="","Falta unidad",IF(COUNTIF(UnidadesLista,P150)=0,"Unidad inválida","")),IF(AND(K150&lt;&gt;"",COUNTIF(ProveedoresLista,K150)=0),"Proveedor no catalogado",""),IF(X150="","Falta cantidad contada",IF(OR(NOT(ISNUMBER(X150)),X150&lt;0,ABS(X150*1000-ROUND(X150*1000,0))&gt;0.0000001),"Cantidad inválida",IF(AND(Q150="NO",MOD(X150,1)&lt;&gt;0),"Cantidad fraccionaria no permitida",""))),IF(AND(R150="SI",OR(NOT(ISNUMBER(S150)),S150&lt;1,MOD(S150,1)&lt;&gt;0)),"Empaque inválido",""),IF(OR(AND(AF150="",AG150="ESCANEADO"),AND(AF150&lt;&gt;"",AG150&lt;&gt;"ESCANEADO")),"Barcode/estado inconsistente",""),IF(AK150&lt;&gt;"",AK150,"")))</f>
        <v/>
      </c>
      <c r="AJ150" s="21" t="n"/>
      <c r="AK150" s="17">
        <f>IF(G150="","",IF(OR(COUNTIFS($G$5:$G$445,G150,$I$5:$I$445,I150,$J$5:$J$445,J150,$P$5:$P$445,P150)&gt;1,AND(AF150&lt;&gt;"",COUNTIF($AF$5:$AF$445,AF150)&gt;1)),"REVISAR_POSIBLE_DUPLICADO",""))</f>
        <v/>
      </c>
    </row>
    <row r="151">
      <c r="A151" s="17" t="inlineStr">
        <is>
          <t>3f5ddd75-c8fa-5b25-80c8-0d9f16728c20</t>
        </is>
      </c>
      <c r="B151" s="18" t="inlineStr">
        <is>
          <t>NUEVO</t>
        </is>
      </c>
      <c r="C151" s="18" t="inlineStr">
        <is>
          <t>ACTIVO</t>
        </is>
      </c>
      <c r="D151" s="18" t="n"/>
      <c r="E151" s="17" t="n"/>
      <c r="F151" s="17" t="n"/>
      <c r="G151" s="19" t="n"/>
      <c r="H151" s="19" t="n"/>
      <c r="I151" s="20" t="n"/>
      <c r="J151" s="20" t="n"/>
      <c r="K151" s="21" t="n"/>
      <c r="L151" s="18" t="n"/>
      <c r="M151" s="22" t="n"/>
      <c r="N151" s="22" t="n"/>
      <c r="O151" s="23" t="n">
        <v>10</v>
      </c>
      <c r="P151" s="24" t="inlineStr">
        <is>
          <t>UNIDAD</t>
        </is>
      </c>
      <c r="Q151" s="20" t="inlineStr">
        <is>
          <t>NO</t>
        </is>
      </c>
      <c r="R151" s="20" t="inlineStr">
        <is>
          <t>NO</t>
        </is>
      </c>
      <c r="S151" s="25" t="n">
        <v>1</v>
      </c>
      <c r="T151" s="20" t="inlineStr">
        <is>
          <t>NO</t>
        </is>
      </c>
      <c r="U151" s="20" t="n"/>
      <c r="V151" s="21" t="n"/>
      <c r="W151" s="26" t="n"/>
      <c r="X151" s="27" t="n"/>
      <c r="Y151" s="20" t="n"/>
      <c r="Z151" s="20" t="n"/>
      <c r="AA151" s="26">
        <f>IF(X151="","",X151-IF(W151="",0,W151))</f>
        <v/>
      </c>
      <c r="AB151" s="28">
        <f>IF(OR(X151="",M151=""),"",X151*M151)</f>
        <v/>
      </c>
      <c r="AC151" s="28">
        <f>IF(OR(X151="",N151=""),"",X151*N151)</f>
        <v/>
      </c>
      <c r="AD151" s="28">
        <f>IF(OR(M151="",N151=""),"",N151-M151)</f>
        <v/>
      </c>
      <c r="AE151" s="29">
        <f>IFERROR(IF(M151&gt;0,(N151-M151)/M151,""),"")</f>
        <v/>
      </c>
      <c r="AF151" s="30" t="n"/>
      <c r="AG151" s="30" t="inlineStr">
        <is>
          <t>PENDIENTE</t>
        </is>
      </c>
      <c r="AH151" s="18">
        <f>IF(NOT(OR(B151="EXISTENTE",COUNTA(G151,H151,I151,J151,K151,M151,N151,U151,V151,X151,Y151,Z151,AF151,AJ151)&gt;0)),"",IF(AK151&lt;&gt;"","REVISAR",IF(OR(G151="",H151="",M151="",N151="",O151="",P151="",X151=""),"INCOMPLETO",IF(AI151&lt;&gt;"","REVISAR",IF(AND(AF151&lt;&gt;"",AG151="ESCANEADO"),"LISTO_COMPLETO","LISTO_SIN_BARCODE")))))</f>
        <v/>
      </c>
      <c r="AI151" s="17">
        <f>IF(NOT(OR(B151="EXISTENTE",COUNTA(G151,H151,I151,J151,K151,M151,N151,U151,V151,X151,Y151,Z151,AF151,AJ151)&gt;0)),"",TEXTJOIN(" | ",TRUE,IF(A151="","Falta ID staging",""),IF(COUNTIF($A$5:$A$445,A151)&gt;1,"ID staging duplicado",""),IF(G151="","Falta nombre",""),IF(LEN(G151)&gt;150,"Nombre &gt;150 caracteres",""),IF(H151="","Falta categoría",IF(COUNTIF(CategoriasLista,H151)=0,"Categoría inválida","")),IF(M151="","Falta precio compra",IF(OR(NOT(ISNUMBER(M151)),M151&lt;0),"Precio compra inválido","")),IF(N151="","Falta precio venta",IF(OR(NOT(ISNUMBER(N151)),N151&lt;=0,N151&lt;M151),"Precio venta inválido","")),IF(O151="","Falta stock mínimo",IF(OR(NOT(ISNUMBER(O151)),O151&lt;0,MOD(O151,1)&lt;&gt;0),"Stock mínimo inválido","")),IF(P151="","Falta unidad",IF(COUNTIF(UnidadesLista,P151)=0,"Unidad inválida","")),IF(AND(K151&lt;&gt;"",COUNTIF(ProveedoresLista,K151)=0),"Proveedor no catalogado",""),IF(X151="","Falta cantidad contada",IF(OR(NOT(ISNUMBER(X151)),X151&lt;0,ABS(X151*1000-ROUND(X151*1000,0))&gt;0.0000001),"Cantidad inválida",IF(AND(Q151="NO",MOD(X151,1)&lt;&gt;0),"Cantidad fraccionaria no permitida",""))),IF(AND(R151="SI",OR(NOT(ISNUMBER(S151)),S151&lt;1,MOD(S151,1)&lt;&gt;0)),"Empaque inválido",""),IF(OR(AND(AF151="",AG151="ESCANEADO"),AND(AF151&lt;&gt;"",AG151&lt;&gt;"ESCANEADO")),"Barcode/estado inconsistente",""),IF(AK151&lt;&gt;"",AK151,"")))</f>
        <v/>
      </c>
      <c r="AJ151" s="21" t="n"/>
      <c r="AK151" s="17">
        <f>IF(G151="","",IF(OR(COUNTIFS($G$5:$G$445,G151,$I$5:$I$445,I151,$J$5:$J$445,J151,$P$5:$P$445,P151)&gt;1,AND(AF151&lt;&gt;"",COUNTIF($AF$5:$AF$445,AF151)&gt;1)),"REVISAR_POSIBLE_DUPLICADO",""))</f>
        <v/>
      </c>
    </row>
    <row r="152">
      <c r="A152" s="17" t="inlineStr">
        <is>
          <t>b4920a67-d243-5b10-b828-a0d929ce10a9</t>
        </is>
      </c>
      <c r="B152" s="18" t="inlineStr">
        <is>
          <t>NUEVO</t>
        </is>
      </c>
      <c r="C152" s="18" t="inlineStr">
        <is>
          <t>ACTIVO</t>
        </is>
      </c>
      <c r="D152" s="18" t="n"/>
      <c r="E152" s="17" t="n"/>
      <c r="F152" s="17" t="n"/>
      <c r="G152" s="19" t="n"/>
      <c r="H152" s="19" t="n"/>
      <c r="I152" s="20" t="n"/>
      <c r="J152" s="20" t="n"/>
      <c r="K152" s="21" t="n"/>
      <c r="L152" s="18" t="n"/>
      <c r="M152" s="22" t="n"/>
      <c r="N152" s="22" t="n"/>
      <c r="O152" s="23" t="n">
        <v>10</v>
      </c>
      <c r="P152" s="24" t="inlineStr">
        <is>
          <t>UNIDAD</t>
        </is>
      </c>
      <c r="Q152" s="20" t="inlineStr">
        <is>
          <t>NO</t>
        </is>
      </c>
      <c r="R152" s="20" t="inlineStr">
        <is>
          <t>NO</t>
        </is>
      </c>
      <c r="S152" s="25" t="n">
        <v>1</v>
      </c>
      <c r="T152" s="20" t="inlineStr">
        <is>
          <t>NO</t>
        </is>
      </c>
      <c r="U152" s="20" t="n"/>
      <c r="V152" s="21" t="n"/>
      <c r="W152" s="26" t="n"/>
      <c r="X152" s="27" t="n"/>
      <c r="Y152" s="20" t="n"/>
      <c r="Z152" s="20" t="n"/>
      <c r="AA152" s="26">
        <f>IF(X152="","",X152-IF(W152="",0,W152))</f>
        <v/>
      </c>
      <c r="AB152" s="28">
        <f>IF(OR(X152="",M152=""),"",X152*M152)</f>
        <v/>
      </c>
      <c r="AC152" s="28">
        <f>IF(OR(X152="",N152=""),"",X152*N152)</f>
        <v/>
      </c>
      <c r="AD152" s="28">
        <f>IF(OR(M152="",N152=""),"",N152-M152)</f>
        <v/>
      </c>
      <c r="AE152" s="29">
        <f>IFERROR(IF(M152&gt;0,(N152-M152)/M152,""),"")</f>
        <v/>
      </c>
      <c r="AF152" s="30" t="n"/>
      <c r="AG152" s="30" t="inlineStr">
        <is>
          <t>PENDIENTE</t>
        </is>
      </c>
      <c r="AH152" s="18">
        <f>IF(NOT(OR(B152="EXISTENTE",COUNTA(G152,H152,I152,J152,K152,M152,N152,U152,V152,X152,Y152,Z152,AF152,AJ152)&gt;0)),"",IF(AK152&lt;&gt;"","REVISAR",IF(OR(G152="",H152="",M152="",N152="",O152="",P152="",X152=""),"INCOMPLETO",IF(AI152&lt;&gt;"","REVISAR",IF(AND(AF152&lt;&gt;"",AG152="ESCANEADO"),"LISTO_COMPLETO","LISTO_SIN_BARCODE")))))</f>
        <v/>
      </c>
      <c r="AI152" s="17">
        <f>IF(NOT(OR(B152="EXISTENTE",COUNTA(G152,H152,I152,J152,K152,M152,N152,U152,V152,X152,Y152,Z152,AF152,AJ152)&gt;0)),"",TEXTJOIN(" | ",TRUE,IF(A152="","Falta ID staging",""),IF(COUNTIF($A$5:$A$445,A152)&gt;1,"ID staging duplicado",""),IF(G152="","Falta nombre",""),IF(LEN(G152)&gt;150,"Nombre &gt;150 caracteres",""),IF(H152="","Falta categoría",IF(COUNTIF(CategoriasLista,H152)=0,"Categoría inválida","")),IF(M152="","Falta precio compra",IF(OR(NOT(ISNUMBER(M152)),M152&lt;0),"Precio compra inválido","")),IF(N152="","Falta precio venta",IF(OR(NOT(ISNUMBER(N152)),N152&lt;=0,N152&lt;M152),"Precio venta inválido","")),IF(O152="","Falta stock mínimo",IF(OR(NOT(ISNUMBER(O152)),O152&lt;0,MOD(O152,1)&lt;&gt;0),"Stock mínimo inválido","")),IF(P152="","Falta unidad",IF(COUNTIF(UnidadesLista,P152)=0,"Unidad inválida","")),IF(AND(K152&lt;&gt;"",COUNTIF(ProveedoresLista,K152)=0),"Proveedor no catalogado",""),IF(X152="","Falta cantidad contada",IF(OR(NOT(ISNUMBER(X152)),X152&lt;0,ABS(X152*1000-ROUND(X152*1000,0))&gt;0.0000001),"Cantidad inválida",IF(AND(Q152="NO",MOD(X152,1)&lt;&gt;0),"Cantidad fraccionaria no permitida",""))),IF(AND(R152="SI",OR(NOT(ISNUMBER(S152)),S152&lt;1,MOD(S152,1)&lt;&gt;0)),"Empaque inválido",""),IF(OR(AND(AF152="",AG152="ESCANEADO"),AND(AF152&lt;&gt;"",AG152&lt;&gt;"ESCANEADO")),"Barcode/estado inconsistente",""),IF(AK152&lt;&gt;"",AK152,"")))</f>
        <v/>
      </c>
      <c r="AJ152" s="21" t="n"/>
      <c r="AK152" s="17">
        <f>IF(G152="","",IF(OR(COUNTIFS($G$5:$G$445,G152,$I$5:$I$445,I152,$J$5:$J$445,J152,$P$5:$P$445,P152)&gt;1,AND(AF152&lt;&gt;"",COUNTIF($AF$5:$AF$445,AF152)&gt;1)),"REVISAR_POSIBLE_DUPLICADO",""))</f>
        <v/>
      </c>
    </row>
    <row r="153">
      <c r="A153" s="17" t="inlineStr">
        <is>
          <t>f8a8178e-8fa8-5609-9d62-37cebb3e2511</t>
        </is>
      </c>
      <c r="B153" s="18" t="inlineStr">
        <is>
          <t>NUEVO</t>
        </is>
      </c>
      <c r="C153" s="18" t="inlineStr">
        <is>
          <t>ACTIVO</t>
        </is>
      </c>
      <c r="D153" s="18" t="n"/>
      <c r="E153" s="17" t="n"/>
      <c r="F153" s="17" t="n"/>
      <c r="G153" s="19" t="n"/>
      <c r="H153" s="19" t="n"/>
      <c r="I153" s="20" t="n"/>
      <c r="J153" s="20" t="n"/>
      <c r="K153" s="21" t="n"/>
      <c r="L153" s="18" t="n"/>
      <c r="M153" s="22" t="n"/>
      <c r="N153" s="22" t="n"/>
      <c r="O153" s="23" t="n">
        <v>10</v>
      </c>
      <c r="P153" s="24" t="inlineStr">
        <is>
          <t>UNIDAD</t>
        </is>
      </c>
      <c r="Q153" s="20" t="inlineStr">
        <is>
          <t>NO</t>
        </is>
      </c>
      <c r="R153" s="20" t="inlineStr">
        <is>
          <t>NO</t>
        </is>
      </c>
      <c r="S153" s="25" t="n">
        <v>1</v>
      </c>
      <c r="T153" s="20" t="inlineStr">
        <is>
          <t>NO</t>
        </is>
      </c>
      <c r="U153" s="20" t="n"/>
      <c r="V153" s="21" t="n"/>
      <c r="W153" s="26" t="n"/>
      <c r="X153" s="27" t="n"/>
      <c r="Y153" s="20" t="n"/>
      <c r="Z153" s="20" t="n"/>
      <c r="AA153" s="26">
        <f>IF(X153="","",X153-IF(W153="",0,W153))</f>
        <v/>
      </c>
      <c r="AB153" s="28">
        <f>IF(OR(X153="",M153=""),"",X153*M153)</f>
        <v/>
      </c>
      <c r="AC153" s="28">
        <f>IF(OR(X153="",N153=""),"",X153*N153)</f>
        <v/>
      </c>
      <c r="AD153" s="28">
        <f>IF(OR(M153="",N153=""),"",N153-M153)</f>
        <v/>
      </c>
      <c r="AE153" s="29">
        <f>IFERROR(IF(M153&gt;0,(N153-M153)/M153,""),"")</f>
        <v/>
      </c>
      <c r="AF153" s="30" t="n"/>
      <c r="AG153" s="30" t="inlineStr">
        <is>
          <t>PENDIENTE</t>
        </is>
      </c>
      <c r="AH153" s="18">
        <f>IF(NOT(OR(B153="EXISTENTE",COUNTA(G153,H153,I153,J153,K153,M153,N153,U153,V153,X153,Y153,Z153,AF153,AJ153)&gt;0)),"",IF(AK153&lt;&gt;"","REVISAR",IF(OR(G153="",H153="",M153="",N153="",O153="",P153="",X153=""),"INCOMPLETO",IF(AI153&lt;&gt;"","REVISAR",IF(AND(AF153&lt;&gt;"",AG153="ESCANEADO"),"LISTO_COMPLETO","LISTO_SIN_BARCODE")))))</f>
        <v/>
      </c>
      <c r="AI153" s="17">
        <f>IF(NOT(OR(B153="EXISTENTE",COUNTA(G153,H153,I153,J153,K153,M153,N153,U153,V153,X153,Y153,Z153,AF153,AJ153)&gt;0)),"",TEXTJOIN(" | ",TRUE,IF(A153="","Falta ID staging",""),IF(COUNTIF($A$5:$A$445,A153)&gt;1,"ID staging duplicado",""),IF(G153="","Falta nombre",""),IF(LEN(G153)&gt;150,"Nombre &gt;150 caracteres",""),IF(H153="","Falta categoría",IF(COUNTIF(CategoriasLista,H153)=0,"Categoría inválida","")),IF(M153="","Falta precio compra",IF(OR(NOT(ISNUMBER(M153)),M153&lt;0),"Precio compra inválido","")),IF(N153="","Falta precio venta",IF(OR(NOT(ISNUMBER(N153)),N153&lt;=0,N153&lt;M153),"Precio venta inválido","")),IF(O153="","Falta stock mínimo",IF(OR(NOT(ISNUMBER(O153)),O153&lt;0,MOD(O153,1)&lt;&gt;0),"Stock mínimo inválido","")),IF(P153="","Falta unidad",IF(COUNTIF(UnidadesLista,P153)=0,"Unidad inválida","")),IF(AND(K153&lt;&gt;"",COUNTIF(ProveedoresLista,K153)=0),"Proveedor no catalogado",""),IF(X153="","Falta cantidad contada",IF(OR(NOT(ISNUMBER(X153)),X153&lt;0,ABS(X153*1000-ROUND(X153*1000,0))&gt;0.0000001),"Cantidad inválida",IF(AND(Q153="NO",MOD(X153,1)&lt;&gt;0),"Cantidad fraccionaria no permitida",""))),IF(AND(R153="SI",OR(NOT(ISNUMBER(S153)),S153&lt;1,MOD(S153,1)&lt;&gt;0)),"Empaque inválido",""),IF(OR(AND(AF153="",AG153="ESCANEADO"),AND(AF153&lt;&gt;"",AG153&lt;&gt;"ESCANEADO")),"Barcode/estado inconsistente",""),IF(AK153&lt;&gt;"",AK153,"")))</f>
        <v/>
      </c>
      <c r="AJ153" s="21" t="n"/>
      <c r="AK153" s="17">
        <f>IF(G153="","",IF(OR(COUNTIFS($G$5:$G$445,G153,$I$5:$I$445,I153,$J$5:$J$445,J153,$P$5:$P$445,P153)&gt;1,AND(AF153&lt;&gt;"",COUNTIF($AF$5:$AF$445,AF153)&gt;1)),"REVISAR_POSIBLE_DUPLICADO",""))</f>
        <v/>
      </c>
    </row>
    <row r="154">
      <c r="A154" s="17" t="inlineStr">
        <is>
          <t>3291ddba-bfe1-510c-9615-21ddfd906f03</t>
        </is>
      </c>
      <c r="B154" s="18" t="inlineStr">
        <is>
          <t>NUEVO</t>
        </is>
      </c>
      <c r="C154" s="18" t="inlineStr">
        <is>
          <t>ACTIVO</t>
        </is>
      </c>
      <c r="D154" s="18" t="n"/>
      <c r="E154" s="17" t="n"/>
      <c r="F154" s="17" t="n"/>
      <c r="G154" s="19" t="n"/>
      <c r="H154" s="19" t="n"/>
      <c r="I154" s="20" t="n"/>
      <c r="J154" s="20" t="n"/>
      <c r="K154" s="21" t="n"/>
      <c r="L154" s="18" t="n"/>
      <c r="M154" s="22" t="n"/>
      <c r="N154" s="22" t="n"/>
      <c r="O154" s="23" t="n">
        <v>10</v>
      </c>
      <c r="P154" s="24" t="inlineStr">
        <is>
          <t>UNIDAD</t>
        </is>
      </c>
      <c r="Q154" s="20" t="inlineStr">
        <is>
          <t>NO</t>
        </is>
      </c>
      <c r="R154" s="20" t="inlineStr">
        <is>
          <t>NO</t>
        </is>
      </c>
      <c r="S154" s="25" t="n">
        <v>1</v>
      </c>
      <c r="T154" s="20" t="inlineStr">
        <is>
          <t>NO</t>
        </is>
      </c>
      <c r="U154" s="20" t="n"/>
      <c r="V154" s="21" t="n"/>
      <c r="W154" s="26" t="n"/>
      <c r="X154" s="27" t="n"/>
      <c r="Y154" s="20" t="n"/>
      <c r="Z154" s="20" t="n"/>
      <c r="AA154" s="26">
        <f>IF(X154="","",X154-IF(W154="",0,W154))</f>
        <v/>
      </c>
      <c r="AB154" s="28">
        <f>IF(OR(X154="",M154=""),"",X154*M154)</f>
        <v/>
      </c>
      <c r="AC154" s="28">
        <f>IF(OR(X154="",N154=""),"",X154*N154)</f>
        <v/>
      </c>
      <c r="AD154" s="28">
        <f>IF(OR(M154="",N154=""),"",N154-M154)</f>
        <v/>
      </c>
      <c r="AE154" s="29">
        <f>IFERROR(IF(M154&gt;0,(N154-M154)/M154,""),"")</f>
        <v/>
      </c>
      <c r="AF154" s="30" t="n"/>
      <c r="AG154" s="30" t="inlineStr">
        <is>
          <t>PENDIENTE</t>
        </is>
      </c>
      <c r="AH154" s="18">
        <f>IF(NOT(OR(B154="EXISTENTE",COUNTA(G154,H154,I154,J154,K154,M154,N154,U154,V154,X154,Y154,Z154,AF154,AJ154)&gt;0)),"",IF(AK154&lt;&gt;"","REVISAR",IF(OR(G154="",H154="",M154="",N154="",O154="",P154="",X154=""),"INCOMPLETO",IF(AI154&lt;&gt;"","REVISAR",IF(AND(AF154&lt;&gt;"",AG154="ESCANEADO"),"LISTO_COMPLETO","LISTO_SIN_BARCODE")))))</f>
        <v/>
      </c>
      <c r="AI154" s="17">
        <f>IF(NOT(OR(B154="EXISTENTE",COUNTA(G154,H154,I154,J154,K154,M154,N154,U154,V154,X154,Y154,Z154,AF154,AJ154)&gt;0)),"",TEXTJOIN(" | ",TRUE,IF(A154="","Falta ID staging",""),IF(COUNTIF($A$5:$A$445,A154)&gt;1,"ID staging duplicado",""),IF(G154="","Falta nombre",""),IF(LEN(G154)&gt;150,"Nombre &gt;150 caracteres",""),IF(H154="","Falta categoría",IF(COUNTIF(CategoriasLista,H154)=0,"Categoría inválida","")),IF(M154="","Falta precio compra",IF(OR(NOT(ISNUMBER(M154)),M154&lt;0),"Precio compra inválido","")),IF(N154="","Falta precio venta",IF(OR(NOT(ISNUMBER(N154)),N154&lt;=0,N154&lt;M154),"Precio venta inválido","")),IF(O154="","Falta stock mínimo",IF(OR(NOT(ISNUMBER(O154)),O154&lt;0,MOD(O154,1)&lt;&gt;0),"Stock mínimo inválido","")),IF(P154="","Falta unidad",IF(COUNTIF(UnidadesLista,P154)=0,"Unidad inválida","")),IF(AND(K154&lt;&gt;"",COUNTIF(ProveedoresLista,K154)=0),"Proveedor no catalogado",""),IF(X154="","Falta cantidad contada",IF(OR(NOT(ISNUMBER(X154)),X154&lt;0,ABS(X154*1000-ROUND(X154*1000,0))&gt;0.0000001),"Cantidad inválida",IF(AND(Q154="NO",MOD(X154,1)&lt;&gt;0),"Cantidad fraccionaria no permitida",""))),IF(AND(R154="SI",OR(NOT(ISNUMBER(S154)),S154&lt;1,MOD(S154,1)&lt;&gt;0)),"Empaque inválido",""),IF(OR(AND(AF154="",AG154="ESCANEADO"),AND(AF154&lt;&gt;"",AG154&lt;&gt;"ESCANEADO")),"Barcode/estado inconsistente",""),IF(AK154&lt;&gt;"",AK154,"")))</f>
        <v/>
      </c>
      <c r="AJ154" s="21" t="n"/>
      <c r="AK154" s="17">
        <f>IF(G154="","",IF(OR(COUNTIFS($G$5:$G$445,G154,$I$5:$I$445,I154,$J$5:$J$445,J154,$P$5:$P$445,P154)&gt;1,AND(AF154&lt;&gt;"",COUNTIF($AF$5:$AF$445,AF154)&gt;1)),"REVISAR_POSIBLE_DUPLICADO",""))</f>
        <v/>
      </c>
    </row>
    <row r="155">
      <c r="A155" s="17" t="inlineStr">
        <is>
          <t>cabf9a70-e3f8-50c0-9e9f-8dddbcd283d4</t>
        </is>
      </c>
      <c r="B155" s="18" t="inlineStr">
        <is>
          <t>NUEVO</t>
        </is>
      </c>
      <c r="C155" s="18" t="inlineStr">
        <is>
          <t>ACTIVO</t>
        </is>
      </c>
      <c r="D155" s="18" t="n"/>
      <c r="E155" s="17" t="n"/>
      <c r="F155" s="17" t="n"/>
      <c r="G155" s="19" t="n"/>
      <c r="H155" s="19" t="n"/>
      <c r="I155" s="20" t="n"/>
      <c r="J155" s="20" t="n"/>
      <c r="K155" s="21" t="n"/>
      <c r="L155" s="18" t="n"/>
      <c r="M155" s="22" t="n"/>
      <c r="N155" s="22" t="n"/>
      <c r="O155" s="23" t="n">
        <v>10</v>
      </c>
      <c r="P155" s="24" t="inlineStr">
        <is>
          <t>UNIDAD</t>
        </is>
      </c>
      <c r="Q155" s="20" t="inlineStr">
        <is>
          <t>NO</t>
        </is>
      </c>
      <c r="R155" s="20" t="inlineStr">
        <is>
          <t>NO</t>
        </is>
      </c>
      <c r="S155" s="25" t="n">
        <v>1</v>
      </c>
      <c r="T155" s="20" t="inlineStr">
        <is>
          <t>NO</t>
        </is>
      </c>
      <c r="U155" s="20" t="n"/>
      <c r="V155" s="21" t="n"/>
      <c r="W155" s="26" t="n"/>
      <c r="X155" s="27" t="n"/>
      <c r="Y155" s="20" t="n"/>
      <c r="Z155" s="20" t="n"/>
      <c r="AA155" s="26">
        <f>IF(X155="","",X155-IF(W155="",0,W155))</f>
        <v/>
      </c>
      <c r="AB155" s="28">
        <f>IF(OR(X155="",M155=""),"",X155*M155)</f>
        <v/>
      </c>
      <c r="AC155" s="28">
        <f>IF(OR(X155="",N155=""),"",X155*N155)</f>
        <v/>
      </c>
      <c r="AD155" s="28">
        <f>IF(OR(M155="",N155=""),"",N155-M155)</f>
        <v/>
      </c>
      <c r="AE155" s="29">
        <f>IFERROR(IF(M155&gt;0,(N155-M155)/M155,""),"")</f>
        <v/>
      </c>
      <c r="AF155" s="30" t="n"/>
      <c r="AG155" s="30" t="inlineStr">
        <is>
          <t>PENDIENTE</t>
        </is>
      </c>
      <c r="AH155" s="18">
        <f>IF(NOT(OR(B155="EXISTENTE",COUNTA(G155,H155,I155,J155,K155,M155,N155,U155,V155,X155,Y155,Z155,AF155,AJ155)&gt;0)),"",IF(AK155&lt;&gt;"","REVISAR",IF(OR(G155="",H155="",M155="",N155="",O155="",P155="",X155=""),"INCOMPLETO",IF(AI155&lt;&gt;"","REVISAR",IF(AND(AF155&lt;&gt;"",AG155="ESCANEADO"),"LISTO_COMPLETO","LISTO_SIN_BARCODE")))))</f>
        <v/>
      </c>
      <c r="AI155" s="17">
        <f>IF(NOT(OR(B155="EXISTENTE",COUNTA(G155,H155,I155,J155,K155,M155,N155,U155,V155,X155,Y155,Z155,AF155,AJ155)&gt;0)),"",TEXTJOIN(" | ",TRUE,IF(A155="","Falta ID staging",""),IF(COUNTIF($A$5:$A$445,A155)&gt;1,"ID staging duplicado",""),IF(G155="","Falta nombre",""),IF(LEN(G155)&gt;150,"Nombre &gt;150 caracteres",""),IF(H155="","Falta categoría",IF(COUNTIF(CategoriasLista,H155)=0,"Categoría inválida","")),IF(M155="","Falta precio compra",IF(OR(NOT(ISNUMBER(M155)),M155&lt;0),"Precio compra inválido","")),IF(N155="","Falta precio venta",IF(OR(NOT(ISNUMBER(N155)),N155&lt;=0,N155&lt;M155),"Precio venta inválido","")),IF(O155="","Falta stock mínimo",IF(OR(NOT(ISNUMBER(O155)),O155&lt;0,MOD(O155,1)&lt;&gt;0),"Stock mínimo inválido","")),IF(P155="","Falta unidad",IF(COUNTIF(UnidadesLista,P155)=0,"Unidad inválida","")),IF(AND(K155&lt;&gt;"",COUNTIF(ProveedoresLista,K155)=0),"Proveedor no catalogado",""),IF(X155="","Falta cantidad contada",IF(OR(NOT(ISNUMBER(X155)),X155&lt;0,ABS(X155*1000-ROUND(X155*1000,0))&gt;0.0000001),"Cantidad inválida",IF(AND(Q155="NO",MOD(X155,1)&lt;&gt;0),"Cantidad fraccionaria no permitida",""))),IF(AND(R155="SI",OR(NOT(ISNUMBER(S155)),S155&lt;1,MOD(S155,1)&lt;&gt;0)),"Empaque inválido",""),IF(OR(AND(AF155="",AG155="ESCANEADO"),AND(AF155&lt;&gt;"",AG155&lt;&gt;"ESCANEADO")),"Barcode/estado inconsistente",""),IF(AK155&lt;&gt;"",AK155,"")))</f>
        <v/>
      </c>
      <c r="AJ155" s="21" t="n"/>
      <c r="AK155" s="17">
        <f>IF(G155="","",IF(OR(COUNTIFS($G$5:$G$445,G155,$I$5:$I$445,I155,$J$5:$J$445,J155,$P$5:$P$445,P155)&gt;1,AND(AF155&lt;&gt;"",COUNTIF($AF$5:$AF$445,AF155)&gt;1)),"REVISAR_POSIBLE_DUPLICADO",""))</f>
        <v/>
      </c>
    </row>
    <row r="156">
      <c r="A156" s="17" t="inlineStr">
        <is>
          <t>137f5190-65ae-5d3c-8ecb-029de88d30b1</t>
        </is>
      </c>
      <c r="B156" s="18" t="inlineStr">
        <is>
          <t>NUEVO</t>
        </is>
      </c>
      <c r="C156" s="18" t="inlineStr">
        <is>
          <t>ACTIVO</t>
        </is>
      </c>
      <c r="D156" s="18" t="n"/>
      <c r="E156" s="17" t="n"/>
      <c r="F156" s="17" t="n"/>
      <c r="G156" s="19" t="n"/>
      <c r="H156" s="19" t="n"/>
      <c r="I156" s="20" t="n"/>
      <c r="J156" s="20" t="n"/>
      <c r="K156" s="21" t="n"/>
      <c r="L156" s="18" t="n"/>
      <c r="M156" s="22" t="n"/>
      <c r="N156" s="22" t="n"/>
      <c r="O156" s="23" t="n">
        <v>10</v>
      </c>
      <c r="P156" s="24" t="inlineStr">
        <is>
          <t>UNIDAD</t>
        </is>
      </c>
      <c r="Q156" s="20" t="inlineStr">
        <is>
          <t>NO</t>
        </is>
      </c>
      <c r="R156" s="20" t="inlineStr">
        <is>
          <t>NO</t>
        </is>
      </c>
      <c r="S156" s="25" t="n">
        <v>1</v>
      </c>
      <c r="T156" s="20" t="inlineStr">
        <is>
          <t>NO</t>
        </is>
      </c>
      <c r="U156" s="20" t="n"/>
      <c r="V156" s="21" t="n"/>
      <c r="W156" s="26" t="n"/>
      <c r="X156" s="27" t="n"/>
      <c r="Y156" s="20" t="n"/>
      <c r="Z156" s="20" t="n"/>
      <c r="AA156" s="26">
        <f>IF(X156="","",X156-IF(W156="",0,W156))</f>
        <v/>
      </c>
      <c r="AB156" s="28">
        <f>IF(OR(X156="",M156=""),"",X156*M156)</f>
        <v/>
      </c>
      <c r="AC156" s="28">
        <f>IF(OR(X156="",N156=""),"",X156*N156)</f>
        <v/>
      </c>
      <c r="AD156" s="28">
        <f>IF(OR(M156="",N156=""),"",N156-M156)</f>
        <v/>
      </c>
      <c r="AE156" s="29">
        <f>IFERROR(IF(M156&gt;0,(N156-M156)/M156,""),"")</f>
        <v/>
      </c>
      <c r="AF156" s="30" t="n"/>
      <c r="AG156" s="30" t="inlineStr">
        <is>
          <t>PENDIENTE</t>
        </is>
      </c>
      <c r="AH156" s="18">
        <f>IF(NOT(OR(B156="EXISTENTE",COUNTA(G156,H156,I156,J156,K156,M156,N156,U156,V156,X156,Y156,Z156,AF156,AJ156)&gt;0)),"",IF(AK156&lt;&gt;"","REVISAR",IF(OR(G156="",H156="",M156="",N156="",O156="",P156="",X156=""),"INCOMPLETO",IF(AI156&lt;&gt;"","REVISAR",IF(AND(AF156&lt;&gt;"",AG156="ESCANEADO"),"LISTO_COMPLETO","LISTO_SIN_BARCODE")))))</f>
        <v/>
      </c>
      <c r="AI156" s="17">
        <f>IF(NOT(OR(B156="EXISTENTE",COUNTA(G156,H156,I156,J156,K156,M156,N156,U156,V156,X156,Y156,Z156,AF156,AJ156)&gt;0)),"",TEXTJOIN(" | ",TRUE,IF(A156="","Falta ID staging",""),IF(COUNTIF($A$5:$A$445,A156)&gt;1,"ID staging duplicado",""),IF(G156="","Falta nombre",""),IF(LEN(G156)&gt;150,"Nombre &gt;150 caracteres",""),IF(H156="","Falta categoría",IF(COUNTIF(CategoriasLista,H156)=0,"Categoría inválida","")),IF(M156="","Falta precio compra",IF(OR(NOT(ISNUMBER(M156)),M156&lt;0),"Precio compra inválido","")),IF(N156="","Falta precio venta",IF(OR(NOT(ISNUMBER(N156)),N156&lt;=0,N156&lt;M156),"Precio venta inválido","")),IF(O156="","Falta stock mínimo",IF(OR(NOT(ISNUMBER(O156)),O156&lt;0,MOD(O156,1)&lt;&gt;0),"Stock mínimo inválido","")),IF(P156="","Falta unidad",IF(COUNTIF(UnidadesLista,P156)=0,"Unidad inválida","")),IF(AND(K156&lt;&gt;"",COUNTIF(ProveedoresLista,K156)=0),"Proveedor no catalogado",""),IF(X156="","Falta cantidad contada",IF(OR(NOT(ISNUMBER(X156)),X156&lt;0,ABS(X156*1000-ROUND(X156*1000,0))&gt;0.0000001),"Cantidad inválida",IF(AND(Q156="NO",MOD(X156,1)&lt;&gt;0),"Cantidad fraccionaria no permitida",""))),IF(AND(R156="SI",OR(NOT(ISNUMBER(S156)),S156&lt;1,MOD(S156,1)&lt;&gt;0)),"Empaque inválido",""),IF(OR(AND(AF156="",AG156="ESCANEADO"),AND(AF156&lt;&gt;"",AG156&lt;&gt;"ESCANEADO")),"Barcode/estado inconsistente",""),IF(AK156&lt;&gt;"",AK156,"")))</f>
        <v/>
      </c>
      <c r="AJ156" s="21" t="n"/>
      <c r="AK156" s="17">
        <f>IF(G156="","",IF(OR(COUNTIFS($G$5:$G$445,G156,$I$5:$I$445,I156,$J$5:$J$445,J156,$P$5:$P$445,P156)&gt;1,AND(AF156&lt;&gt;"",COUNTIF($AF$5:$AF$445,AF156)&gt;1)),"REVISAR_POSIBLE_DUPLICADO",""))</f>
        <v/>
      </c>
    </row>
    <row r="157">
      <c r="A157" s="17" t="inlineStr">
        <is>
          <t>7325a89b-d8c0-51ce-8046-e536861f103a</t>
        </is>
      </c>
      <c r="B157" s="18" t="inlineStr">
        <is>
          <t>NUEVO</t>
        </is>
      </c>
      <c r="C157" s="18" t="inlineStr">
        <is>
          <t>ACTIVO</t>
        </is>
      </c>
      <c r="D157" s="18" t="n"/>
      <c r="E157" s="17" t="n"/>
      <c r="F157" s="17" t="n"/>
      <c r="G157" s="19" t="n"/>
      <c r="H157" s="19" t="n"/>
      <c r="I157" s="20" t="n"/>
      <c r="J157" s="20" t="n"/>
      <c r="K157" s="21" t="n"/>
      <c r="L157" s="18" t="n"/>
      <c r="M157" s="22" t="n"/>
      <c r="N157" s="22" t="n"/>
      <c r="O157" s="23" t="n">
        <v>10</v>
      </c>
      <c r="P157" s="24" t="inlineStr">
        <is>
          <t>UNIDAD</t>
        </is>
      </c>
      <c r="Q157" s="20" t="inlineStr">
        <is>
          <t>NO</t>
        </is>
      </c>
      <c r="R157" s="20" t="inlineStr">
        <is>
          <t>NO</t>
        </is>
      </c>
      <c r="S157" s="25" t="n">
        <v>1</v>
      </c>
      <c r="T157" s="20" t="inlineStr">
        <is>
          <t>NO</t>
        </is>
      </c>
      <c r="U157" s="20" t="n"/>
      <c r="V157" s="21" t="n"/>
      <c r="W157" s="26" t="n"/>
      <c r="X157" s="27" t="n"/>
      <c r="Y157" s="20" t="n"/>
      <c r="Z157" s="20" t="n"/>
      <c r="AA157" s="26">
        <f>IF(X157="","",X157-IF(W157="",0,W157))</f>
        <v/>
      </c>
      <c r="AB157" s="28">
        <f>IF(OR(X157="",M157=""),"",X157*M157)</f>
        <v/>
      </c>
      <c r="AC157" s="28">
        <f>IF(OR(X157="",N157=""),"",X157*N157)</f>
        <v/>
      </c>
      <c r="AD157" s="28">
        <f>IF(OR(M157="",N157=""),"",N157-M157)</f>
        <v/>
      </c>
      <c r="AE157" s="29">
        <f>IFERROR(IF(M157&gt;0,(N157-M157)/M157,""),"")</f>
        <v/>
      </c>
      <c r="AF157" s="30" t="n"/>
      <c r="AG157" s="30" t="inlineStr">
        <is>
          <t>PENDIENTE</t>
        </is>
      </c>
      <c r="AH157" s="18">
        <f>IF(NOT(OR(B157="EXISTENTE",COUNTA(G157,H157,I157,J157,K157,M157,N157,U157,V157,X157,Y157,Z157,AF157,AJ157)&gt;0)),"",IF(AK157&lt;&gt;"","REVISAR",IF(OR(G157="",H157="",M157="",N157="",O157="",P157="",X157=""),"INCOMPLETO",IF(AI157&lt;&gt;"","REVISAR",IF(AND(AF157&lt;&gt;"",AG157="ESCANEADO"),"LISTO_COMPLETO","LISTO_SIN_BARCODE")))))</f>
        <v/>
      </c>
      <c r="AI157" s="17">
        <f>IF(NOT(OR(B157="EXISTENTE",COUNTA(G157,H157,I157,J157,K157,M157,N157,U157,V157,X157,Y157,Z157,AF157,AJ157)&gt;0)),"",TEXTJOIN(" | ",TRUE,IF(A157="","Falta ID staging",""),IF(COUNTIF($A$5:$A$445,A157)&gt;1,"ID staging duplicado",""),IF(G157="","Falta nombre",""),IF(LEN(G157)&gt;150,"Nombre &gt;150 caracteres",""),IF(H157="","Falta categoría",IF(COUNTIF(CategoriasLista,H157)=0,"Categoría inválida","")),IF(M157="","Falta precio compra",IF(OR(NOT(ISNUMBER(M157)),M157&lt;0),"Precio compra inválido","")),IF(N157="","Falta precio venta",IF(OR(NOT(ISNUMBER(N157)),N157&lt;=0,N157&lt;M157),"Precio venta inválido","")),IF(O157="","Falta stock mínimo",IF(OR(NOT(ISNUMBER(O157)),O157&lt;0,MOD(O157,1)&lt;&gt;0),"Stock mínimo inválido","")),IF(P157="","Falta unidad",IF(COUNTIF(UnidadesLista,P157)=0,"Unidad inválida","")),IF(AND(K157&lt;&gt;"",COUNTIF(ProveedoresLista,K157)=0),"Proveedor no catalogado",""),IF(X157="","Falta cantidad contada",IF(OR(NOT(ISNUMBER(X157)),X157&lt;0,ABS(X157*1000-ROUND(X157*1000,0))&gt;0.0000001),"Cantidad inválida",IF(AND(Q157="NO",MOD(X157,1)&lt;&gt;0),"Cantidad fraccionaria no permitida",""))),IF(AND(R157="SI",OR(NOT(ISNUMBER(S157)),S157&lt;1,MOD(S157,1)&lt;&gt;0)),"Empaque inválido",""),IF(OR(AND(AF157="",AG157="ESCANEADO"),AND(AF157&lt;&gt;"",AG157&lt;&gt;"ESCANEADO")),"Barcode/estado inconsistente",""),IF(AK157&lt;&gt;"",AK157,"")))</f>
        <v/>
      </c>
      <c r="AJ157" s="21" t="n"/>
      <c r="AK157" s="17">
        <f>IF(G157="","",IF(OR(COUNTIFS($G$5:$G$445,G157,$I$5:$I$445,I157,$J$5:$J$445,J157,$P$5:$P$445,P157)&gt;1,AND(AF157&lt;&gt;"",COUNTIF($AF$5:$AF$445,AF157)&gt;1)),"REVISAR_POSIBLE_DUPLICADO",""))</f>
        <v/>
      </c>
    </row>
    <row r="158">
      <c r="A158" s="17" t="inlineStr">
        <is>
          <t>fb1a1ca5-d8b9-56d4-bf53-5baa4c001214</t>
        </is>
      </c>
      <c r="B158" s="18" t="inlineStr">
        <is>
          <t>NUEVO</t>
        </is>
      </c>
      <c r="C158" s="18" t="inlineStr">
        <is>
          <t>ACTIVO</t>
        </is>
      </c>
      <c r="D158" s="18" t="n"/>
      <c r="E158" s="17" t="n"/>
      <c r="F158" s="17" t="n"/>
      <c r="G158" s="19" t="n"/>
      <c r="H158" s="19" t="n"/>
      <c r="I158" s="20" t="n"/>
      <c r="J158" s="20" t="n"/>
      <c r="K158" s="21" t="n"/>
      <c r="L158" s="18" t="n"/>
      <c r="M158" s="22" t="n"/>
      <c r="N158" s="22" t="n"/>
      <c r="O158" s="23" t="n">
        <v>10</v>
      </c>
      <c r="P158" s="24" t="inlineStr">
        <is>
          <t>UNIDAD</t>
        </is>
      </c>
      <c r="Q158" s="20" t="inlineStr">
        <is>
          <t>NO</t>
        </is>
      </c>
      <c r="R158" s="20" t="inlineStr">
        <is>
          <t>NO</t>
        </is>
      </c>
      <c r="S158" s="25" t="n">
        <v>1</v>
      </c>
      <c r="T158" s="20" t="inlineStr">
        <is>
          <t>NO</t>
        </is>
      </c>
      <c r="U158" s="20" t="n"/>
      <c r="V158" s="21" t="n"/>
      <c r="W158" s="26" t="n"/>
      <c r="X158" s="27" t="n"/>
      <c r="Y158" s="20" t="n"/>
      <c r="Z158" s="20" t="n"/>
      <c r="AA158" s="26">
        <f>IF(X158="","",X158-IF(W158="",0,W158))</f>
        <v/>
      </c>
      <c r="AB158" s="28">
        <f>IF(OR(X158="",M158=""),"",X158*M158)</f>
        <v/>
      </c>
      <c r="AC158" s="28">
        <f>IF(OR(X158="",N158=""),"",X158*N158)</f>
        <v/>
      </c>
      <c r="AD158" s="28">
        <f>IF(OR(M158="",N158=""),"",N158-M158)</f>
        <v/>
      </c>
      <c r="AE158" s="29">
        <f>IFERROR(IF(M158&gt;0,(N158-M158)/M158,""),"")</f>
        <v/>
      </c>
      <c r="AF158" s="30" t="n"/>
      <c r="AG158" s="30" t="inlineStr">
        <is>
          <t>PENDIENTE</t>
        </is>
      </c>
      <c r="AH158" s="18">
        <f>IF(NOT(OR(B158="EXISTENTE",COUNTA(G158,H158,I158,J158,K158,M158,N158,U158,V158,X158,Y158,Z158,AF158,AJ158)&gt;0)),"",IF(AK158&lt;&gt;"","REVISAR",IF(OR(G158="",H158="",M158="",N158="",O158="",P158="",X158=""),"INCOMPLETO",IF(AI158&lt;&gt;"","REVISAR",IF(AND(AF158&lt;&gt;"",AG158="ESCANEADO"),"LISTO_COMPLETO","LISTO_SIN_BARCODE")))))</f>
        <v/>
      </c>
      <c r="AI158" s="17">
        <f>IF(NOT(OR(B158="EXISTENTE",COUNTA(G158,H158,I158,J158,K158,M158,N158,U158,V158,X158,Y158,Z158,AF158,AJ158)&gt;0)),"",TEXTJOIN(" | ",TRUE,IF(A158="","Falta ID staging",""),IF(COUNTIF($A$5:$A$445,A158)&gt;1,"ID staging duplicado",""),IF(G158="","Falta nombre",""),IF(LEN(G158)&gt;150,"Nombre &gt;150 caracteres",""),IF(H158="","Falta categoría",IF(COUNTIF(CategoriasLista,H158)=0,"Categoría inválida","")),IF(M158="","Falta precio compra",IF(OR(NOT(ISNUMBER(M158)),M158&lt;0),"Precio compra inválido","")),IF(N158="","Falta precio venta",IF(OR(NOT(ISNUMBER(N158)),N158&lt;=0,N158&lt;M158),"Precio venta inválido","")),IF(O158="","Falta stock mínimo",IF(OR(NOT(ISNUMBER(O158)),O158&lt;0,MOD(O158,1)&lt;&gt;0),"Stock mínimo inválido","")),IF(P158="","Falta unidad",IF(COUNTIF(UnidadesLista,P158)=0,"Unidad inválida","")),IF(AND(K158&lt;&gt;"",COUNTIF(ProveedoresLista,K158)=0),"Proveedor no catalogado",""),IF(X158="","Falta cantidad contada",IF(OR(NOT(ISNUMBER(X158)),X158&lt;0,ABS(X158*1000-ROUND(X158*1000,0))&gt;0.0000001),"Cantidad inválida",IF(AND(Q158="NO",MOD(X158,1)&lt;&gt;0),"Cantidad fraccionaria no permitida",""))),IF(AND(R158="SI",OR(NOT(ISNUMBER(S158)),S158&lt;1,MOD(S158,1)&lt;&gt;0)),"Empaque inválido",""),IF(OR(AND(AF158="",AG158="ESCANEADO"),AND(AF158&lt;&gt;"",AG158&lt;&gt;"ESCANEADO")),"Barcode/estado inconsistente",""),IF(AK158&lt;&gt;"",AK158,"")))</f>
        <v/>
      </c>
      <c r="AJ158" s="21" t="n"/>
      <c r="AK158" s="17">
        <f>IF(G158="","",IF(OR(COUNTIFS($G$5:$G$445,G158,$I$5:$I$445,I158,$J$5:$J$445,J158,$P$5:$P$445,P158)&gt;1,AND(AF158&lt;&gt;"",COUNTIF($AF$5:$AF$445,AF158)&gt;1)),"REVISAR_POSIBLE_DUPLICADO",""))</f>
        <v/>
      </c>
    </row>
    <row r="159">
      <c r="A159" s="17" t="inlineStr">
        <is>
          <t>fa003c86-9a5c-54d5-a7d2-c11f71af817b</t>
        </is>
      </c>
      <c r="B159" s="18" t="inlineStr">
        <is>
          <t>NUEVO</t>
        </is>
      </c>
      <c r="C159" s="18" t="inlineStr">
        <is>
          <t>ACTIVO</t>
        </is>
      </c>
      <c r="D159" s="18" t="n"/>
      <c r="E159" s="17" t="n"/>
      <c r="F159" s="17" t="n"/>
      <c r="G159" s="19" t="n"/>
      <c r="H159" s="19" t="n"/>
      <c r="I159" s="20" t="n"/>
      <c r="J159" s="20" t="n"/>
      <c r="K159" s="21" t="n"/>
      <c r="L159" s="18" t="n"/>
      <c r="M159" s="22" t="n"/>
      <c r="N159" s="22" t="n"/>
      <c r="O159" s="23" t="n">
        <v>10</v>
      </c>
      <c r="P159" s="24" t="inlineStr">
        <is>
          <t>UNIDAD</t>
        </is>
      </c>
      <c r="Q159" s="20" t="inlineStr">
        <is>
          <t>NO</t>
        </is>
      </c>
      <c r="R159" s="20" t="inlineStr">
        <is>
          <t>NO</t>
        </is>
      </c>
      <c r="S159" s="25" t="n">
        <v>1</v>
      </c>
      <c r="T159" s="20" t="inlineStr">
        <is>
          <t>NO</t>
        </is>
      </c>
      <c r="U159" s="20" t="n"/>
      <c r="V159" s="21" t="n"/>
      <c r="W159" s="26" t="n"/>
      <c r="X159" s="27" t="n"/>
      <c r="Y159" s="20" t="n"/>
      <c r="Z159" s="20" t="n"/>
      <c r="AA159" s="26">
        <f>IF(X159="","",X159-IF(W159="",0,W159))</f>
        <v/>
      </c>
      <c r="AB159" s="28">
        <f>IF(OR(X159="",M159=""),"",X159*M159)</f>
        <v/>
      </c>
      <c r="AC159" s="28">
        <f>IF(OR(X159="",N159=""),"",X159*N159)</f>
        <v/>
      </c>
      <c r="AD159" s="28">
        <f>IF(OR(M159="",N159=""),"",N159-M159)</f>
        <v/>
      </c>
      <c r="AE159" s="29">
        <f>IFERROR(IF(M159&gt;0,(N159-M159)/M159,""),"")</f>
        <v/>
      </c>
      <c r="AF159" s="30" t="n"/>
      <c r="AG159" s="30" t="inlineStr">
        <is>
          <t>PENDIENTE</t>
        </is>
      </c>
      <c r="AH159" s="18">
        <f>IF(NOT(OR(B159="EXISTENTE",COUNTA(G159,H159,I159,J159,K159,M159,N159,U159,V159,X159,Y159,Z159,AF159,AJ159)&gt;0)),"",IF(AK159&lt;&gt;"","REVISAR",IF(OR(G159="",H159="",M159="",N159="",O159="",P159="",X159=""),"INCOMPLETO",IF(AI159&lt;&gt;"","REVISAR",IF(AND(AF159&lt;&gt;"",AG159="ESCANEADO"),"LISTO_COMPLETO","LISTO_SIN_BARCODE")))))</f>
        <v/>
      </c>
      <c r="AI159" s="17">
        <f>IF(NOT(OR(B159="EXISTENTE",COUNTA(G159,H159,I159,J159,K159,M159,N159,U159,V159,X159,Y159,Z159,AF159,AJ159)&gt;0)),"",TEXTJOIN(" | ",TRUE,IF(A159="","Falta ID staging",""),IF(COUNTIF($A$5:$A$445,A159)&gt;1,"ID staging duplicado",""),IF(G159="","Falta nombre",""),IF(LEN(G159)&gt;150,"Nombre &gt;150 caracteres",""),IF(H159="","Falta categoría",IF(COUNTIF(CategoriasLista,H159)=0,"Categoría inválida","")),IF(M159="","Falta precio compra",IF(OR(NOT(ISNUMBER(M159)),M159&lt;0),"Precio compra inválido","")),IF(N159="","Falta precio venta",IF(OR(NOT(ISNUMBER(N159)),N159&lt;=0,N159&lt;M159),"Precio venta inválido","")),IF(O159="","Falta stock mínimo",IF(OR(NOT(ISNUMBER(O159)),O159&lt;0,MOD(O159,1)&lt;&gt;0),"Stock mínimo inválido","")),IF(P159="","Falta unidad",IF(COUNTIF(UnidadesLista,P159)=0,"Unidad inválida","")),IF(AND(K159&lt;&gt;"",COUNTIF(ProveedoresLista,K159)=0),"Proveedor no catalogado",""),IF(X159="","Falta cantidad contada",IF(OR(NOT(ISNUMBER(X159)),X159&lt;0,ABS(X159*1000-ROUND(X159*1000,0))&gt;0.0000001),"Cantidad inválida",IF(AND(Q159="NO",MOD(X159,1)&lt;&gt;0),"Cantidad fraccionaria no permitida",""))),IF(AND(R159="SI",OR(NOT(ISNUMBER(S159)),S159&lt;1,MOD(S159,1)&lt;&gt;0)),"Empaque inválido",""),IF(OR(AND(AF159="",AG159="ESCANEADO"),AND(AF159&lt;&gt;"",AG159&lt;&gt;"ESCANEADO")),"Barcode/estado inconsistente",""),IF(AK159&lt;&gt;"",AK159,"")))</f>
        <v/>
      </c>
      <c r="AJ159" s="21" t="n"/>
      <c r="AK159" s="17">
        <f>IF(G159="","",IF(OR(COUNTIFS($G$5:$G$445,G159,$I$5:$I$445,I159,$J$5:$J$445,J159,$P$5:$P$445,P159)&gt;1,AND(AF159&lt;&gt;"",COUNTIF($AF$5:$AF$445,AF159)&gt;1)),"REVISAR_POSIBLE_DUPLICADO",""))</f>
        <v/>
      </c>
    </row>
    <row r="160">
      <c r="A160" s="17" t="inlineStr">
        <is>
          <t>53a789e0-9cd4-54d2-93e5-4ad41efd8d85</t>
        </is>
      </c>
      <c r="B160" s="18" t="inlineStr">
        <is>
          <t>NUEVO</t>
        </is>
      </c>
      <c r="C160" s="18" t="inlineStr">
        <is>
          <t>ACTIVO</t>
        </is>
      </c>
      <c r="D160" s="18" t="n"/>
      <c r="E160" s="17" t="n"/>
      <c r="F160" s="17" t="n"/>
      <c r="G160" s="19" t="n"/>
      <c r="H160" s="19" t="n"/>
      <c r="I160" s="20" t="n"/>
      <c r="J160" s="20" t="n"/>
      <c r="K160" s="21" t="n"/>
      <c r="L160" s="18" t="n"/>
      <c r="M160" s="22" t="n"/>
      <c r="N160" s="22" t="n"/>
      <c r="O160" s="23" t="n">
        <v>10</v>
      </c>
      <c r="P160" s="24" t="inlineStr">
        <is>
          <t>UNIDAD</t>
        </is>
      </c>
      <c r="Q160" s="20" t="inlineStr">
        <is>
          <t>NO</t>
        </is>
      </c>
      <c r="R160" s="20" t="inlineStr">
        <is>
          <t>NO</t>
        </is>
      </c>
      <c r="S160" s="25" t="n">
        <v>1</v>
      </c>
      <c r="T160" s="20" t="inlineStr">
        <is>
          <t>NO</t>
        </is>
      </c>
      <c r="U160" s="20" t="n"/>
      <c r="V160" s="21" t="n"/>
      <c r="W160" s="26" t="n"/>
      <c r="X160" s="27" t="n"/>
      <c r="Y160" s="20" t="n"/>
      <c r="Z160" s="20" t="n"/>
      <c r="AA160" s="26">
        <f>IF(X160="","",X160-IF(W160="",0,W160))</f>
        <v/>
      </c>
      <c r="AB160" s="28">
        <f>IF(OR(X160="",M160=""),"",X160*M160)</f>
        <v/>
      </c>
      <c r="AC160" s="28">
        <f>IF(OR(X160="",N160=""),"",X160*N160)</f>
        <v/>
      </c>
      <c r="AD160" s="28">
        <f>IF(OR(M160="",N160=""),"",N160-M160)</f>
        <v/>
      </c>
      <c r="AE160" s="29">
        <f>IFERROR(IF(M160&gt;0,(N160-M160)/M160,""),"")</f>
        <v/>
      </c>
      <c r="AF160" s="30" t="n"/>
      <c r="AG160" s="30" t="inlineStr">
        <is>
          <t>PENDIENTE</t>
        </is>
      </c>
      <c r="AH160" s="18">
        <f>IF(NOT(OR(B160="EXISTENTE",COUNTA(G160,H160,I160,J160,K160,M160,N160,U160,V160,X160,Y160,Z160,AF160,AJ160)&gt;0)),"",IF(AK160&lt;&gt;"","REVISAR",IF(OR(G160="",H160="",M160="",N160="",O160="",P160="",X160=""),"INCOMPLETO",IF(AI160&lt;&gt;"","REVISAR",IF(AND(AF160&lt;&gt;"",AG160="ESCANEADO"),"LISTO_COMPLETO","LISTO_SIN_BARCODE")))))</f>
        <v/>
      </c>
      <c r="AI160" s="17">
        <f>IF(NOT(OR(B160="EXISTENTE",COUNTA(G160,H160,I160,J160,K160,M160,N160,U160,V160,X160,Y160,Z160,AF160,AJ160)&gt;0)),"",TEXTJOIN(" | ",TRUE,IF(A160="","Falta ID staging",""),IF(COUNTIF($A$5:$A$445,A160)&gt;1,"ID staging duplicado",""),IF(G160="","Falta nombre",""),IF(LEN(G160)&gt;150,"Nombre &gt;150 caracteres",""),IF(H160="","Falta categoría",IF(COUNTIF(CategoriasLista,H160)=0,"Categoría inválida","")),IF(M160="","Falta precio compra",IF(OR(NOT(ISNUMBER(M160)),M160&lt;0),"Precio compra inválido","")),IF(N160="","Falta precio venta",IF(OR(NOT(ISNUMBER(N160)),N160&lt;=0,N160&lt;M160),"Precio venta inválido","")),IF(O160="","Falta stock mínimo",IF(OR(NOT(ISNUMBER(O160)),O160&lt;0,MOD(O160,1)&lt;&gt;0),"Stock mínimo inválido","")),IF(P160="","Falta unidad",IF(COUNTIF(UnidadesLista,P160)=0,"Unidad inválida","")),IF(AND(K160&lt;&gt;"",COUNTIF(ProveedoresLista,K160)=0),"Proveedor no catalogado",""),IF(X160="","Falta cantidad contada",IF(OR(NOT(ISNUMBER(X160)),X160&lt;0,ABS(X160*1000-ROUND(X160*1000,0))&gt;0.0000001),"Cantidad inválida",IF(AND(Q160="NO",MOD(X160,1)&lt;&gt;0),"Cantidad fraccionaria no permitida",""))),IF(AND(R160="SI",OR(NOT(ISNUMBER(S160)),S160&lt;1,MOD(S160,1)&lt;&gt;0)),"Empaque inválido",""),IF(OR(AND(AF160="",AG160="ESCANEADO"),AND(AF160&lt;&gt;"",AG160&lt;&gt;"ESCANEADO")),"Barcode/estado inconsistente",""),IF(AK160&lt;&gt;"",AK160,"")))</f>
        <v/>
      </c>
      <c r="AJ160" s="21" t="n"/>
      <c r="AK160" s="17">
        <f>IF(G160="","",IF(OR(COUNTIFS($G$5:$G$445,G160,$I$5:$I$445,I160,$J$5:$J$445,J160,$P$5:$P$445,P160)&gt;1,AND(AF160&lt;&gt;"",COUNTIF($AF$5:$AF$445,AF160)&gt;1)),"REVISAR_POSIBLE_DUPLICADO",""))</f>
        <v/>
      </c>
    </row>
    <row r="161">
      <c r="A161" s="17" t="inlineStr">
        <is>
          <t>200498ea-027e-5820-a5a6-565f412cb3b3</t>
        </is>
      </c>
      <c r="B161" s="18" t="inlineStr">
        <is>
          <t>NUEVO</t>
        </is>
      </c>
      <c r="C161" s="18" t="inlineStr">
        <is>
          <t>ACTIVO</t>
        </is>
      </c>
      <c r="D161" s="18" t="n"/>
      <c r="E161" s="17" t="n"/>
      <c r="F161" s="17" t="n"/>
      <c r="G161" s="19" t="n"/>
      <c r="H161" s="19" t="n"/>
      <c r="I161" s="20" t="n"/>
      <c r="J161" s="20" t="n"/>
      <c r="K161" s="21" t="n"/>
      <c r="L161" s="18" t="n"/>
      <c r="M161" s="22" t="n"/>
      <c r="N161" s="22" t="n"/>
      <c r="O161" s="23" t="n">
        <v>10</v>
      </c>
      <c r="P161" s="24" t="inlineStr">
        <is>
          <t>UNIDAD</t>
        </is>
      </c>
      <c r="Q161" s="20" t="inlineStr">
        <is>
          <t>NO</t>
        </is>
      </c>
      <c r="R161" s="20" t="inlineStr">
        <is>
          <t>NO</t>
        </is>
      </c>
      <c r="S161" s="25" t="n">
        <v>1</v>
      </c>
      <c r="T161" s="20" t="inlineStr">
        <is>
          <t>NO</t>
        </is>
      </c>
      <c r="U161" s="20" t="n"/>
      <c r="V161" s="21" t="n"/>
      <c r="W161" s="26" t="n"/>
      <c r="X161" s="27" t="n"/>
      <c r="Y161" s="20" t="n"/>
      <c r="Z161" s="20" t="n"/>
      <c r="AA161" s="26">
        <f>IF(X161="","",X161-IF(W161="",0,W161))</f>
        <v/>
      </c>
      <c r="AB161" s="28">
        <f>IF(OR(X161="",M161=""),"",X161*M161)</f>
        <v/>
      </c>
      <c r="AC161" s="28">
        <f>IF(OR(X161="",N161=""),"",X161*N161)</f>
        <v/>
      </c>
      <c r="AD161" s="28">
        <f>IF(OR(M161="",N161=""),"",N161-M161)</f>
        <v/>
      </c>
      <c r="AE161" s="29">
        <f>IFERROR(IF(M161&gt;0,(N161-M161)/M161,""),"")</f>
        <v/>
      </c>
      <c r="AF161" s="30" t="n"/>
      <c r="AG161" s="30" t="inlineStr">
        <is>
          <t>PENDIENTE</t>
        </is>
      </c>
      <c r="AH161" s="18">
        <f>IF(NOT(OR(B161="EXISTENTE",COUNTA(G161,H161,I161,J161,K161,M161,N161,U161,V161,X161,Y161,Z161,AF161,AJ161)&gt;0)),"",IF(AK161&lt;&gt;"","REVISAR",IF(OR(G161="",H161="",M161="",N161="",O161="",P161="",X161=""),"INCOMPLETO",IF(AI161&lt;&gt;"","REVISAR",IF(AND(AF161&lt;&gt;"",AG161="ESCANEADO"),"LISTO_COMPLETO","LISTO_SIN_BARCODE")))))</f>
        <v/>
      </c>
      <c r="AI161" s="17">
        <f>IF(NOT(OR(B161="EXISTENTE",COUNTA(G161,H161,I161,J161,K161,M161,N161,U161,V161,X161,Y161,Z161,AF161,AJ161)&gt;0)),"",TEXTJOIN(" | ",TRUE,IF(A161="","Falta ID staging",""),IF(COUNTIF($A$5:$A$445,A161)&gt;1,"ID staging duplicado",""),IF(G161="","Falta nombre",""),IF(LEN(G161)&gt;150,"Nombre &gt;150 caracteres",""),IF(H161="","Falta categoría",IF(COUNTIF(CategoriasLista,H161)=0,"Categoría inválida","")),IF(M161="","Falta precio compra",IF(OR(NOT(ISNUMBER(M161)),M161&lt;0),"Precio compra inválido","")),IF(N161="","Falta precio venta",IF(OR(NOT(ISNUMBER(N161)),N161&lt;=0,N161&lt;M161),"Precio venta inválido","")),IF(O161="","Falta stock mínimo",IF(OR(NOT(ISNUMBER(O161)),O161&lt;0,MOD(O161,1)&lt;&gt;0),"Stock mínimo inválido","")),IF(P161="","Falta unidad",IF(COUNTIF(UnidadesLista,P161)=0,"Unidad inválida","")),IF(AND(K161&lt;&gt;"",COUNTIF(ProveedoresLista,K161)=0),"Proveedor no catalogado",""),IF(X161="","Falta cantidad contada",IF(OR(NOT(ISNUMBER(X161)),X161&lt;0,ABS(X161*1000-ROUND(X161*1000,0))&gt;0.0000001),"Cantidad inválida",IF(AND(Q161="NO",MOD(X161,1)&lt;&gt;0),"Cantidad fraccionaria no permitida",""))),IF(AND(R161="SI",OR(NOT(ISNUMBER(S161)),S161&lt;1,MOD(S161,1)&lt;&gt;0)),"Empaque inválido",""),IF(OR(AND(AF161="",AG161="ESCANEADO"),AND(AF161&lt;&gt;"",AG161&lt;&gt;"ESCANEADO")),"Barcode/estado inconsistente",""),IF(AK161&lt;&gt;"",AK161,"")))</f>
        <v/>
      </c>
      <c r="AJ161" s="21" t="n"/>
      <c r="AK161" s="17">
        <f>IF(G161="","",IF(OR(COUNTIFS($G$5:$G$445,G161,$I$5:$I$445,I161,$J$5:$J$445,J161,$P$5:$P$445,P161)&gt;1,AND(AF161&lt;&gt;"",COUNTIF($AF$5:$AF$445,AF161)&gt;1)),"REVISAR_POSIBLE_DUPLICADO",""))</f>
        <v/>
      </c>
    </row>
    <row r="162">
      <c r="A162" s="17" t="inlineStr">
        <is>
          <t>7c01b94f-f9bc-5b48-af8b-19e9b45f8f74</t>
        </is>
      </c>
      <c r="B162" s="18" t="inlineStr">
        <is>
          <t>NUEVO</t>
        </is>
      </c>
      <c r="C162" s="18" t="inlineStr">
        <is>
          <t>ACTIVO</t>
        </is>
      </c>
      <c r="D162" s="18" t="n"/>
      <c r="E162" s="17" t="n"/>
      <c r="F162" s="17" t="n"/>
      <c r="G162" s="19" t="n"/>
      <c r="H162" s="19" t="n"/>
      <c r="I162" s="20" t="n"/>
      <c r="J162" s="20" t="n"/>
      <c r="K162" s="21" t="n"/>
      <c r="L162" s="18" t="n"/>
      <c r="M162" s="22" t="n"/>
      <c r="N162" s="22" t="n"/>
      <c r="O162" s="23" t="n">
        <v>10</v>
      </c>
      <c r="P162" s="24" t="inlineStr">
        <is>
          <t>UNIDAD</t>
        </is>
      </c>
      <c r="Q162" s="20" t="inlineStr">
        <is>
          <t>NO</t>
        </is>
      </c>
      <c r="R162" s="20" t="inlineStr">
        <is>
          <t>NO</t>
        </is>
      </c>
      <c r="S162" s="25" t="n">
        <v>1</v>
      </c>
      <c r="T162" s="20" t="inlineStr">
        <is>
          <t>NO</t>
        </is>
      </c>
      <c r="U162" s="20" t="n"/>
      <c r="V162" s="21" t="n"/>
      <c r="W162" s="26" t="n"/>
      <c r="X162" s="27" t="n"/>
      <c r="Y162" s="20" t="n"/>
      <c r="Z162" s="20" t="n"/>
      <c r="AA162" s="26">
        <f>IF(X162="","",X162-IF(W162="",0,W162))</f>
        <v/>
      </c>
      <c r="AB162" s="28">
        <f>IF(OR(X162="",M162=""),"",X162*M162)</f>
        <v/>
      </c>
      <c r="AC162" s="28">
        <f>IF(OR(X162="",N162=""),"",X162*N162)</f>
        <v/>
      </c>
      <c r="AD162" s="28">
        <f>IF(OR(M162="",N162=""),"",N162-M162)</f>
        <v/>
      </c>
      <c r="AE162" s="29">
        <f>IFERROR(IF(M162&gt;0,(N162-M162)/M162,""),"")</f>
        <v/>
      </c>
      <c r="AF162" s="30" t="n"/>
      <c r="AG162" s="30" t="inlineStr">
        <is>
          <t>PENDIENTE</t>
        </is>
      </c>
      <c r="AH162" s="18">
        <f>IF(NOT(OR(B162="EXISTENTE",COUNTA(G162,H162,I162,J162,K162,M162,N162,U162,V162,X162,Y162,Z162,AF162,AJ162)&gt;0)),"",IF(AK162&lt;&gt;"","REVISAR",IF(OR(G162="",H162="",M162="",N162="",O162="",P162="",X162=""),"INCOMPLETO",IF(AI162&lt;&gt;"","REVISAR",IF(AND(AF162&lt;&gt;"",AG162="ESCANEADO"),"LISTO_COMPLETO","LISTO_SIN_BARCODE")))))</f>
        <v/>
      </c>
      <c r="AI162" s="17">
        <f>IF(NOT(OR(B162="EXISTENTE",COUNTA(G162,H162,I162,J162,K162,M162,N162,U162,V162,X162,Y162,Z162,AF162,AJ162)&gt;0)),"",TEXTJOIN(" | ",TRUE,IF(A162="","Falta ID staging",""),IF(COUNTIF($A$5:$A$445,A162)&gt;1,"ID staging duplicado",""),IF(G162="","Falta nombre",""),IF(LEN(G162)&gt;150,"Nombre &gt;150 caracteres",""),IF(H162="","Falta categoría",IF(COUNTIF(CategoriasLista,H162)=0,"Categoría inválida","")),IF(M162="","Falta precio compra",IF(OR(NOT(ISNUMBER(M162)),M162&lt;0),"Precio compra inválido","")),IF(N162="","Falta precio venta",IF(OR(NOT(ISNUMBER(N162)),N162&lt;=0,N162&lt;M162),"Precio venta inválido","")),IF(O162="","Falta stock mínimo",IF(OR(NOT(ISNUMBER(O162)),O162&lt;0,MOD(O162,1)&lt;&gt;0),"Stock mínimo inválido","")),IF(P162="","Falta unidad",IF(COUNTIF(UnidadesLista,P162)=0,"Unidad inválida","")),IF(AND(K162&lt;&gt;"",COUNTIF(ProveedoresLista,K162)=0),"Proveedor no catalogado",""),IF(X162="","Falta cantidad contada",IF(OR(NOT(ISNUMBER(X162)),X162&lt;0,ABS(X162*1000-ROUND(X162*1000,0))&gt;0.0000001),"Cantidad inválida",IF(AND(Q162="NO",MOD(X162,1)&lt;&gt;0),"Cantidad fraccionaria no permitida",""))),IF(AND(R162="SI",OR(NOT(ISNUMBER(S162)),S162&lt;1,MOD(S162,1)&lt;&gt;0)),"Empaque inválido",""),IF(OR(AND(AF162="",AG162="ESCANEADO"),AND(AF162&lt;&gt;"",AG162&lt;&gt;"ESCANEADO")),"Barcode/estado inconsistente",""),IF(AK162&lt;&gt;"",AK162,"")))</f>
        <v/>
      </c>
      <c r="AJ162" s="21" t="n"/>
      <c r="AK162" s="17">
        <f>IF(G162="","",IF(OR(COUNTIFS($G$5:$G$445,G162,$I$5:$I$445,I162,$J$5:$J$445,J162,$P$5:$P$445,P162)&gt;1,AND(AF162&lt;&gt;"",COUNTIF($AF$5:$AF$445,AF162)&gt;1)),"REVISAR_POSIBLE_DUPLICADO",""))</f>
        <v/>
      </c>
    </row>
    <row r="163">
      <c r="A163" s="17" t="inlineStr">
        <is>
          <t>b794c486-562c-5e3a-9b4d-8d9c27042819</t>
        </is>
      </c>
      <c r="B163" s="18" t="inlineStr">
        <is>
          <t>NUEVO</t>
        </is>
      </c>
      <c r="C163" s="18" t="inlineStr">
        <is>
          <t>ACTIVO</t>
        </is>
      </c>
      <c r="D163" s="18" t="n"/>
      <c r="E163" s="17" t="n"/>
      <c r="F163" s="17" t="n"/>
      <c r="G163" s="19" t="n"/>
      <c r="H163" s="19" t="n"/>
      <c r="I163" s="20" t="n"/>
      <c r="J163" s="20" t="n"/>
      <c r="K163" s="21" t="n"/>
      <c r="L163" s="18" t="n"/>
      <c r="M163" s="22" t="n"/>
      <c r="N163" s="22" t="n"/>
      <c r="O163" s="23" t="n">
        <v>10</v>
      </c>
      <c r="P163" s="24" t="inlineStr">
        <is>
          <t>UNIDAD</t>
        </is>
      </c>
      <c r="Q163" s="20" t="inlineStr">
        <is>
          <t>NO</t>
        </is>
      </c>
      <c r="R163" s="20" t="inlineStr">
        <is>
          <t>NO</t>
        </is>
      </c>
      <c r="S163" s="25" t="n">
        <v>1</v>
      </c>
      <c r="T163" s="20" t="inlineStr">
        <is>
          <t>NO</t>
        </is>
      </c>
      <c r="U163" s="20" t="n"/>
      <c r="V163" s="21" t="n"/>
      <c r="W163" s="26" t="n"/>
      <c r="X163" s="27" t="n"/>
      <c r="Y163" s="20" t="n"/>
      <c r="Z163" s="20" t="n"/>
      <c r="AA163" s="26">
        <f>IF(X163="","",X163-IF(W163="",0,W163))</f>
        <v/>
      </c>
      <c r="AB163" s="28">
        <f>IF(OR(X163="",M163=""),"",X163*M163)</f>
        <v/>
      </c>
      <c r="AC163" s="28">
        <f>IF(OR(X163="",N163=""),"",X163*N163)</f>
        <v/>
      </c>
      <c r="AD163" s="28">
        <f>IF(OR(M163="",N163=""),"",N163-M163)</f>
        <v/>
      </c>
      <c r="AE163" s="29">
        <f>IFERROR(IF(M163&gt;0,(N163-M163)/M163,""),"")</f>
        <v/>
      </c>
      <c r="AF163" s="30" t="n"/>
      <c r="AG163" s="30" t="inlineStr">
        <is>
          <t>PENDIENTE</t>
        </is>
      </c>
      <c r="AH163" s="18">
        <f>IF(NOT(OR(B163="EXISTENTE",COUNTA(G163,H163,I163,J163,K163,M163,N163,U163,V163,X163,Y163,Z163,AF163,AJ163)&gt;0)),"",IF(AK163&lt;&gt;"","REVISAR",IF(OR(G163="",H163="",M163="",N163="",O163="",P163="",X163=""),"INCOMPLETO",IF(AI163&lt;&gt;"","REVISAR",IF(AND(AF163&lt;&gt;"",AG163="ESCANEADO"),"LISTO_COMPLETO","LISTO_SIN_BARCODE")))))</f>
        <v/>
      </c>
      <c r="AI163" s="17">
        <f>IF(NOT(OR(B163="EXISTENTE",COUNTA(G163,H163,I163,J163,K163,M163,N163,U163,V163,X163,Y163,Z163,AF163,AJ163)&gt;0)),"",TEXTJOIN(" | ",TRUE,IF(A163="","Falta ID staging",""),IF(COUNTIF($A$5:$A$445,A163)&gt;1,"ID staging duplicado",""),IF(G163="","Falta nombre",""),IF(LEN(G163)&gt;150,"Nombre &gt;150 caracteres",""),IF(H163="","Falta categoría",IF(COUNTIF(CategoriasLista,H163)=0,"Categoría inválida","")),IF(M163="","Falta precio compra",IF(OR(NOT(ISNUMBER(M163)),M163&lt;0),"Precio compra inválido","")),IF(N163="","Falta precio venta",IF(OR(NOT(ISNUMBER(N163)),N163&lt;=0,N163&lt;M163),"Precio venta inválido","")),IF(O163="","Falta stock mínimo",IF(OR(NOT(ISNUMBER(O163)),O163&lt;0,MOD(O163,1)&lt;&gt;0),"Stock mínimo inválido","")),IF(P163="","Falta unidad",IF(COUNTIF(UnidadesLista,P163)=0,"Unidad inválida","")),IF(AND(K163&lt;&gt;"",COUNTIF(ProveedoresLista,K163)=0),"Proveedor no catalogado",""),IF(X163="","Falta cantidad contada",IF(OR(NOT(ISNUMBER(X163)),X163&lt;0,ABS(X163*1000-ROUND(X163*1000,0))&gt;0.0000001),"Cantidad inválida",IF(AND(Q163="NO",MOD(X163,1)&lt;&gt;0),"Cantidad fraccionaria no permitida",""))),IF(AND(R163="SI",OR(NOT(ISNUMBER(S163)),S163&lt;1,MOD(S163,1)&lt;&gt;0)),"Empaque inválido",""),IF(OR(AND(AF163="",AG163="ESCANEADO"),AND(AF163&lt;&gt;"",AG163&lt;&gt;"ESCANEADO")),"Barcode/estado inconsistente",""),IF(AK163&lt;&gt;"",AK163,"")))</f>
        <v/>
      </c>
      <c r="AJ163" s="21" t="n"/>
      <c r="AK163" s="17">
        <f>IF(G163="","",IF(OR(COUNTIFS($G$5:$G$445,G163,$I$5:$I$445,I163,$J$5:$J$445,J163,$P$5:$P$445,P163)&gt;1,AND(AF163&lt;&gt;"",COUNTIF($AF$5:$AF$445,AF163)&gt;1)),"REVISAR_POSIBLE_DUPLICADO",""))</f>
        <v/>
      </c>
    </row>
    <row r="164">
      <c r="A164" s="17" t="inlineStr">
        <is>
          <t>6dcbf0f4-4af4-501a-8a45-06666f65f7e7</t>
        </is>
      </c>
      <c r="B164" s="18" t="inlineStr">
        <is>
          <t>NUEVO</t>
        </is>
      </c>
      <c r="C164" s="18" t="inlineStr">
        <is>
          <t>ACTIVO</t>
        </is>
      </c>
      <c r="D164" s="18" t="n"/>
      <c r="E164" s="17" t="n"/>
      <c r="F164" s="17" t="n"/>
      <c r="G164" s="19" t="n"/>
      <c r="H164" s="19" t="n"/>
      <c r="I164" s="20" t="n"/>
      <c r="J164" s="20" t="n"/>
      <c r="K164" s="21" t="n"/>
      <c r="L164" s="18" t="n"/>
      <c r="M164" s="22" t="n"/>
      <c r="N164" s="22" t="n"/>
      <c r="O164" s="23" t="n">
        <v>10</v>
      </c>
      <c r="P164" s="24" t="inlineStr">
        <is>
          <t>UNIDAD</t>
        </is>
      </c>
      <c r="Q164" s="20" t="inlineStr">
        <is>
          <t>NO</t>
        </is>
      </c>
      <c r="R164" s="20" t="inlineStr">
        <is>
          <t>NO</t>
        </is>
      </c>
      <c r="S164" s="25" t="n">
        <v>1</v>
      </c>
      <c r="T164" s="20" t="inlineStr">
        <is>
          <t>NO</t>
        </is>
      </c>
      <c r="U164" s="20" t="n"/>
      <c r="V164" s="21" t="n"/>
      <c r="W164" s="26" t="n"/>
      <c r="X164" s="27" t="n"/>
      <c r="Y164" s="20" t="n"/>
      <c r="Z164" s="20" t="n"/>
      <c r="AA164" s="26">
        <f>IF(X164="","",X164-IF(W164="",0,W164))</f>
        <v/>
      </c>
      <c r="AB164" s="28">
        <f>IF(OR(X164="",M164=""),"",X164*M164)</f>
        <v/>
      </c>
      <c r="AC164" s="28">
        <f>IF(OR(X164="",N164=""),"",X164*N164)</f>
        <v/>
      </c>
      <c r="AD164" s="28">
        <f>IF(OR(M164="",N164=""),"",N164-M164)</f>
        <v/>
      </c>
      <c r="AE164" s="29">
        <f>IFERROR(IF(M164&gt;0,(N164-M164)/M164,""),"")</f>
        <v/>
      </c>
      <c r="AF164" s="30" t="n"/>
      <c r="AG164" s="30" t="inlineStr">
        <is>
          <t>PENDIENTE</t>
        </is>
      </c>
      <c r="AH164" s="18">
        <f>IF(NOT(OR(B164="EXISTENTE",COUNTA(G164,H164,I164,J164,K164,M164,N164,U164,V164,X164,Y164,Z164,AF164,AJ164)&gt;0)),"",IF(AK164&lt;&gt;"","REVISAR",IF(OR(G164="",H164="",M164="",N164="",O164="",P164="",X164=""),"INCOMPLETO",IF(AI164&lt;&gt;"","REVISAR",IF(AND(AF164&lt;&gt;"",AG164="ESCANEADO"),"LISTO_COMPLETO","LISTO_SIN_BARCODE")))))</f>
        <v/>
      </c>
      <c r="AI164" s="17">
        <f>IF(NOT(OR(B164="EXISTENTE",COUNTA(G164,H164,I164,J164,K164,M164,N164,U164,V164,X164,Y164,Z164,AF164,AJ164)&gt;0)),"",TEXTJOIN(" | ",TRUE,IF(A164="","Falta ID staging",""),IF(COUNTIF($A$5:$A$445,A164)&gt;1,"ID staging duplicado",""),IF(G164="","Falta nombre",""),IF(LEN(G164)&gt;150,"Nombre &gt;150 caracteres",""),IF(H164="","Falta categoría",IF(COUNTIF(CategoriasLista,H164)=0,"Categoría inválida","")),IF(M164="","Falta precio compra",IF(OR(NOT(ISNUMBER(M164)),M164&lt;0),"Precio compra inválido","")),IF(N164="","Falta precio venta",IF(OR(NOT(ISNUMBER(N164)),N164&lt;=0,N164&lt;M164),"Precio venta inválido","")),IF(O164="","Falta stock mínimo",IF(OR(NOT(ISNUMBER(O164)),O164&lt;0,MOD(O164,1)&lt;&gt;0),"Stock mínimo inválido","")),IF(P164="","Falta unidad",IF(COUNTIF(UnidadesLista,P164)=0,"Unidad inválida","")),IF(AND(K164&lt;&gt;"",COUNTIF(ProveedoresLista,K164)=0),"Proveedor no catalogado",""),IF(X164="","Falta cantidad contada",IF(OR(NOT(ISNUMBER(X164)),X164&lt;0,ABS(X164*1000-ROUND(X164*1000,0))&gt;0.0000001),"Cantidad inválida",IF(AND(Q164="NO",MOD(X164,1)&lt;&gt;0),"Cantidad fraccionaria no permitida",""))),IF(AND(R164="SI",OR(NOT(ISNUMBER(S164)),S164&lt;1,MOD(S164,1)&lt;&gt;0)),"Empaque inválido",""),IF(OR(AND(AF164="",AG164="ESCANEADO"),AND(AF164&lt;&gt;"",AG164&lt;&gt;"ESCANEADO")),"Barcode/estado inconsistente",""),IF(AK164&lt;&gt;"",AK164,"")))</f>
        <v/>
      </c>
      <c r="AJ164" s="21" t="n"/>
      <c r="AK164" s="17">
        <f>IF(G164="","",IF(OR(COUNTIFS($G$5:$G$445,G164,$I$5:$I$445,I164,$J$5:$J$445,J164,$P$5:$P$445,P164)&gt;1,AND(AF164&lt;&gt;"",COUNTIF($AF$5:$AF$445,AF164)&gt;1)),"REVISAR_POSIBLE_DUPLICADO",""))</f>
        <v/>
      </c>
    </row>
    <row r="165">
      <c r="A165" s="17" t="inlineStr">
        <is>
          <t>ea41e752-d05d-5564-9e2b-7f97ede966be</t>
        </is>
      </c>
      <c r="B165" s="18" t="inlineStr">
        <is>
          <t>NUEVO</t>
        </is>
      </c>
      <c r="C165" s="18" t="inlineStr">
        <is>
          <t>ACTIVO</t>
        </is>
      </c>
      <c r="D165" s="18" t="n"/>
      <c r="E165" s="17" t="n"/>
      <c r="F165" s="17" t="n"/>
      <c r="G165" s="19" t="n"/>
      <c r="H165" s="19" t="n"/>
      <c r="I165" s="20" t="n"/>
      <c r="J165" s="20" t="n"/>
      <c r="K165" s="21" t="n"/>
      <c r="L165" s="18" t="n"/>
      <c r="M165" s="22" t="n"/>
      <c r="N165" s="22" t="n"/>
      <c r="O165" s="23" t="n">
        <v>10</v>
      </c>
      <c r="P165" s="24" t="inlineStr">
        <is>
          <t>UNIDAD</t>
        </is>
      </c>
      <c r="Q165" s="20" t="inlineStr">
        <is>
          <t>NO</t>
        </is>
      </c>
      <c r="R165" s="20" t="inlineStr">
        <is>
          <t>NO</t>
        </is>
      </c>
      <c r="S165" s="25" t="n">
        <v>1</v>
      </c>
      <c r="T165" s="20" t="inlineStr">
        <is>
          <t>NO</t>
        </is>
      </c>
      <c r="U165" s="20" t="n"/>
      <c r="V165" s="21" t="n"/>
      <c r="W165" s="26" t="n"/>
      <c r="X165" s="27" t="n"/>
      <c r="Y165" s="20" t="n"/>
      <c r="Z165" s="20" t="n"/>
      <c r="AA165" s="26">
        <f>IF(X165="","",X165-IF(W165="",0,W165))</f>
        <v/>
      </c>
      <c r="AB165" s="28">
        <f>IF(OR(X165="",M165=""),"",X165*M165)</f>
        <v/>
      </c>
      <c r="AC165" s="28">
        <f>IF(OR(X165="",N165=""),"",X165*N165)</f>
        <v/>
      </c>
      <c r="AD165" s="28">
        <f>IF(OR(M165="",N165=""),"",N165-M165)</f>
        <v/>
      </c>
      <c r="AE165" s="29">
        <f>IFERROR(IF(M165&gt;0,(N165-M165)/M165,""),"")</f>
        <v/>
      </c>
      <c r="AF165" s="30" t="n"/>
      <c r="AG165" s="30" t="inlineStr">
        <is>
          <t>PENDIENTE</t>
        </is>
      </c>
      <c r="AH165" s="18">
        <f>IF(NOT(OR(B165="EXISTENTE",COUNTA(G165,H165,I165,J165,K165,M165,N165,U165,V165,X165,Y165,Z165,AF165,AJ165)&gt;0)),"",IF(AK165&lt;&gt;"","REVISAR",IF(OR(G165="",H165="",M165="",N165="",O165="",P165="",X165=""),"INCOMPLETO",IF(AI165&lt;&gt;"","REVISAR",IF(AND(AF165&lt;&gt;"",AG165="ESCANEADO"),"LISTO_COMPLETO","LISTO_SIN_BARCODE")))))</f>
        <v/>
      </c>
      <c r="AI165" s="17">
        <f>IF(NOT(OR(B165="EXISTENTE",COUNTA(G165,H165,I165,J165,K165,M165,N165,U165,V165,X165,Y165,Z165,AF165,AJ165)&gt;0)),"",TEXTJOIN(" | ",TRUE,IF(A165="","Falta ID staging",""),IF(COUNTIF($A$5:$A$445,A165)&gt;1,"ID staging duplicado",""),IF(G165="","Falta nombre",""),IF(LEN(G165)&gt;150,"Nombre &gt;150 caracteres",""),IF(H165="","Falta categoría",IF(COUNTIF(CategoriasLista,H165)=0,"Categoría inválida","")),IF(M165="","Falta precio compra",IF(OR(NOT(ISNUMBER(M165)),M165&lt;0),"Precio compra inválido","")),IF(N165="","Falta precio venta",IF(OR(NOT(ISNUMBER(N165)),N165&lt;=0,N165&lt;M165),"Precio venta inválido","")),IF(O165="","Falta stock mínimo",IF(OR(NOT(ISNUMBER(O165)),O165&lt;0,MOD(O165,1)&lt;&gt;0),"Stock mínimo inválido","")),IF(P165="","Falta unidad",IF(COUNTIF(UnidadesLista,P165)=0,"Unidad inválida","")),IF(AND(K165&lt;&gt;"",COUNTIF(ProveedoresLista,K165)=0),"Proveedor no catalogado",""),IF(X165="","Falta cantidad contada",IF(OR(NOT(ISNUMBER(X165)),X165&lt;0,ABS(X165*1000-ROUND(X165*1000,0))&gt;0.0000001),"Cantidad inválida",IF(AND(Q165="NO",MOD(X165,1)&lt;&gt;0),"Cantidad fraccionaria no permitida",""))),IF(AND(R165="SI",OR(NOT(ISNUMBER(S165)),S165&lt;1,MOD(S165,1)&lt;&gt;0)),"Empaque inválido",""),IF(OR(AND(AF165="",AG165="ESCANEADO"),AND(AF165&lt;&gt;"",AG165&lt;&gt;"ESCANEADO")),"Barcode/estado inconsistente",""),IF(AK165&lt;&gt;"",AK165,"")))</f>
        <v/>
      </c>
      <c r="AJ165" s="21" t="n"/>
      <c r="AK165" s="17">
        <f>IF(G165="","",IF(OR(COUNTIFS($G$5:$G$445,G165,$I$5:$I$445,I165,$J$5:$J$445,J165,$P$5:$P$445,P165)&gt;1,AND(AF165&lt;&gt;"",COUNTIF($AF$5:$AF$445,AF165)&gt;1)),"REVISAR_POSIBLE_DUPLICADO",""))</f>
        <v/>
      </c>
    </row>
    <row r="166">
      <c r="A166" s="17" t="inlineStr">
        <is>
          <t>46907fe1-e046-5ed1-9275-dc4ff764c791</t>
        </is>
      </c>
      <c r="B166" s="18" t="inlineStr">
        <is>
          <t>NUEVO</t>
        </is>
      </c>
      <c r="C166" s="18" t="inlineStr">
        <is>
          <t>ACTIVO</t>
        </is>
      </c>
      <c r="D166" s="18" t="n"/>
      <c r="E166" s="17" t="n"/>
      <c r="F166" s="17" t="n"/>
      <c r="G166" s="19" t="n"/>
      <c r="H166" s="19" t="n"/>
      <c r="I166" s="20" t="n"/>
      <c r="J166" s="20" t="n"/>
      <c r="K166" s="21" t="n"/>
      <c r="L166" s="18" t="n"/>
      <c r="M166" s="22" t="n"/>
      <c r="N166" s="22" t="n"/>
      <c r="O166" s="23" t="n">
        <v>10</v>
      </c>
      <c r="P166" s="24" t="inlineStr">
        <is>
          <t>UNIDAD</t>
        </is>
      </c>
      <c r="Q166" s="20" t="inlineStr">
        <is>
          <t>NO</t>
        </is>
      </c>
      <c r="R166" s="20" t="inlineStr">
        <is>
          <t>NO</t>
        </is>
      </c>
      <c r="S166" s="25" t="n">
        <v>1</v>
      </c>
      <c r="T166" s="20" t="inlineStr">
        <is>
          <t>NO</t>
        </is>
      </c>
      <c r="U166" s="20" t="n"/>
      <c r="V166" s="21" t="n"/>
      <c r="W166" s="26" t="n"/>
      <c r="X166" s="27" t="n"/>
      <c r="Y166" s="20" t="n"/>
      <c r="Z166" s="20" t="n"/>
      <c r="AA166" s="26">
        <f>IF(X166="","",X166-IF(W166="",0,W166))</f>
        <v/>
      </c>
      <c r="AB166" s="28">
        <f>IF(OR(X166="",M166=""),"",X166*M166)</f>
        <v/>
      </c>
      <c r="AC166" s="28">
        <f>IF(OR(X166="",N166=""),"",X166*N166)</f>
        <v/>
      </c>
      <c r="AD166" s="28">
        <f>IF(OR(M166="",N166=""),"",N166-M166)</f>
        <v/>
      </c>
      <c r="AE166" s="29">
        <f>IFERROR(IF(M166&gt;0,(N166-M166)/M166,""),"")</f>
        <v/>
      </c>
      <c r="AF166" s="30" t="n"/>
      <c r="AG166" s="30" t="inlineStr">
        <is>
          <t>PENDIENTE</t>
        </is>
      </c>
      <c r="AH166" s="18">
        <f>IF(NOT(OR(B166="EXISTENTE",COUNTA(G166,H166,I166,J166,K166,M166,N166,U166,V166,X166,Y166,Z166,AF166,AJ166)&gt;0)),"",IF(AK166&lt;&gt;"","REVISAR",IF(OR(G166="",H166="",M166="",N166="",O166="",P166="",X166=""),"INCOMPLETO",IF(AI166&lt;&gt;"","REVISAR",IF(AND(AF166&lt;&gt;"",AG166="ESCANEADO"),"LISTO_COMPLETO","LISTO_SIN_BARCODE")))))</f>
        <v/>
      </c>
      <c r="AI166" s="17">
        <f>IF(NOT(OR(B166="EXISTENTE",COUNTA(G166,H166,I166,J166,K166,M166,N166,U166,V166,X166,Y166,Z166,AF166,AJ166)&gt;0)),"",TEXTJOIN(" | ",TRUE,IF(A166="","Falta ID staging",""),IF(COUNTIF($A$5:$A$445,A166)&gt;1,"ID staging duplicado",""),IF(G166="","Falta nombre",""),IF(LEN(G166)&gt;150,"Nombre &gt;150 caracteres",""),IF(H166="","Falta categoría",IF(COUNTIF(CategoriasLista,H166)=0,"Categoría inválida","")),IF(M166="","Falta precio compra",IF(OR(NOT(ISNUMBER(M166)),M166&lt;0),"Precio compra inválido","")),IF(N166="","Falta precio venta",IF(OR(NOT(ISNUMBER(N166)),N166&lt;=0,N166&lt;M166),"Precio venta inválido","")),IF(O166="","Falta stock mínimo",IF(OR(NOT(ISNUMBER(O166)),O166&lt;0,MOD(O166,1)&lt;&gt;0),"Stock mínimo inválido","")),IF(P166="","Falta unidad",IF(COUNTIF(UnidadesLista,P166)=0,"Unidad inválida","")),IF(AND(K166&lt;&gt;"",COUNTIF(ProveedoresLista,K166)=0),"Proveedor no catalogado",""),IF(X166="","Falta cantidad contada",IF(OR(NOT(ISNUMBER(X166)),X166&lt;0,ABS(X166*1000-ROUND(X166*1000,0))&gt;0.0000001),"Cantidad inválida",IF(AND(Q166="NO",MOD(X166,1)&lt;&gt;0),"Cantidad fraccionaria no permitida",""))),IF(AND(R166="SI",OR(NOT(ISNUMBER(S166)),S166&lt;1,MOD(S166,1)&lt;&gt;0)),"Empaque inválido",""),IF(OR(AND(AF166="",AG166="ESCANEADO"),AND(AF166&lt;&gt;"",AG166&lt;&gt;"ESCANEADO")),"Barcode/estado inconsistente",""),IF(AK166&lt;&gt;"",AK166,"")))</f>
        <v/>
      </c>
      <c r="AJ166" s="21" t="n"/>
      <c r="AK166" s="17">
        <f>IF(G166="","",IF(OR(COUNTIFS($G$5:$G$445,G166,$I$5:$I$445,I166,$J$5:$J$445,J166,$P$5:$P$445,P166)&gt;1,AND(AF166&lt;&gt;"",COUNTIF($AF$5:$AF$445,AF166)&gt;1)),"REVISAR_POSIBLE_DUPLICADO",""))</f>
        <v/>
      </c>
    </row>
    <row r="167">
      <c r="A167" s="17" t="inlineStr">
        <is>
          <t>099a9f38-c76b-5019-8106-2c95f7b65963</t>
        </is>
      </c>
      <c r="B167" s="18" t="inlineStr">
        <is>
          <t>NUEVO</t>
        </is>
      </c>
      <c r="C167" s="18" t="inlineStr">
        <is>
          <t>ACTIVO</t>
        </is>
      </c>
      <c r="D167" s="18" t="n"/>
      <c r="E167" s="17" t="n"/>
      <c r="F167" s="17" t="n"/>
      <c r="G167" s="19" t="n"/>
      <c r="H167" s="19" t="n"/>
      <c r="I167" s="20" t="n"/>
      <c r="J167" s="20" t="n"/>
      <c r="K167" s="21" t="n"/>
      <c r="L167" s="18" t="n"/>
      <c r="M167" s="22" t="n"/>
      <c r="N167" s="22" t="n"/>
      <c r="O167" s="23" t="n">
        <v>10</v>
      </c>
      <c r="P167" s="24" t="inlineStr">
        <is>
          <t>UNIDAD</t>
        </is>
      </c>
      <c r="Q167" s="20" t="inlineStr">
        <is>
          <t>NO</t>
        </is>
      </c>
      <c r="R167" s="20" t="inlineStr">
        <is>
          <t>NO</t>
        </is>
      </c>
      <c r="S167" s="25" t="n">
        <v>1</v>
      </c>
      <c r="T167" s="20" t="inlineStr">
        <is>
          <t>NO</t>
        </is>
      </c>
      <c r="U167" s="20" t="n"/>
      <c r="V167" s="21" t="n"/>
      <c r="W167" s="26" t="n"/>
      <c r="X167" s="27" t="n"/>
      <c r="Y167" s="20" t="n"/>
      <c r="Z167" s="20" t="n"/>
      <c r="AA167" s="26">
        <f>IF(X167="","",X167-IF(W167="",0,W167))</f>
        <v/>
      </c>
      <c r="AB167" s="28">
        <f>IF(OR(X167="",M167=""),"",X167*M167)</f>
        <v/>
      </c>
      <c r="AC167" s="28">
        <f>IF(OR(X167="",N167=""),"",X167*N167)</f>
        <v/>
      </c>
      <c r="AD167" s="28">
        <f>IF(OR(M167="",N167=""),"",N167-M167)</f>
        <v/>
      </c>
      <c r="AE167" s="29">
        <f>IFERROR(IF(M167&gt;0,(N167-M167)/M167,""),"")</f>
        <v/>
      </c>
      <c r="AF167" s="30" t="n"/>
      <c r="AG167" s="30" t="inlineStr">
        <is>
          <t>PENDIENTE</t>
        </is>
      </c>
      <c r="AH167" s="18">
        <f>IF(NOT(OR(B167="EXISTENTE",COUNTA(G167,H167,I167,J167,K167,M167,N167,U167,V167,X167,Y167,Z167,AF167,AJ167)&gt;0)),"",IF(AK167&lt;&gt;"","REVISAR",IF(OR(G167="",H167="",M167="",N167="",O167="",P167="",X167=""),"INCOMPLETO",IF(AI167&lt;&gt;"","REVISAR",IF(AND(AF167&lt;&gt;"",AG167="ESCANEADO"),"LISTO_COMPLETO","LISTO_SIN_BARCODE")))))</f>
        <v/>
      </c>
      <c r="AI167" s="17">
        <f>IF(NOT(OR(B167="EXISTENTE",COUNTA(G167,H167,I167,J167,K167,M167,N167,U167,V167,X167,Y167,Z167,AF167,AJ167)&gt;0)),"",TEXTJOIN(" | ",TRUE,IF(A167="","Falta ID staging",""),IF(COUNTIF($A$5:$A$445,A167)&gt;1,"ID staging duplicado",""),IF(G167="","Falta nombre",""),IF(LEN(G167)&gt;150,"Nombre &gt;150 caracteres",""),IF(H167="","Falta categoría",IF(COUNTIF(CategoriasLista,H167)=0,"Categoría inválida","")),IF(M167="","Falta precio compra",IF(OR(NOT(ISNUMBER(M167)),M167&lt;0),"Precio compra inválido","")),IF(N167="","Falta precio venta",IF(OR(NOT(ISNUMBER(N167)),N167&lt;=0,N167&lt;M167),"Precio venta inválido","")),IF(O167="","Falta stock mínimo",IF(OR(NOT(ISNUMBER(O167)),O167&lt;0,MOD(O167,1)&lt;&gt;0),"Stock mínimo inválido","")),IF(P167="","Falta unidad",IF(COUNTIF(UnidadesLista,P167)=0,"Unidad inválida","")),IF(AND(K167&lt;&gt;"",COUNTIF(ProveedoresLista,K167)=0),"Proveedor no catalogado",""),IF(X167="","Falta cantidad contada",IF(OR(NOT(ISNUMBER(X167)),X167&lt;0,ABS(X167*1000-ROUND(X167*1000,0))&gt;0.0000001),"Cantidad inválida",IF(AND(Q167="NO",MOD(X167,1)&lt;&gt;0),"Cantidad fraccionaria no permitida",""))),IF(AND(R167="SI",OR(NOT(ISNUMBER(S167)),S167&lt;1,MOD(S167,1)&lt;&gt;0)),"Empaque inválido",""),IF(OR(AND(AF167="",AG167="ESCANEADO"),AND(AF167&lt;&gt;"",AG167&lt;&gt;"ESCANEADO")),"Barcode/estado inconsistente",""),IF(AK167&lt;&gt;"",AK167,"")))</f>
        <v/>
      </c>
      <c r="AJ167" s="21" t="n"/>
      <c r="AK167" s="17">
        <f>IF(G167="","",IF(OR(COUNTIFS($G$5:$G$445,G167,$I$5:$I$445,I167,$J$5:$J$445,J167,$P$5:$P$445,P167)&gt;1,AND(AF167&lt;&gt;"",COUNTIF($AF$5:$AF$445,AF167)&gt;1)),"REVISAR_POSIBLE_DUPLICADO",""))</f>
        <v/>
      </c>
    </row>
    <row r="168">
      <c r="A168" s="17" t="inlineStr">
        <is>
          <t>49f6cd04-445a-5395-a41b-aa18f6c7a6e4</t>
        </is>
      </c>
      <c r="B168" s="18" t="inlineStr">
        <is>
          <t>NUEVO</t>
        </is>
      </c>
      <c r="C168" s="18" t="inlineStr">
        <is>
          <t>ACTIVO</t>
        </is>
      </c>
      <c r="D168" s="18" t="n"/>
      <c r="E168" s="17" t="n"/>
      <c r="F168" s="17" t="n"/>
      <c r="G168" s="19" t="n"/>
      <c r="H168" s="19" t="n"/>
      <c r="I168" s="20" t="n"/>
      <c r="J168" s="20" t="n"/>
      <c r="K168" s="21" t="n"/>
      <c r="L168" s="18" t="n"/>
      <c r="M168" s="22" t="n"/>
      <c r="N168" s="22" t="n"/>
      <c r="O168" s="23" t="n">
        <v>10</v>
      </c>
      <c r="P168" s="24" t="inlineStr">
        <is>
          <t>UNIDAD</t>
        </is>
      </c>
      <c r="Q168" s="20" t="inlineStr">
        <is>
          <t>NO</t>
        </is>
      </c>
      <c r="R168" s="20" t="inlineStr">
        <is>
          <t>NO</t>
        </is>
      </c>
      <c r="S168" s="25" t="n">
        <v>1</v>
      </c>
      <c r="T168" s="20" t="inlineStr">
        <is>
          <t>NO</t>
        </is>
      </c>
      <c r="U168" s="20" t="n"/>
      <c r="V168" s="21" t="n"/>
      <c r="W168" s="26" t="n"/>
      <c r="X168" s="27" t="n"/>
      <c r="Y168" s="20" t="n"/>
      <c r="Z168" s="20" t="n"/>
      <c r="AA168" s="26">
        <f>IF(X168="","",X168-IF(W168="",0,W168))</f>
        <v/>
      </c>
      <c r="AB168" s="28">
        <f>IF(OR(X168="",M168=""),"",X168*M168)</f>
        <v/>
      </c>
      <c r="AC168" s="28">
        <f>IF(OR(X168="",N168=""),"",X168*N168)</f>
        <v/>
      </c>
      <c r="AD168" s="28">
        <f>IF(OR(M168="",N168=""),"",N168-M168)</f>
        <v/>
      </c>
      <c r="AE168" s="29">
        <f>IFERROR(IF(M168&gt;0,(N168-M168)/M168,""),"")</f>
        <v/>
      </c>
      <c r="AF168" s="30" t="n"/>
      <c r="AG168" s="30" t="inlineStr">
        <is>
          <t>PENDIENTE</t>
        </is>
      </c>
      <c r="AH168" s="18">
        <f>IF(NOT(OR(B168="EXISTENTE",COUNTA(G168,H168,I168,J168,K168,M168,N168,U168,V168,X168,Y168,Z168,AF168,AJ168)&gt;0)),"",IF(AK168&lt;&gt;"","REVISAR",IF(OR(G168="",H168="",M168="",N168="",O168="",P168="",X168=""),"INCOMPLETO",IF(AI168&lt;&gt;"","REVISAR",IF(AND(AF168&lt;&gt;"",AG168="ESCANEADO"),"LISTO_COMPLETO","LISTO_SIN_BARCODE")))))</f>
        <v/>
      </c>
      <c r="AI168" s="17">
        <f>IF(NOT(OR(B168="EXISTENTE",COUNTA(G168,H168,I168,J168,K168,M168,N168,U168,V168,X168,Y168,Z168,AF168,AJ168)&gt;0)),"",TEXTJOIN(" | ",TRUE,IF(A168="","Falta ID staging",""),IF(COUNTIF($A$5:$A$445,A168)&gt;1,"ID staging duplicado",""),IF(G168="","Falta nombre",""),IF(LEN(G168)&gt;150,"Nombre &gt;150 caracteres",""),IF(H168="","Falta categoría",IF(COUNTIF(CategoriasLista,H168)=0,"Categoría inválida","")),IF(M168="","Falta precio compra",IF(OR(NOT(ISNUMBER(M168)),M168&lt;0),"Precio compra inválido","")),IF(N168="","Falta precio venta",IF(OR(NOT(ISNUMBER(N168)),N168&lt;=0,N168&lt;M168),"Precio venta inválido","")),IF(O168="","Falta stock mínimo",IF(OR(NOT(ISNUMBER(O168)),O168&lt;0,MOD(O168,1)&lt;&gt;0),"Stock mínimo inválido","")),IF(P168="","Falta unidad",IF(COUNTIF(UnidadesLista,P168)=0,"Unidad inválida","")),IF(AND(K168&lt;&gt;"",COUNTIF(ProveedoresLista,K168)=0),"Proveedor no catalogado",""),IF(X168="","Falta cantidad contada",IF(OR(NOT(ISNUMBER(X168)),X168&lt;0,ABS(X168*1000-ROUND(X168*1000,0))&gt;0.0000001),"Cantidad inválida",IF(AND(Q168="NO",MOD(X168,1)&lt;&gt;0),"Cantidad fraccionaria no permitida",""))),IF(AND(R168="SI",OR(NOT(ISNUMBER(S168)),S168&lt;1,MOD(S168,1)&lt;&gt;0)),"Empaque inválido",""),IF(OR(AND(AF168="",AG168="ESCANEADO"),AND(AF168&lt;&gt;"",AG168&lt;&gt;"ESCANEADO")),"Barcode/estado inconsistente",""),IF(AK168&lt;&gt;"",AK168,"")))</f>
        <v/>
      </c>
      <c r="AJ168" s="21" t="n"/>
      <c r="AK168" s="17">
        <f>IF(G168="","",IF(OR(COUNTIFS($G$5:$G$445,G168,$I$5:$I$445,I168,$J$5:$J$445,J168,$P$5:$P$445,P168)&gt;1,AND(AF168&lt;&gt;"",COUNTIF($AF$5:$AF$445,AF168)&gt;1)),"REVISAR_POSIBLE_DUPLICADO",""))</f>
        <v/>
      </c>
    </row>
    <row r="169">
      <c r="A169" s="17" t="inlineStr">
        <is>
          <t>88b44eb5-e8a8-5fcf-a77f-9eba1ba6a1af</t>
        </is>
      </c>
      <c r="B169" s="18" t="inlineStr">
        <is>
          <t>NUEVO</t>
        </is>
      </c>
      <c r="C169" s="18" t="inlineStr">
        <is>
          <t>ACTIVO</t>
        </is>
      </c>
      <c r="D169" s="18" t="n"/>
      <c r="E169" s="17" t="n"/>
      <c r="F169" s="17" t="n"/>
      <c r="G169" s="19" t="n"/>
      <c r="H169" s="19" t="n"/>
      <c r="I169" s="20" t="n"/>
      <c r="J169" s="20" t="n"/>
      <c r="K169" s="21" t="n"/>
      <c r="L169" s="18" t="n"/>
      <c r="M169" s="22" t="n"/>
      <c r="N169" s="22" t="n"/>
      <c r="O169" s="23" t="n">
        <v>10</v>
      </c>
      <c r="P169" s="24" t="inlineStr">
        <is>
          <t>UNIDAD</t>
        </is>
      </c>
      <c r="Q169" s="20" t="inlineStr">
        <is>
          <t>NO</t>
        </is>
      </c>
      <c r="R169" s="20" t="inlineStr">
        <is>
          <t>NO</t>
        </is>
      </c>
      <c r="S169" s="25" t="n">
        <v>1</v>
      </c>
      <c r="T169" s="20" t="inlineStr">
        <is>
          <t>NO</t>
        </is>
      </c>
      <c r="U169" s="20" t="n"/>
      <c r="V169" s="21" t="n"/>
      <c r="W169" s="26" t="n"/>
      <c r="X169" s="27" t="n"/>
      <c r="Y169" s="20" t="n"/>
      <c r="Z169" s="20" t="n"/>
      <c r="AA169" s="26">
        <f>IF(X169="","",X169-IF(W169="",0,W169))</f>
        <v/>
      </c>
      <c r="AB169" s="28">
        <f>IF(OR(X169="",M169=""),"",X169*M169)</f>
        <v/>
      </c>
      <c r="AC169" s="28">
        <f>IF(OR(X169="",N169=""),"",X169*N169)</f>
        <v/>
      </c>
      <c r="AD169" s="28">
        <f>IF(OR(M169="",N169=""),"",N169-M169)</f>
        <v/>
      </c>
      <c r="AE169" s="29">
        <f>IFERROR(IF(M169&gt;0,(N169-M169)/M169,""),"")</f>
        <v/>
      </c>
      <c r="AF169" s="30" t="n"/>
      <c r="AG169" s="30" t="inlineStr">
        <is>
          <t>PENDIENTE</t>
        </is>
      </c>
      <c r="AH169" s="18">
        <f>IF(NOT(OR(B169="EXISTENTE",COUNTA(G169,H169,I169,J169,K169,M169,N169,U169,V169,X169,Y169,Z169,AF169,AJ169)&gt;0)),"",IF(AK169&lt;&gt;"","REVISAR",IF(OR(G169="",H169="",M169="",N169="",O169="",P169="",X169=""),"INCOMPLETO",IF(AI169&lt;&gt;"","REVISAR",IF(AND(AF169&lt;&gt;"",AG169="ESCANEADO"),"LISTO_COMPLETO","LISTO_SIN_BARCODE")))))</f>
        <v/>
      </c>
      <c r="AI169" s="17">
        <f>IF(NOT(OR(B169="EXISTENTE",COUNTA(G169,H169,I169,J169,K169,M169,N169,U169,V169,X169,Y169,Z169,AF169,AJ169)&gt;0)),"",TEXTJOIN(" | ",TRUE,IF(A169="","Falta ID staging",""),IF(COUNTIF($A$5:$A$445,A169)&gt;1,"ID staging duplicado",""),IF(G169="","Falta nombre",""),IF(LEN(G169)&gt;150,"Nombre &gt;150 caracteres",""),IF(H169="","Falta categoría",IF(COUNTIF(CategoriasLista,H169)=0,"Categoría inválida","")),IF(M169="","Falta precio compra",IF(OR(NOT(ISNUMBER(M169)),M169&lt;0),"Precio compra inválido","")),IF(N169="","Falta precio venta",IF(OR(NOT(ISNUMBER(N169)),N169&lt;=0,N169&lt;M169),"Precio venta inválido","")),IF(O169="","Falta stock mínimo",IF(OR(NOT(ISNUMBER(O169)),O169&lt;0,MOD(O169,1)&lt;&gt;0),"Stock mínimo inválido","")),IF(P169="","Falta unidad",IF(COUNTIF(UnidadesLista,P169)=0,"Unidad inválida","")),IF(AND(K169&lt;&gt;"",COUNTIF(ProveedoresLista,K169)=0),"Proveedor no catalogado",""),IF(X169="","Falta cantidad contada",IF(OR(NOT(ISNUMBER(X169)),X169&lt;0,ABS(X169*1000-ROUND(X169*1000,0))&gt;0.0000001),"Cantidad inválida",IF(AND(Q169="NO",MOD(X169,1)&lt;&gt;0),"Cantidad fraccionaria no permitida",""))),IF(AND(R169="SI",OR(NOT(ISNUMBER(S169)),S169&lt;1,MOD(S169,1)&lt;&gt;0)),"Empaque inválido",""),IF(OR(AND(AF169="",AG169="ESCANEADO"),AND(AF169&lt;&gt;"",AG169&lt;&gt;"ESCANEADO")),"Barcode/estado inconsistente",""),IF(AK169&lt;&gt;"",AK169,"")))</f>
        <v/>
      </c>
      <c r="AJ169" s="21" t="n"/>
      <c r="AK169" s="17">
        <f>IF(G169="","",IF(OR(COUNTIFS($G$5:$G$445,G169,$I$5:$I$445,I169,$J$5:$J$445,J169,$P$5:$P$445,P169)&gt;1,AND(AF169&lt;&gt;"",COUNTIF($AF$5:$AF$445,AF169)&gt;1)),"REVISAR_POSIBLE_DUPLICADO",""))</f>
        <v/>
      </c>
    </row>
    <row r="170">
      <c r="A170" s="17" t="inlineStr">
        <is>
          <t>145ac54a-1d8b-5f3c-a6e6-9a10bbb397da</t>
        </is>
      </c>
      <c r="B170" s="18" t="inlineStr">
        <is>
          <t>NUEVO</t>
        </is>
      </c>
      <c r="C170" s="18" t="inlineStr">
        <is>
          <t>ACTIVO</t>
        </is>
      </c>
      <c r="D170" s="18" t="n"/>
      <c r="E170" s="17" t="n"/>
      <c r="F170" s="17" t="n"/>
      <c r="G170" s="19" t="n"/>
      <c r="H170" s="19" t="n"/>
      <c r="I170" s="20" t="n"/>
      <c r="J170" s="20" t="n"/>
      <c r="K170" s="21" t="n"/>
      <c r="L170" s="18" t="n"/>
      <c r="M170" s="22" t="n"/>
      <c r="N170" s="22" t="n"/>
      <c r="O170" s="23" t="n">
        <v>10</v>
      </c>
      <c r="P170" s="24" t="inlineStr">
        <is>
          <t>UNIDAD</t>
        </is>
      </c>
      <c r="Q170" s="20" t="inlineStr">
        <is>
          <t>NO</t>
        </is>
      </c>
      <c r="R170" s="20" t="inlineStr">
        <is>
          <t>NO</t>
        </is>
      </c>
      <c r="S170" s="25" t="n">
        <v>1</v>
      </c>
      <c r="T170" s="20" t="inlineStr">
        <is>
          <t>NO</t>
        </is>
      </c>
      <c r="U170" s="20" t="n"/>
      <c r="V170" s="21" t="n"/>
      <c r="W170" s="26" t="n"/>
      <c r="X170" s="27" t="n"/>
      <c r="Y170" s="20" t="n"/>
      <c r="Z170" s="20" t="n"/>
      <c r="AA170" s="26">
        <f>IF(X170="","",X170-IF(W170="",0,W170))</f>
        <v/>
      </c>
      <c r="AB170" s="28">
        <f>IF(OR(X170="",M170=""),"",X170*M170)</f>
        <v/>
      </c>
      <c r="AC170" s="28">
        <f>IF(OR(X170="",N170=""),"",X170*N170)</f>
        <v/>
      </c>
      <c r="AD170" s="28">
        <f>IF(OR(M170="",N170=""),"",N170-M170)</f>
        <v/>
      </c>
      <c r="AE170" s="29">
        <f>IFERROR(IF(M170&gt;0,(N170-M170)/M170,""),"")</f>
        <v/>
      </c>
      <c r="AF170" s="30" t="n"/>
      <c r="AG170" s="30" t="inlineStr">
        <is>
          <t>PENDIENTE</t>
        </is>
      </c>
      <c r="AH170" s="18">
        <f>IF(NOT(OR(B170="EXISTENTE",COUNTA(G170,H170,I170,J170,K170,M170,N170,U170,V170,X170,Y170,Z170,AF170,AJ170)&gt;0)),"",IF(AK170&lt;&gt;"","REVISAR",IF(OR(G170="",H170="",M170="",N170="",O170="",P170="",X170=""),"INCOMPLETO",IF(AI170&lt;&gt;"","REVISAR",IF(AND(AF170&lt;&gt;"",AG170="ESCANEADO"),"LISTO_COMPLETO","LISTO_SIN_BARCODE")))))</f>
        <v/>
      </c>
      <c r="AI170" s="17">
        <f>IF(NOT(OR(B170="EXISTENTE",COUNTA(G170,H170,I170,J170,K170,M170,N170,U170,V170,X170,Y170,Z170,AF170,AJ170)&gt;0)),"",TEXTJOIN(" | ",TRUE,IF(A170="","Falta ID staging",""),IF(COUNTIF($A$5:$A$445,A170)&gt;1,"ID staging duplicado",""),IF(G170="","Falta nombre",""),IF(LEN(G170)&gt;150,"Nombre &gt;150 caracteres",""),IF(H170="","Falta categoría",IF(COUNTIF(CategoriasLista,H170)=0,"Categoría inválida","")),IF(M170="","Falta precio compra",IF(OR(NOT(ISNUMBER(M170)),M170&lt;0),"Precio compra inválido","")),IF(N170="","Falta precio venta",IF(OR(NOT(ISNUMBER(N170)),N170&lt;=0,N170&lt;M170),"Precio venta inválido","")),IF(O170="","Falta stock mínimo",IF(OR(NOT(ISNUMBER(O170)),O170&lt;0,MOD(O170,1)&lt;&gt;0),"Stock mínimo inválido","")),IF(P170="","Falta unidad",IF(COUNTIF(UnidadesLista,P170)=0,"Unidad inválida","")),IF(AND(K170&lt;&gt;"",COUNTIF(ProveedoresLista,K170)=0),"Proveedor no catalogado",""),IF(X170="","Falta cantidad contada",IF(OR(NOT(ISNUMBER(X170)),X170&lt;0,ABS(X170*1000-ROUND(X170*1000,0))&gt;0.0000001),"Cantidad inválida",IF(AND(Q170="NO",MOD(X170,1)&lt;&gt;0),"Cantidad fraccionaria no permitida",""))),IF(AND(R170="SI",OR(NOT(ISNUMBER(S170)),S170&lt;1,MOD(S170,1)&lt;&gt;0)),"Empaque inválido",""),IF(OR(AND(AF170="",AG170="ESCANEADO"),AND(AF170&lt;&gt;"",AG170&lt;&gt;"ESCANEADO")),"Barcode/estado inconsistente",""),IF(AK170&lt;&gt;"",AK170,"")))</f>
        <v/>
      </c>
      <c r="AJ170" s="21" t="n"/>
      <c r="AK170" s="17">
        <f>IF(G170="","",IF(OR(COUNTIFS($G$5:$G$445,G170,$I$5:$I$445,I170,$J$5:$J$445,J170,$P$5:$P$445,P170)&gt;1,AND(AF170&lt;&gt;"",COUNTIF($AF$5:$AF$445,AF170)&gt;1)),"REVISAR_POSIBLE_DUPLICADO",""))</f>
        <v/>
      </c>
    </row>
    <row r="171">
      <c r="A171" s="17" t="inlineStr">
        <is>
          <t>62539dc2-30d3-5a87-b202-7cc6d3a45ba6</t>
        </is>
      </c>
      <c r="B171" s="18" t="inlineStr">
        <is>
          <t>NUEVO</t>
        </is>
      </c>
      <c r="C171" s="18" t="inlineStr">
        <is>
          <t>ACTIVO</t>
        </is>
      </c>
      <c r="D171" s="18" t="n"/>
      <c r="E171" s="17" t="n"/>
      <c r="F171" s="17" t="n"/>
      <c r="G171" s="19" t="n"/>
      <c r="H171" s="19" t="n"/>
      <c r="I171" s="20" t="n"/>
      <c r="J171" s="20" t="n"/>
      <c r="K171" s="21" t="n"/>
      <c r="L171" s="18" t="n"/>
      <c r="M171" s="22" t="n"/>
      <c r="N171" s="22" t="n"/>
      <c r="O171" s="23" t="n">
        <v>10</v>
      </c>
      <c r="P171" s="24" t="inlineStr">
        <is>
          <t>UNIDAD</t>
        </is>
      </c>
      <c r="Q171" s="20" t="inlineStr">
        <is>
          <t>NO</t>
        </is>
      </c>
      <c r="R171" s="20" t="inlineStr">
        <is>
          <t>NO</t>
        </is>
      </c>
      <c r="S171" s="25" t="n">
        <v>1</v>
      </c>
      <c r="T171" s="20" t="inlineStr">
        <is>
          <t>NO</t>
        </is>
      </c>
      <c r="U171" s="20" t="n"/>
      <c r="V171" s="21" t="n"/>
      <c r="W171" s="26" t="n"/>
      <c r="X171" s="27" t="n"/>
      <c r="Y171" s="20" t="n"/>
      <c r="Z171" s="20" t="n"/>
      <c r="AA171" s="26">
        <f>IF(X171="","",X171-IF(W171="",0,W171))</f>
        <v/>
      </c>
      <c r="AB171" s="28">
        <f>IF(OR(X171="",M171=""),"",X171*M171)</f>
        <v/>
      </c>
      <c r="AC171" s="28">
        <f>IF(OR(X171="",N171=""),"",X171*N171)</f>
        <v/>
      </c>
      <c r="AD171" s="28">
        <f>IF(OR(M171="",N171=""),"",N171-M171)</f>
        <v/>
      </c>
      <c r="AE171" s="29">
        <f>IFERROR(IF(M171&gt;0,(N171-M171)/M171,""),"")</f>
        <v/>
      </c>
      <c r="AF171" s="30" t="n"/>
      <c r="AG171" s="30" t="inlineStr">
        <is>
          <t>PENDIENTE</t>
        </is>
      </c>
      <c r="AH171" s="18">
        <f>IF(NOT(OR(B171="EXISTENTE",COUNTA(G171,H171,I171,J171,K171,M171,N171,U171,V171,X171,Y171,Z171,AF171,AJ171)&gt;0)),"",IF(AK171&lt;&gt;"","REVISAR",IF(OR(G171="",H171="",M171="",N171="",O171="",P171="",X171=""),"INCOMPLETO",IF(AI171&lt;&gt;"","REVISAR",IF(AND(AF171&lt;&gt;"",AG171="ESCANEADO"),"LISTO_COMPLETO","LISTO_SIN_BARCODE")))))</f>
        <v/>
      </c>
      <c r="AI171" s="17">
        <f>IF(NOT(OR(B171="EXISTENTE",COUNTA(G171,H171,I171,J171,K171,M171,N171,U171,V171,X171,Y171,Z171,AF171,AJ171)&gt;0)),"",TEXTJOIN(" | ",TRUE,IF(A171="","Falta ID staging",""),IF(COUNTIF($A$5:$A$445,A171)&gt;1,"ID staging duplicado",""),IF(G171="","Falta nombre",""),IF(LEN(G171)&gt;150,"Nombre &gt;150 caracteres",""),IF(H171="","Falta categoría",IF(COUNTIF(CategoriasLista,H171)=0,"Categoría inválida","")),IF(M171="","Falta precio compra",IF(OR(NOT(ISNUMBER(M171)),M171&lt;0),"Precio compra inválido","")),IF(N171="","Falta precio venta",IF(OR(NOT(ISNUMBER(N171)),N171&lt;=0,N171&lt;M171),"Precio venta inválido","")),IF(O171="","Falta stock mínimo",IF(OR(NOT(ISNUMBER(O171)),O171&lt;0,MOD(O171,1)&lt;&gt;0),"Stock mínimo inválido","")),IF(P171="","Falta unidad",IF(COUNTIF(UnidadesLista,P171)=0,"Unidad inválida","")),IF(AND(K171&lt;&gt;"",COUNTIF(ProveedoresLista,K171)=0),"Proveedor no catalogado",""),IF(X171="","Falta cantidad contada",IF(OR(NOT(ISNUMBER(X171)),X171&lt;0,ABS(X171*1000-ROUND(X171*1000,0))&gt;0.0000001),"Cantidad inválida",IF(AND(Q171="NO",MOD(X171,1)&lt;&gt;0),"Cantidad fraccionaria no permitida",""))),IF(AND(R171="SI",OR(NOT(ISNUMBER(S171)),S171&lt;1,MOD(S171,1)&lt;&gt;0)),"Empaque inválido",""),IF(OR(AND(AF171="",AG171="ESCANEADO"),AND(AF171&lt;&gt;"",AG171&lt;&gt;"ESCANEADO")),"Barcode/estado inconsistente",""),IF(AK171&lt;&gt;"",AK171,"")))</f>
        <v/>
      </c>
      <c r="AJ171" s="21" t="n"/>
      <c r="AK171" s="17">
        <f>IF(G171="","",IF(OR(COUNTIFS($G$5:$G$445,G171,$I$5:$I$445,I171,$J$5:$J$445,J171,$P$5:$P$445,P171)&gt;1,AND(AF171&lt;&gt;"",COUNTIF($AF$5:$AF$445,AF171)&gt;1)),"REVISAR_POSIBLE_DUPLICADO",""))</f>
        <v/>
      </c>
    </row>
    <row r="172">
      <c r="A172" s="17" t="inlineStr">
        <is>
          <t>4b45bc7e-2f0f-50a8-b0f6-1cea7c653e3b</t>
        </is>
      </c>
      <c r="B172" s="18" t="inlineStr">
        <is>
          <t>NUEVO</t>
        </is>
      </c>
      <c r="C172" s="18" t="inlineStr">
        <is>
          <t>ACTIVO</t>
        </is>
      </c>
      <c r="D172" s="18" t="n"/>
      <c r="E172" s="17" t="n"/>
      <c r="F172" s="17" t="n"/>
      <c r="G172" s="19" t="n"/>
      <c r="H172" s="19" t="n"/>
      <c r="I172" s="20" t="n"/>
      <c r="J172" s="20" t="n"/>
      <c r="K172" s="21" t="n"/>
      <c r="L172" s="18" t="n"/>
      <c r="M172" s="22" t="n"/>
      <c r="N172" s="22" t="n"/>
      <c r="O172" s="23" t="n">
        <v>10</v>
      </c>
      <c r="P172" s="24" t="inlineStr">
        <is>
          <t>UNIDAD</t>
        </is>
      </c>
      <c r="Q172" s="20" t="inlineStr">
        <is>
          <t>NO</t>
        </is>
      </c>
      <c r="R172" s="20" t="inlineStr">
        <is>
          <t>NO</t>
        </is>
      </c>
      <c r="S172" s="25" t="n">
        <v>1</v>
      </c>
      <c r="T172" s="20" t="inlineStr">
        <is>
          <t>NO</t>
        </is>
      </c>
      <c r="U172" s="20" t="n"/>
      <c r="V172" s="21" t="n"/>
      <c r="W172" s="26" t="n"/>
      <c r="X172" s="27" t="n"/>
      <c r="Y172" s="20" t="n"/>
      <c r="Z172" s="20" t="n"/>
      <c r="AA172" s="26">
        <f>IF(X172="","",X172-IF(W172="",0,W172))</f>
        <v/>
      </c>
      <c r="AB172" s="28">
        <f>IF(OR(X172="",M172=""),"",X172*M172)</f>
        <v/>
      </c>
      <c r="AC172" s="28">
        <f>IF(OR(X172="",N172=""),"",X172*N172)</f>
        <v/>
      </c>
      <c r="AD172" s="28">
        <f>IF(OR(M172="",N172=""),"",N172-M172)</f>
        <v/>
      </c>
      <c r="AE172" s="29">
        <f>IFERROR(IF(M172&gt;0,(N172-M172)/M172,""),"")</f>
        <v/>
      </c>
      <c r="AF172" s="30" t="n"/>
      <c r="AG172" s="30" t="inlineStr">
        <is>
          <t>PENDIENTE</t>
        </is>
      </c>
      <c r="AH172" s="18">
        <f>IF(NOT(OR(B172="EXISTENTE",COUNTA(G172,H172,I172,J172,K172,M172,N172,U172,V172,X172,Y172,Z172,AF172,AJ172)&gt;0)),"",IF(AK172&lt;&gt;"","REVISAR",IF(OR(G172="",H172="",M172="",N172="",O172="",P172="",X172=""),"INCOMPLETO",IF(AI172&lt;&gt;"","REVISAR",IF(AND(AF172&lt;&gt;"",AG172="ESCANEADO"),"LISTO_COMPLETO","LISTO_SIN_BARCODE")))))</f>
        <v/>
      </c>
      <c r="AI172" s="17">
        <f>IF(NOT(OR(B172="EXISTENTE",COUNTA(G172,H172,I172,J172,K172,M172,N172,U172,V172,X172,Y172,Z172,AF172,AJ172)&gt;0)),"",TEXTJOIN(" | ",TRUE,IF(A172="","Falta ID staging",""),IF(COUNTIF($A$5:$A$445,A172)&gt;1,"ID staging duplicado",""),IF(G172="","Falta nombre",""),IF(LEN(G172)&gt;150,"Nombre &gt;150 caracteres",""),IF(H172="","Falta categoría",IF(COUNTIF(CategoriasLista,H172)=0,"Categoría inválida","")),IF(M172="","Falta precio compra",IF(OR(NOT(ISNUMBER(M172)),M172&lt;0),"Precio compra inválido","")),IF(N172="","Falta precio venta",IF(OR(NOT(ISNUMBER(N172)),N172&lt;=0,N172&lt;M172),"Precio venta inválido","")),IF(O172="","Falta stock mínimo",IF(OR(NOT(ISNUMBER(O172)),O172&lt;0,MOD(O172,1)&lt;&gt;0),"Stock mínimo inválido","")),IF(P172="","Falta unidad",IF(COUNTIF(UnidadesLista,P172)=0,"Unidad inválida","")),IF(AND(K172&lt;&gt;"",COUNTIF(ProveedoresLista,K172)=0),"Proveedor no catalogado",""),IF(X172="","Falta cantidad contada",IF(OR(NOT(ISNUMBER(X172)),X172&lt;0,ABS(X172*1000-ROUND(X172*1000,0))&gt;0.0000001),"Cantidad inválida",IF(AND(Q172="NO",MOD(X172,1)&lt;&gt;0),"Cantidad fraccionaria no permitida",""))),IF(AND(R172="SI",OR(NOT(ISNUMBER(S172)),S172&lt;1,MOD(S172,1)&lt;&gt;0)),"Empaque inválido",""),IF(OR(AND(AF172="",AG172="ESCANEADO"),AND(AF172&lt;&gt;"",AG172&lt;&gt;"ESCANEADO")),"Barcode/estado inconsistente",""),IF(AK172&lt;&gt;"",AK172,"")))</f>
        <v/>
      </c>
      <c r="AJ172" s="21" t="n"/>
      <c r="AK172" s="17">
        <f>IF(G172="","",IF(OR(COUNTIFS($G$5:$G$445,G172,$I$5:$I$445,I172,$J$5:$J$445,J172,$P$5:$P$445,P172)&gt;1,AND(AF172&lt;&gt;"",COUNTIF($AF$5:$AF$445,AF172)&gt;1)),"REVISAR_POSIBLE_DUPLICADO",""))</f>
        <v/>
      </c>
    </row>
    <row r="173">
      <c r="A173" s="17" t="inlineStr">
        <is>
          <t>95a6b774-edb9-5739-8d57-4592a3af03df</t>
        </is>
      </c>
      <c r="B173" s="18" t="inlineStr">
        <is>
          <t>NUEVO</t>
        </is>
      </c>
      <c r="C173" s="18" t="inlineStr">
        <is>
          <t>ACTIVO</t>
        </is>
      </c>
      <c r="D173" s="18" t="n"/>
      <c r="E173" s="17" t="n"/>
      <c r="F173" s="17" t="n"/>
      <c r="G173" s="19" t="n"/>
      <c r="H173" s="19" t="n"/>
      <c r="I173" s="20" t="n"/>
      <c r="J173" s="20" t="n"/>
      <c r="K173" s="21" t="n"/>
      <c r="L173" s="18" t="n"/>
      <c r="M173" s="22" t="n"/>
      <c r="N173" s="22" t="n"/>
      <c r="O173" s="23" t="n">
        <v>10</v>
      </c>
      <c r="P173" s="24" t="inlineStr">
        <is>
          <t>UNIDAD</t>
        </is>
      </c>
      <c r="Q173" s="20" t="inlineStr">
        <is>
          <t>NO</t>
        </is>
      </c>
      <c r="R173" s="20" t="inlineStr">
        <is>
          <t>NO</t>
        </is>
      </c>
      <c r="S173" s="25" t="n">
        <v>1</v>
      </c>
      <c r="T173" s="20" t="inlineStr">
        <is>
          <t>NO</t>
        </is>
      </c>
      <c r="U173" s="20" t="n"/>
      <c r="V173" s="21" t="n"/>
      <c r="W173" s="26" t="n"/>
      <c r="X173" s="27" t="n"/>
      <c r="Y173" s="20" t="n"/>
      <c r="Z173" s="20" t="n"/>
      <c r="AA173" s="26">
        <f>IF(X173="","",X173-IF(W173="",0,W173))</f>
        <v/>
      </c>
      <c r="AB173" s="28">
        <f>IF(OR(X173="",M173=""),"",X173*M173)</f>
        <v/>
      </c>
      <c r="AC173" s="28">
        <f>IF(OR(X173="",N173=""),"",X173*N173)</f>
        <v/>
      </c>
      <c r="AD173" s="28">
        <f>IF(OR(M173="",N173=""),"",N173-M173)</f>
        <v/>
      </c>
      <c r="AE173" s="29">
        <f>IFERROR(IF(M173&gt;0,(N173-M173)/M173,""),"")</f>
        <v/>
      </c>
      <c r="AF173" s="30" t="n"/>
      <c r="AG173" s="30" t="inlineStr">
        <is>
          <t>PENDIENTE</t>
        </is>
      </c>
      <c r="AH173" s="18">
        <f>IF(NOT(OR(B173="EXISTENTE",COUNTA(G173,H173,I173,J173,K173,M173,N173,U173,V173,X173,Y173,Z173,AF173,AJ173)&gt;0)),"",IF(AK173&lt;&gt;"","REVISAR",IF(OR(G173="",H173="",M173="",N173="",O173="",P173="",X173=""),"INCOMPLETO",IF(AI173&lt;&gt;"","REVISAR",IF(AND(AF173&lt;&gt;"",AG173="ESCANEADO"),"LISTO_COMPLETO","LISTO_SIN_BARCODE")))))</f>
        <v/>
      </c>
      <c r="AI173" s="17">
        <f>IF(NOT(OR(B173="EXISTENTE",COUNTA(G173,H173,I173,J173,K173,M173,N173,U173,V173,X173,Y173,Z173,AF173,AJ173)&gt;0)),"",TEXTJOIN(" | ",TRUE,IF(A173="","Falta ID staging",""),IF(COUNTIF($A$5:$A$445,A173)&gt;1,"ID staging duplicado",""),IF(G173="","Falta nombre",""),IF(LEN(G173)&gt;150,"Nombre &gt;150 caracteres",""),IF(H173="","Falta categoría",IF(COUNTIF(CategoriasLista,H173)=0,"Categoría inválida","")),IF(M173="","Falta precio compra",IF(OR(NOT(ISNUMBER(M173)),M173&lt;0),"Precio compra inválido","")),IF(N173="","Falta precio venta",IF(OR(NOT(ISNUMBER(N173)),N173&lt;=0,N173&lt;M173),"Precio venta inválido","")),IF(O173="","Falta stock mínimo",IF(OR(NOT(ISNUMBER(O173)),O173&lt;0,MOD(O173,1)&lt;&gt;0),"Stock mínimo inválido","")),IF(P173="","Falta unidad",IF(COUNTIF(UnidadesLista,P173)=0,"Unidad inválida","")),IF(AND(K173&lt;&gt;"",COUNTIF(ProveedoresLista,K173)=0),"Proveedor no catalogado",""),IF(X173="","Falta cantidad contada",IF(OR(NOT(ISNUMBER(X173)),X173&lt;0,ABS(X173*1000-ROUND(X173*1000,0))&gt;0.0000001),"Cantidad inválida",IF(AND(Q173="NO",MOD(X173,1)&lt;&gt;0),"Cantidad fraccionaria no permitida",""))),IF(AND(R173="SI",OR(NOT(ISNUMBER(S173)),S173&lt;1,MOD(S173,1)&lt;&gt;0)),"Empaque inválido",""),IF(OR(AND(AF173="",AG173="ESCANEADO"),AND(AF173&lt;&gt;"",AG173&lt;&gt;"ESCANEADO")),"Barcode/estado inconsistente",""),IF(AK173&lt;&gt;"",AK173,"")))</f>
        <v/>
      </c>
      <c r="AJ173" s="21" t="n"/>
      <c r="AK173" s="17">
        <f>IF(G173="","",IF(OR(COUNTIFS($G$5:$G$445,G173,$I$5:$I$445,I173,$J$5:$J$445,J173,$P$5:$P$445,P173)&gt;1,AND(AF173&lt;&gt;"",COUNTIF($AF$5:$AF$445,AF173)&gt;1)),"REVISAR_POSIBLE_DUPLICADO",""))</f>
        <v/>
      </c>
    </row>
    <row r="174">
      <c r="A174" s="17" t="inlineStr">
        <is>
          <t>025c5d77-bd3c-5a77-895c-b7deb16b5534</t>
        </is>
      </c>
      <c r="B174" s="18" t="inlineStr">
        <is>
          <t>NUEVO</t>
        </is>
      </c>
      <c r="C174" s="18" t="inlineStr">
        <is>
          <t>ACTIVO</t>
        </is>
      </c>
      <c r="D174" s="18" t="n"/>
      <c r="E174" s="17" t="n"/>
      <c r="F174" s="17" t="n"/>
      <c r="G174" s="19" t="n"/>
      <c r="H174" s="19" t="n"/>
      <c r="I174" s="20" t="n"/>
      <c r="J174" s="20" t="n"/>
      <c r="K174" s="21" t="n"/>
      <c r="L174" s="18" t="n"/>
      <c r="M174" s="22" t="n"/>
      <c r="N174" s="22" t="n"/>
      <c r="O174" s="23" t="n">
        <v>10</v>
      </c>
      <c r="P174" s="24" t="inlineStr">
        <is>
          <t>UNIDAD</t>
        </is>
      </c>
      <c r="Q174" s="20" t="inlineStr">
        <is>
          <t>NO</t>
        </is>
      </c>
      <c r="R174" s="20" t="inlineStr">
        <is>
          <t>NO</t>
        </is>
      </c>
      <c r="S174" s="25" t="n">
        <v>1</v>
      </c>
      <c r="T174" s="20" t="inlineStr">
        <is>
          <t>NO</t>
        </is>
      </c>
      <c r="U174" s="20" t="n"/>
      <c r="V174" s="21" t="n"/>
      <c r="W174" s="26" t="n"/>
      <c r="X174" s="27" t="n"/>
      <c r="Y174" s="20" t="n"/>
      <c r="Z174" s="20" t="n"/>
      <c r="AA174" s="26">
        <f>IF(X174="","",X174-IF(W174="",0,W174))</f>
        <v/>
      </c>
      <c r="AB174" s="28">
        <f>IF(OR(X174="",M174=""),"",X174*M174)</f>
        <v/>
      </c>
      <c r="AC174" s="28">
        <f>IF(OR(X174="",N174=""),"",X174*N174)</f>
        <v/>
      </c>
      <c r="AD174" s="28">
        <f>IF(OR(M174="",N174=""),"",N174-M174)</f>
        <v/>
      </c>
      <c r="AE174" s="29">
        <f>IFERROR(IF(M174&gt;0,(N174-M174)/M174,""),"")</f>
        <v/>
      </c>
      <c r="AF174" s="30" t="n"/>
      <c r="AG174" s="30" t="inlineStr">
        <is>
          <t>PENDIENTE</t>
        </is>
      </c>
      <c r="AH174" s="18">
        <f>IF(NOT(OR(B174="EXISTENTE",COUNTA(G174,H174,I174,J174,K174,M174,N174,U174,V174,X174,Y174,Z174,AF174,AJ174)&gt;0)),"",IF(AK174&lt;&gt;"","REVISAR",IF(OR(G174="",H174="",M174="",N174="",O174="",P174="",X174=""),"INCOMPLETO",IF(AI174&lt;&gt;"","REVISAR",IF(AND(AF174&lt;&gt;"",AG174="ESCANEADO"),"LISTO_COMPLETO","LISTO_SIN_BARCODE")))))</f>
        <v/>
      </c>
      <c r="AI174" s="17">
        <f>IF(NOT(OR(B174="EXISTENTE",COUNTA(G174,H174,I174,J174,K174,M174,N174,U174,V174,X174,Y174,Z174,AF174,AJ174)&gt;0)),"",TEXTJOIN(" | ",TRUE,IF(A174="","Falta ID staging",""),IF(COUNTIF($A$5:$A$445,A174)&gt;1,"ID staging duplicado",""),IF(G174="","Falta nombre",""),IF(LEN(G174)&gt;150,"Nombre &gt;150 caracteres",""),IF(H174="","Falta categoría",IF(COUNTIF(CategoriasLista,H174)=0,"Categoría inválida","")),IF(M174="","Falta precio compra",IF(OR(NOT(ISNUMBER(M174)),M174&lt;0),"Precio compra inválido","")),IF(N174="","Falta precio venta",IF(OR(NOT(ISNUMBER(N174)),N174&lt;=0,N174&lt;M174),"Precio venta inválido","")),IF(O174="","Falta stock mínimo",IF(OR(NOT(ISNUMBER(O174)),O174&lt;0,MOD(O174,1)&lt;&gt;0),"Stock mínimo inválido","")),IF(P174="","Falta unidad",IF(COUNTIF(UnidadesLista,P174)=0,"Unidad inválida","")),IF(AND(K174&lt;&gt;"",COUNTIF(ProveedoresLista,K174)=0),"Proveedor no catalogado",""),IF(X174="","Falta cantidad contada",IF(OR(NOT(ISNUMBER(X174)),X174&lt;0,ABS(X174*1000-ROUND(X174*1000,0))&gt;0.0000001),"Cantidad inválida",IF(AND(Q174="NO",MOD(X174,1)&lt;&gt;0),"Cantidad fraccionaria no permitida",""))),IF(AND(R174="SI",OR(NOT(ISNUMBER(S174)),S174&lt;1,MOD(S174,1)&lt;&gt;0)),"Empaque inválido",""),IF(OR(AND(AF174="",AG174="ESCANEADO"),AND(AF174&lt;&gt;"",AG174&lt;&gt;"ESCANEADO")),"Barcode/estado inconsistente",""),IF(AK174&lt;&gt;"",AK174,"")))</f>
        <v/>
      </c>
      <c r="AJ174" s="21" t="n"/>
      <c r="AK174" s="17">
        <f>IF(G174="","",IF(OR(COUNTIFS($G$5:$G$445,G174,$I$5:$I$445,I174,$J$5:$J$445,J174,$P$5:$P$445,P174)&gt;1,AND(AF174&lt;&gt;"",COUNTIF($AF$5:$AF$445,AF174)&gt;1)),"REVISAR_POSIBLE_DUPLICADO",""))</f>
        <v/>
      </c>
    </row>
    <row r="175">
      <c r="A175" s="17" t="inlineStr">
        <is>
          <t>289be9b2-05d2-554f-bfd8-4c1b4f4202fa</t>
        </is>
      </c>
      <c r="B175" s="18" t="inlineStr">
        <is>
          <t>NUEVO</t>
        </is>
      </c>
      <c r="C175" s="18" t="inlineStr">
        <is>
          <t>ACTIVO</t>
        </is>
      </c>
      <c r="D175" s="18" t="n"/>
      <c r="E175" s="17" t="n"/>
      <c r="F175" s="17" t="n"/>
      <c r="G175" s="19" t="n"/>
      <c r="H175" s="19" t="n"/>
      <c r="I175" s="20" t="n"/>
      <c r="J175" s="20" t="n"/>
      <c r="K175" s="21" t="n"/>
      <c r="L175" s="18" t="n"/>
      <c r="M175" s="22" t="n"/>
      <c r="N175" s="22" t="n"/>
      <c r="O175" s="23" t="n">
        <v>10</v>
      </c>
      <c r="P175" s="24" t="inlineStr">
        <is>
          <t>UNIDAD</t>
        </is>
      </c>
      <c r="Q175" s="20" t="inlineStr">
        <is>
          <t>NO</t>
        </is>
      </c>
      <c r="R175" s="20" t="inlineStr">
        <is>
          <t>NO</t>
        </is>
      </c>
      <c r="S175" s="25" t="n">
        <v>1</v>
      </c>
      <c r="T175" s="20" t="inlineStr">
        <is>
          <t>NO</t>
        </is>
      </c>
      <c r="U175" s="20" t="n"/>
      <c r="V175" s="21" t="n"/>
      <c r="W175" s="26" t="n"/>
      <c r="X175" s="27" t="n"/>
      <c r="Y175" s="20" t="n"/>
      <c r="Z175" s="20" t="n"/>
      <c r="AA175" s="26">
        <f>IF(X175="","",X175-IF(W175="",0,W175))</f>
        <v/>
      </c>
      <c r="AB175" s="28">
        <f>IF(OR(X175="",M175=""),"",X175*M175)</f>
        <v/>
      </c>
      <c r="AC175" s="28">
        <f>IF(OR(X175="",N175=""),"",X175*N175)</f>
        <v/>
      </c>
      <c r="AD175" s="28">
        <f>IF(OR(M175="",N175=""),"",N175-M175)</f>
        <v/>
      </c>
      <c r="AE175" s="29">
        <f>IFERROR(IF(M175&gt;0,(N175-M175)/M175,""),"")</f>
        <v/>
      </c>
      <c r="AF175" s="30" t="n"/>
      <c r="AG175" s="30" t="inlineStr">
        <is>
          <t>PENDIENTE</t>
        </is>
      </c>
      <c r="AH175" s="18">
        <f>IF(NOT(OR(B175="EXISTENTE",COUNTA(G175,H175,I175,J175,K175,M175,N175,U175,V175,X175,Y175,Z175,AF175,AJ175)&gt;0)),"",IF(AK175&lt;&gt;"","REVISAR",IF(OR(G175="",H175="",M175="",N175="",O175="",P175="",X175=""),"INCOMPLETO",IF(AI175&lt;&gt;"","REVISAR",IF(AND(AF175&lt;&gt;"",AG175="ESCANEADO"),"LISTO_COMPLETO","LISTO_SIN_BARCODE")))))</f>
        <v/>
      </c>
      <c r="AI175" s="17">
        <f>IF(NOT(OR(B175="EXISTENTE",COUNTA(G175,H175,I175,J175,K175,M175,N175,U175,V175,X175,Y175,Z175,AF175,AJ175)&gt;0)),"",TEXTJOIN(" | ",TRUE,IF(A175="","Falta ID staging",""),IF(COUNTIF($A$5:$A$445,A175)&gt;1,"ID staging duplicado",""),IF(G175="","Falta nombre",""),IF(LEN(G175)&gt;150,"Nombre &gt;150 caracteres",""),IF(H175="","Falta categoría",IF(COUNTIF(CategoriasLista,H175)=0,"Categoría inválida","")),IF(M175="","Falta precio compra",IF(OR(NOT(ISNUMBER(M175)),M175&lt;0),"Precio compra inválido","")),IF(N175="","Falta precio venta",IF(OR(NOT(ISNUMBER(N175)),N175&lt;=0,N175&lt;M175),"Precio venta inválido","")),IF(O175="","Falta stock mínimo",IF(OR(NOT(ISNUMBER(O175)),O175&lt;0,MOD(O175,1)&lt;&gt;0),"Stock mínimo inválido","")),IF(P175="","Falta unidad",IF(COUNTIF(UnidadesLista,P175)=0,"Unidad inválida","")),IF(AND(K175&lt;&gt;"",COUNTIF(ProveedoresLista,K175)=0),"Proveedor no catalogado",""),IF(X175="","Falta cantidad contada",IF(OR(NOT(ISNUMBER(X175)),X175&lt;0,ABS(X175*1000-ROUND(X175*1000,0))&gt;0.0000001),"Cantidad inválida",IF(AND(Q175="NO",MOD(X175,1)&lt;&gt;0),"Cantidad fraccionaria no permitida",""))),IF(AND(R175="SI",OR(NOT(ISNUMBER(S175)),S175&lt;1,MOD(S175,1)&lt;&gt;0)),"Empaque inválido",""),IF(OR(AND(AF175="",AG175="ESCANEADO"),AND(AF175&lt;&gt;"",AG175&lt;&gt;"ESCANEADO")),"Barcode/estado inconsistente",""),IF(AK175&lt;&gt;"",AK175,"")))</f>
        <v/>
      </c>
      <c r="AJ175" s="21" t="n"/>
      <c r="AK175" s="17">
        <f>IF(G175="","",IF(OR(COUNTIFS($G$5:$G$445,G175,$I$5:$I$445,I175,$J$5:$J$445,J175,$P$5:$P$445,P175)&gt;1,AND(AF175&lt;&gt;"",COUNTIF($AF$5:$AF$445,AF175)&gt;1)),"REVISAR_POSIBLE_DUPLICADO",""))</f>
        <v/>
      </c>
    </row>
    <row r="176">
      <c r="A176" s="17" t="inlineStr">
        <is>
          <t>f422bc41-dba6-50c9-b4fe-ae955741731c</t>
        </is>
      </c>
      <c r="B176" s="18" t="inlineStr">
        <is>
          <t>NUEVO</t>
        </is>
      </c>
      <c r="C176" s="18" t="inlineStr">
        <is>
          <t>ACTIVO</t>
        </is>
      </c>
      <c r="D176" s="18" t="n"/>
      <c r="E176" s="17" t="n"/>
      <c r="F176" s="17" t="n"/>
      <c r="G176" s="19" t="n"/>
      <c r="H176" s="19" t="n"/>
      <c r="I176" s="20" t="n"/>
      <c r="J176" s="20" t="n"/>
      <c r="K176" s="21" t="n"/>
      <c r="L176" s="18" t="n"/>
      <c r="M176" s="22" t="n"/>
      <c r="N176" s="22" t="n"/>
      <c r="O176" s="23" t="n">
        <v>10</v>
      </c>
      <c r="P176" s="24" t="inlineStr">
        <is>
          <t>UNIDAD</t>
        </is>
      </c>
      <c r="Q176" s="20" t="inlineStr">
        <is>
          <t>NO</t>
        </is>
      </c>
      <c r="R176" s="20" t="inlineStr">
        <is>
          <t>NO</t>
        </is>
      </c>
      <c r="S176" s="25" t="n">
        <v>1</v>
      </c>
      <c r="T176" s="20" t="inlineStr">
        <is>
          <t>NO</t>
        </is>
      </c>
      <c r="U176" s="20" t="n"/>
      <c r="V176" s="21" t="n"/>
      <c r="W176" s="26" t="n"/>
      <c r="X176" s="27" t="n"/>
      <c r="Y176" s="20" t="n"/>
      <c r="Z176" s="20" t="n"/>
      <c r="AA176" s="26">
        <f>IF(X176="","",X176-IF(W176="",0,W176))</f>
        <v/>
      </c>
      <c r="AB176" s="28">
        <f>IF(OR(X176="",M176=""),"",X176*M176)</f>
        <v/>
      </c>
      <c r="AC176" s="28">
        <f>IF(OR(X176="",N176=""),"",X176*N176)</f>
        <v/>
      </c>
      <c r="AD176" s="28">
        <f>IF(OR(M176="",N176=""),"",N176-M176)</f>
        <v/>
      </c>
      <c r="AE176" s="29">
        <f>IFERROR(IF(M176&gt;0,(N176-M176)/M176,""),"")</f>
        <v/>
      </c>
      <c r="AF176" s="30" t="n"/>
      <c r="AG176" s="30" t="inlineStr">
        <is>
          <t>PENDIENTE</t>
        </is>
      </c>
      <c r="AH176" s="18">
        <f>IF(NOT(OR(B176="EXISTENTE",COUNTA(G176,H176,I176,J176,K176,M176,N176,U176,V176,X176,Y176,Z176,AF176,AJ176)&gt;0)),"",IF(AK176&lt;&gt;"","REVISAR",IF(OR(G176="",H176="",M176="",N176="",O176="",P176="",X176=""),"INCOMPLETO",IF(AI176&lt;&gt;"","REVISAR",IF(AND(AF176&lt;&gt;"",AG176="ESCANEADO"),"LISTO_COMPLETO","LISTO_SIN_BARCODE")))))</f>
        <v/>
      </c>
      <c r="AI176" s="17">
        <f>IF(NOT(OR(B176="EXISTENTE",COUNTA(G176,H176,I176,J176,K176,M176,N176,U176,V176,X176,Y176,Z176,AF176,AJ176)&gt;0)),"",TEXTJOIN(" | ",TRUE,IF(A176="","Falta ID staging",""),IF(COUNTIF($A$5:$A$445,A176)&gt;1,"ID staging duplicado",""),IF(G176="","Falta nombre",""),IF(LEN(G176)&gt;150,"Nombre &gt;150 caracteres",""),IF(H176="","Falta categoría",IF(COUNTIF(CategoriasLista,H176)=0,"Categoría inválida","")),IF(M176="","Falta precio compra",IF(OR(NOT(ISNUMBER(M176)),M176&lt;0),"Precio compra inválido","")),IF(N176="","Falta precio venta",IF(OR(NOT(ISNUMBER(N176)),N176&lt;=0,N176&lt;M176),"Precio venta inválido","")),IF(O176="","Falta stock mínimo",IF(OR(NOT(ISNUMBER(O176)),O176&lt;0,MOD(O176,1)&lt;&gt;0),"Stock mínimo inválido","")),IF(P176="","Falta unidad",IF(COUNTIF(UnidadesLista,P176)=0,"Unidad inválida","")),IF(AND(K176&lt;&gt;"",COUNTIF(ProveedoresLista,K176)=0),"Proveedor no catalogado",""),IF(X176="","Falta cantidad contada",IF(OR(NOT(ISNUMBER(X176)),X176&lt;0,ABS(X176*1000-ROUND(X176*1000,0))&gt;0.0000001),"Cantidad inválida",IF(AND(Q176="NO",MOD(X176,1)&lt;&gt;0),"Cantidad fraccionaria no permitida",""))),IF(AND(R176="SI",OR(NOT(ISNUMBER(S176)),S176&lt;1,MOD(S176,1)&lt;&gt;0)),"Empaque inválido",""),IF(OR(AND(AF176="",AG176="ESCANEADO"),AND(AF176&lt;&gt;"",AG176&lt;&gt;"ESCANEADO")),"Barcode/estado inconsistente",""),IF(AK176&lt;&gt;"",AK176,"")))</f>
        <v/>
      </c>
      <c r="AJ176" s="21" t="n"/>
      <c r="AK176" s="17">
        <f>IF(G176="","",IF(OR(COUNTIFS($G$5:$G$445,G176,$I$5:$I$445,I176,$J$5:$J$445,J176,$P$5:$P$445,P176)&gt;1,AND(AF176&lt;&gt;"",COUNTIF($AF$5:$AF$445,AF176)&gt;1)),"REVISAR_POSIBLE_DUPLICADO",""))</f>
        <v/>
      </c>
    </row>
    <row r="177">
      <c r="A177" s="17" t="inlineStr">
        <is>
          <t>90fca204-d2e9-5ad7-84f6-10478018c6eb</t>
        </is>
      </c>
      <c r="B177" s="18" t="inlineStr">
        <is>
          <t>NUEVO</t>
        </is>
      </c>
      <c r="C177" s="18" t="inlineStr">
        <is>
          <t>ACTIVO</t>
        </is>
      </c>
      <c r="D177" s="18" t="n"/>
      <c r="E177" s="17" t="n"/>
      <c r="F177" s="17" t="n"/>
      <c r="G177" s="19" t="n"/>
      <c r="H177" s="19" t="n"/>
      <c r="I177" s="20" t="n"/>
      <c r="J177" s="20" t="n"/>
      <c r="K177" s="21" t="n"/>
      <c r="L177" s="18" t="n"/>
      <c r="M177" s="22" t="n"/>
      <c r="N177" s="22" t="n"/>
      <c r="O177" s="23" t="n">
        <v>10</v>
      </c>
      <c r="P177" s="24" t="inlineStr">
        <is>
          <t>UNIDAD</t>
        </is>
      </c>
      <c r="Q177" s="20" t="inlineStr">
        <is>
          <t>NO</t>
        </is>
      </c>
      <c r="R177" s="20" t="inlineStr">
        <is>
          <t>NO</t>
        </is>
      </c>
      <c r="S177" s="25" t="n">
        <v>1</v>
      </c>
      <c r="T177" s="20" t="inlineStr">
        <is>
          <t>NO</t>
        </is>
      </c>
      <c r="U177" s="20" t="n"/>
      <c r="V177" s="21" t="n"/>
      <c r="W177" s="26" t="n"/>
      <c r="X177" s="27" t="n"/>
      <c r="Y177" s="20" t="n"/>
      <c r="Z177" s="20" t="n"/>
      <c r="AA177" s="26">
        <f>IF(X177="","",X177-IF(W177="",0,W177))</f>
        <v/>
      </c>
      <c r="AB177" s="28">
        <f>IF(OR(X177="",M177=""),"",X177*M177)</f>
        <v/>
      </c>
      <c r="AC177" s="28">
        <f>IF(OR(X177="",N177=""),"",X177*N177)</f>
        <v/>
      </c>
      <c r="AD177" s="28">
        <f>IF(OR(M177="",N177=""),"",N177-M177)</f>
        <v/>
      </c>
      <c r="AE177" s="29">
        <f>IFERROR(IF(M177&gt;0,(N177-M177)/M177,""),"")</f>
        <v/>
      </c>
      <c r="AF177" s="30" t="n"/>
      <c r="AG177" s="30" t="inlineStr">
        <is>
          <t>PENDIENTE</t>
        </is>
      </c>
      <c r="AH177" s="18">
        <f>IF(NOT(OR(B177="EXISTENTE",COUNTA(G177,H177,I177,J177,K177,M177,N177,U177,V177,X177,Y177,Z177,AF177,AJ177)&gt;0)),"",IF(AK177&lt;&gt;"","REVISAR",IF(OR(G177="",H177="",M177="",N177="",O177="",P177="",X177=""),"INCOMPLETO",IF(AI177&lt;&gt;"","REVISAR",IF(AND(AF177&lt;&gt;"",AG177="ESCANEADO"),"LISTO_COMPLETO","LISTO_SIN_BARCODE")))))</f>
        <v/>
      </c>
      <c r="AI177" s="17">
        <f>IF(NOT(OR(B177="EXISTENTE",COUNTA(G177,H177,I177,J177,K177,M177,N177,U177,V177,X177,Y177,Z177,AF177,AJ177)&gt;0)),"",TEXTJOIN(" | ",TRUE,IF(A177="","Falta ID staging",""),IF(COUNTIF($A$5:$A$445,A177)&gt;1,"ID staging duplicado",""),IF(G177="","Falta nombre",""),IF(LEN(G177)&gt;150,"Nombre &gt;150 caracteres",""),IF(H177="","Falta categoría",IF(COUNTIF(CategoriasLista,H177)=0,"Categoría inválida","")),IF(M177="","Falta precio compra",IF(OR(NOT(ISNUMBER(M177)),M177&lt;0),"Precio compra inválido","")),IF(N177="","Falta precio venta",IF(OR(NOT(ISNUMBER(N177)),N177&lt;=0,N177&lt;M177),"Precio venta inválido","")),IF(O177="","Falta stock mínimo",IF(OR(NOT(ISNUMBER(O177)),O177&lt;0,MOD(O177,1)&lt;&gt;0),"Stock mínimo inválido","")),IF(P177="","Falta unidad",IF(COUNTIF(UnidadesLista,P177)=0,"Unidad inválida","")),IF(AND(K177&lt;&gt;"",COUNTIF(ProveedoresLista,K177)=0),"Proveedor no catalogado",""),IF(X177="","Falta cantidad contada",IF(OR(NOT(ISNUMBER(X177)),X177&lt;0,ABS(X177*1000-ROUND(X177*1000,0))&gt;0.0000001),"Cantidad inválida",IF(AND(Q177="NO",MOD(X177,1)&lt;&gt;0),"Cantidad fraccionaria no permitida",""))),IF(AND(R177="SI",OR(NOT(ISNUMBER(S177)),S177&lt;1,MOD(S177,1)&lt;&gt;0)),"Empaque inválido",""),IF(OR(AND(AF177="",AG177="ESCANEADO"),AND(AF177&lt;&gt;"",AG177&lt;&gt;"ESCANEADO")),"Barcode/estado inconsistente",""),IF(AK177&lt;&gt;"",AK177,"")))</f>
        <v/>
      </c>
      <c r="AJ177" s="21" t="n"/>
      <c r="AK177" s="17">
        <f>IF(G177="","",IF(OR(COUNTIFS($G$5:$G$445,G177,$I$5:$I$445,I177,$J$5:$J$445,J177,$P$5:$P$445,P177)&gt;1,AND(AF177&lt;&gt;"",COUNTIF($AF$5:$AF$445,AF177)&gt;1)),"REVISAR_POSIBLE_DUPLICADO",""))</f>
        <v/>
      </c>
    </row>
    <row r="178">
      <c r="A178" s="17" t="inlineStr">
        <is>
          <t>e75fd6fc-0e0c-5fb4-b290-ce971a4e976d</t>
        </is>
      </c>
      <c r="B178" s="18" t="inlineStr">
        <is>
          <t>NUEVO</t>
        </is>
      </c>
      <c r="C178" s="18" t="inlineStr">
        <is>
          <t>ACTIVO</t>
        </is>
      </c>
      <c r="D178" s="18" t="n"/>
      <c r="E178" s="17" t="n"/>
      <c r="F178" s="17" t="n"/>
      <c r="G178" s="19" t="n"/>
      <c r="H178" s="19" t="n"/>
      <c r="I178" s="20" t="n"/>
      <c r="J178" s="20" t="n"/>
      <c r="K178" s="21" t="n"/>
      <c r="L178" s="18" t="n"/>
      <c r="M178" s="22" t="n"/>
      <c r="N178" s="22" t="n"/>
      <c r="O178" s="23" t="n">
        <v>10</v>
      </c>
      <c r="P178" s="24" t="inlineStr">
        <is>
          <t>UNIDAD</t>
        </is>
      </c>
      <c r="Q178" s="20" t="inlineStr">
        <is>
          <t>NO</t>
        </is>
      </c>
      <c r="R178" s="20" t="inlineStr">
        <is>
          <t>NO</t>
        </is>
      </c>
      <c r="S178" s="25" t="n">
        <v>1</v>
      </c>
      <c r="T178" s="20" t="inlineStr">
        <is>
          <t>NO</t>
        </is>
      </c>
      <c r="U178" s="20" t="n"/>
      <c r="V178" s="21" t="n"/>
      <c r="W178" s="26" t="n"/>
      <c r="X178" s="27" t="n"/>
      <c r="Y178" s="20" t="n"/>
      <c r="Z178" s="20" t="n"/>
      <c r="AA178" s="26">
        <f>IF(X178="","",X178-IF(W178="",0,W178))</f>
        <v/>
      </c>
      <c r="AB178" s="28">
        <f>IF(OR(X178="",M178=""),"",X178*M178)</f>
        <v/>
      </c>
      <c r="AC178" s="28">
        <f>IF(OR(X178="",N178=""),"",X178*N178)</f>
        <v/>
      </c>
      <c r="AD178" s="28">
        <f>IF(OR(M178="",N178=""),"",N178-M178)</f>
        <v/>
      </c>
      <c r="AE178" s="29">
        <f>IFERROR(IF(M178&gt;0,(N178-M178)/M178,""),"")</f>
        <v/>
      </c>
      <c r="AF178" s="30" t="n"/>
      <c r="AG178" s="30" t="inlineStr">
        <is>
          <t>PENDIENTE</t>
        </is>
      </c>
      <c r="AH178" s="18">
        <f>IF(NOT(OR(B178="EXISTENTE",COUNTA(G178,H178,I178,J178,K178,M178,N178,U178,V178,X178,Y178,Z178,AF178,AJ178)&gt;0)),"",IF(AK178&lt;&gt;"","REVISAR",IF(OR(G178="",H178="",M178="",N178="",O178="",P178="",X178=""),"INCOMPLETO",IF(AI178&lt;&gt;"","REVISAR",IF(AND(AF178&lt;&gt;"",AG178="ESCANEADO"),"LISTO_COMPLETO","LISTO_SIN_BARCODE")))))</f>
        <v/>
      </c>
      <c r="AI178" s="17">
        <f>IF(NOT(OR(B178="EXISTENTE",COUNTA(G178,H178,I178,J178,K178,M178,N178,U178,V178,X178,Y178,Z178,AF178,AJ178)&gt;0)),"",TEXTJOIN(" | ",TRUE,IF(A178="","Falta ID staging",""),IF(COUNTIF($A$5:$A$445,A178)&gt;1,"ID staging duplicado",""),IF(G178="","Falta nombre",""),IF(LEN(G178)&gt;150,"Nombre &gt;150 caracteres",""),IF(H178="","Falta categoría",IF(COUNTIF(CategoriasLista,H178)=0,"Categoría inválida","")),IF(M178="","Falta precio compra",IF(OR(NOT(ISNUMBER(M178)),M178&lt;0),"Precio compra inválido","")),IF(N178="","Falta precio venta",IF(OR(NOT(ISNUMBER(N178)),N178&lt;=0,N178&lt;M178),"Precio venta inválido","")),IF(O178="","Falta stock mínimo",IF(OR(NOT(ISNUMBER(O178)),O178&lt;0,MOD(O178,1)&lt;&gt;0),"Stock mínimo inválido","")),IF(P178="","Falta unidad",IF(COUNTIF(UnidadesLista,P178)=0,"Unidad inválida","")),IF(AND(K178&lt;&gt;"",COUNTIF(ProveedoresLista,K178)=0),"Proveedor no catalogado",""),IF(X178="","Falta cantidad contada",IF(OR(NOT(ISNUMBER(X178)),X178&lt;0,ABS(X178*1000-ROUND(X178*1000,0))&gt;0.0000001),"Cantidad inválida",IF(AND(Q178="NO",MOD(X178,1)&lt;&gt;0),"Cantidad fraccionaria no permitida",""))),IF(AND(R178="SI",OR(NOT(ISNUMBER(S178)),S178&lt;1,MOD(S178,1)&lt;&gt;0)),"Empaque inválido",""),IF(OR(AND(AF178="",AG178="ESCANEADO"),AND(AF178&lt;&gt;"",AG178&lt;&gt;"ESCANEADO")),"Barcode/estado inconsistente",""),IF(AK178&lt;&gt;"",AK178,"")))</f>
        <v/>
      </c>
      <c r="AJ178" s="21" t="n"/>
      <c r="AK178" s="17">
        <f>IF(G178="","",IF(OR(COUNTIFS($G$5:$G$445,G178,$I$5:$I$445,I178,$J$5:$J$445,J178,$P$5:$P$445,P178)&gt;1,AND(AF178&lt;&gt;"",COUNTIF($AF$5:$AF$445,AF178)&gt;1)),"REVISAR_POSIBLE_DUPLICADO",""))</f>
        <v/>
      </c>
    </row>
    <row r="179">
      <c r="A179" s="17" t="inlineStr">
        <is>
          <t>904705e6-da8c-5c58-8d74-9564af886d22</t>
        </is>
      </c>
      <c r="B179" s="18" t="inlineStr">
        <is>
          <t>NUEVO</t>
        </is>
      </c>
      <c r="C179" s="18" t="inlineStr">
        <is>
          <t>ACTIVO</t>
        </is>
      </c>
      <c r="D179" s="18" t="n"/>
      <c r="E179" s="17" t="n"/>
      <c r="F179" s="17" t="n"/>
      <c r="G179" s="19" t="n"/>
      <c r="H179" s="19" t="n"/>
      <c r="I179" s="20" t="n"/>
      <c r="J179" s="20" t="n"/>
      <c r="K179" s="21" t="n"/>
      <c r="L179" s="18" t="n"/>
      <c r="M179" s="22" t="n"/>
      <c r="N179" s="22" t="n"/>
      <c r="O179" s="23" t="n">
        <v>10</v>
      </c>
      <c r="P179" s="24" t="inlineStr">
        <is>
          <t>UNIDAD</t>
        </is>
      </c>
      <c r="Q179" s="20" t="inlineStr">
        <is>
          <t>NO</t>
        </is>
      </c>
      <c r="R179" s="20" t="inlineStr">
        <is>
          <t>NO</t>
        </is>
      </c>
      <c r="S179" s="25" t="n">
        <v>1</v>
      </c>
      <c r="T179" s="20" t="inlineStr">
        <is>
          <t>NO</t>
        </is>
      </c>
      <c r="U179" s="20" t="n"/>
      <c r="V179" s="21" t="n"/>
      <c r="W179" s="26" t="n"/>
      <c r="X179" s="27" t="n"/>
      <c r="Y179" s="20" t="n"/>
      <c r="Z179" s="20" t="n"/>
      <c r="AA179" s="26">
        <f>IF(X179="","",X179-IF(W179="",0,W179))</f>
        <v/>
      </c>
      <c r="AB179" s="28">
        <f>IF(OR(X179="",M179=""),"",X179*M179)</f>
        <v/>
      </c>
      <c r="AC179" s="28">
        <f>IF(OR(X179="",N179=""),"",X179*N179)</f>
        <v/>
      </c>
      <c r="AD179" s="28">
        <f>IF(OR(M179="",N179=""),"",N179-M179)</f>
        <v/>
      </c>
      <c r="AE179" s="29">
        <f>IFERROR(IF(M179&gt;0,(N179-M179)/M179,""),"")</f>
        <v/>
      </c>
      <c r="AF179" s="30" t="n"/>
      <c r="AG179" s="30" t="inlineStr">
        <is>
          <t>PENDIENTE</t>
        </is>
      </c>
      <c r="AH179" s="18">
        <f>IF(NOT(OR(B179="EXISTENTE",COUNTA(G179,H179,I179,J179,K179,M179,N179,U179,V179,X179,Y179,Z179,AF179,AJ179)&gt;0)),"",IF(AK179&lt;&gt;"","REVISAR",IF(OR(G179="",H179="",M179="",N179="",O179="",P179="",X179=""),"INCOMPLETO",IF(AI179&lt;&gt;"","REVISAR",IF(AND(AF179&lt;&gt;"",AG179="ESCANEADO"),"LISTO_COMPLETO","LISTO_SIN_BARCODE")))))</f>
        <v/>
      </c>
      <c r="AI179" s="17">
        <f>IF(NOT(OR(B179="EXISTENTE",COUNTA(G179,H179,I179,J179,K179,M179,N179,U179,V179,X179,Y179,Z179,AF179,AJ179)&gt;0)),"",TEXTJOIN(" | ",TRUE,IF(A179="","Falta ID staging",""),IF(COUNTIF($A$5:$A$445,A179)&gt;1,"ID staging duplicado",""),IF(G179="","Falta nombre",""),IF(LEN(G179)&gt;150,"Nombre &gt;150 caracteres",""),IF(H179="","Falta categoría",IF(COUNTIF(CategoriasLista,H179)=0,"Categoría inválida","")),IF(M179="","Falta precio compra",IF(OR(NOT(ISNUMBER(M179)),M179&lt;0),"Precio compra inválido","")),IF(N179="","Falta precio venta",IF(OR(NOT(ISNUMBER(N179)),N179&lt;=0,N179&lt;M179),"Precio venta inválido","")),IF(O179="","Falta stock mínimo",IF(OR(NOT(ISNUMBER(O179)),O179&lt;0,MOD(O179,1)&lt;&gt;0),"Stock mínimo inválido","")),IF(P179="","Falta unidad",IF(COUNTIF(UnidadesLista,P179)=0,"Unidad inválida","")),IF(AND(K179&lt;&gt;"",COUNTIF(ProveedoresLista,K179)=0),"Proveedor no catalogado",""),IF(X179="","Falta cantidad contada",IF(OR(NOT(ISNUMBER(X179)),X179&lt;0,ABS(X179*1000-ROUND(X179*1000,0))&gt;0.0000001),"Cantidad inválida",IF(AND(Q179="NO",MOD(X179,1)&lt;&gt;0),"Cantidad fraccionaria no permitida",""))),IF(AND(R179="SI",OR(NOT(ISNUMBER(S179)),S179&lt;1,MOD(S179,1)&lt;&gt;0)),"Empaque inválido",""),IF(OR(AND(AF179="",AG179="ESCANEADO"),AND(AF179&lt;&gt;"",AG179&lt;&gt;"ESCANEADO")),"Barcode/estado inconsistente",""),IF(AK179&lt;&gt;"",AK179,"")))</f>
        <v/>
      </c>
      <c r="AJ179" s="21" t="n"/>
      <c r="AK179" s="17">
        <f>IF(G179="","",IF(OR(COUNTIFS($G$5:$G$445,G179,$I$5:$I$445,I179,$J$5:$J$445,J179,$P$5:$P$445,P179)&gt;1,AND(AF179&lt;&gt;"",COUNTIF($AF$5:$AF$445,AF179)&gt;1)),"REVISAR_POSIBLE_DUPLICADO",""))</f>
        <v/>
      </c>
    </row>
    <row r="180">
      <c r="A180" s="17" t="inlineStr">
        <is>
          <t>607a8933-9f48-55cb-89f6-e899bf5fe3fe</t>
        </is>
      </c>
      <c r="B180" s="18" t="inlineStr">
        <is>
          <t>NUEVO</t>
        </is>
      </c>
      <c r="C180" s="18" t="inlineStr">
        <is>
          <t>ACTIVO</t>
        </is>
      </c>
      <c r="D180" s="18" t="n"/>
      <c r="E180" s="17" t="n"/>
      <c r="F180" s="17" t="n"/>
      <c r="G180" s="19" t="n"/>
      <c r="H180" s="19" t="n"/>
      <c r="I180" s="20" t="n"/>
      <c r="J180" s="20" t="n"/>
      <c r="K180" s="21" t="n"/>
      <c r="L180" s="18" t="n"/>
      <c r="M180" s="22" t="n"/>
      <c r="N180" s="22" t="n"/>
      <c r="O180" s="23" t="n">
        <v>10</v>
      </c>
      <c r="P180" s="24" t="inlineStr">
        <is>
          <t>UNIDAD</t>
        </is>
      </c>
      <c r="Q180" s="20" t="inlineStr">
        <is>
          <t>NO</t>
        </is>
      </c>
      <c r="R180" s="20" t="inlineStr">
        <is>
          <t>NO</t>
        </is>
      </c>
      <c r="S180" s="25" t="n">
        <v>1</v>
      </c>
      <c r="T180" s="20" t="inlineStr">
        <is>
          <t>NO</t>
        </is>
      </c>
      <c r="U180" s="20" t="n"/>
      <c r="V180" s="21" t="n"/>
      <c r="W180" s="26" t="n"/>
      <c r="X180" s="27" t="n"/>
      <c r="Y180" s="20" t="n"/>
      <c r="Z180" s="20" t="n"/>
      <c r="AA180" s="26">
        <f>IF(X180="","",X180-IF(W180="",0,W180))</f>
        <v/>
      </c>
      <c r="AB180" s="28">
        <f>IF(OR(X180="",M180=""),"",X180*M180)</f>
        <v/>
      </c>
      <c r="AC180" s="28">
        <f>IF(OR(X180="",N180=""),"",X180*N180)</f>
        <v/>
      </c>
      <c r="AD180" s="28">
        <f>IF(OR(M180="",N180=""),"",N180-M180)</f>
        <v/>
      </c>
      <c r="AE180" s="29">
        <f>IFERROR(IF(M180&gt;0,(N180-M180)/M180,""),"")</f>
        <v/>
      </c>
      <c r="AF180" s="30" t="n"/>
      <c r="AG180" s="30" t="inlineStr">
        <is>
          <t>PENDIENTE</t>
        </is>
      </c>
      <c r="AH180" s="18">
        <f>IF(NOT(OR(B180="EXISTENTE",COUNTA(G180,H180,I180,J180,K180,M180,N180,U180,V180,X180,Y180,Z180,AF180,AJ180)&gt;0)),"",IF(AK180&lt;&gt;"","REVISAR",IF(OR(G180="",H180="",M180="",N180="",O180="",P180="",X180=""),"INCOMPLETO",IF(AI180&lt;&gt;"","REVISAR",IF(AND(AF180&lt;&gt;"",AG180="ESCANEADO"),"LISTO_COMPLETO","LISTO_SIN_BARCODE")))))</f>
        <v/>
      </c>
      <c r="AI180" s="17">
        <f>IF(NOT(OR(B180="EXISTENTE",COUNTA(G180,H180,I180,J180,K180,M180,N180,U180,V180,X180,Y180,Z180,AF180,AJ180)&gt;0)),"",TEXTJOIN(" | ",TRUE,IF(A180="","Falta ID staging",""),IF(COUNTIF($A$5:$A$445,A180)&gt;1,"ID staging duplicado",""),IF(G180="","Falta nombre",""),IF(LEN(G180)&gt;150,"Nombre &gt;150 caracteres",""),IF(H180="","Falta categoría",IF(COUNTIF(CategoriasLista,H180)=0,"Categoría inválida","")),IF(M180="","Falta precio compra",IF(OR(NOT(ISNUMBER(M180)),M180&lt;0),"Precio compra inválido","")),IF(N180="","Falta precio venta",IF(OR(NOT(ISNUMBER(N180)),N180&lt;=0,N180&lt;M180),"Precio venta inválido","")),IF(O180="","Falta stock mínimo",IF(OR(NOT(ISNUMBER(O180)),O180&lt;0,MOD(O180,1)&lt;&gt;0),"Stock mínimo inválido","")),IF(P180="","Falta unidad",IF(COUNTIF(UnidadesLista,P180)=0,"Unidad inválida","")),IF(AND(K180&lt;&gt;"",COUNTIF(ProveedoresLista,K180)=0),"Proveedor no catalogado",""),IF(X180="","Falta cantidad contada",IF(OR(NOT(ISNUMBER(X180)),X180&lt;0,ABS(X180*1000-ROUND(X180*1000,0))&gt;0.0000001),"Cantidad inválida",IF(AND(Q180="NO",MOD(X180,1)&lt;&gt;0),"Cantidad fraccionaria no permitida",""))),IF(AND(R180="SI",OR(NOT(ISNUMBER(S180)),S180&lt;1,MOD(S180,1)&lt;&gt;0)),"Empaque inválido",""),IF(OR(AND(AF180="",AG180="ESCANEADO"),AND(AF180&lt;&gt;"",AG180&lt;&gt;"ESCANEADO")),"Barcode/estado inconsistente",""),IF(AK180&lt;&gt;"",AK180,"")))</f>
        <v/>
      </c>
      <c r="AJ180" s="21" t="n"/>
      <c r="AK180" s="17">
        <f>IF(G180="","",IF(OR(COUNTIFS($G$5:$G$445,G180,$I$5:$I$445,I180,$J$5:$J$445,J180,$P$5:$P$445,P180)&gt;1,AND(AF180&lt;&gt;"",COUNTIF($AF$5:$AF$445,AF180)&gt;1)),"REVISAR_POSIBLE_DUPLICADO",""))</f>
        <v/>
      </c>
    </row>
    <row r="181">
      <c r="A181" s="17" t="inlineStr">
        <is>
          <t>61caf99e-b053-5a96-b604-a2168e7bed82</t>
        </is>
      </c>
      <c r="B181" s="18" t="inlineStr">
        <is>
          <t>NUEVO</t>
        </is>
      </c>
      <c r="C181" s="18" t="inlineStr">
        <is>
          <t>ACTIVO</t>
        </is>
      </c>
      <c r="D181" s="18" t="n"/>
      <c r="E181" s="17" t="n"/>
      <c r="F181" s="17" t="n"/>
      <c r="G181" s="19" t="n"/>
      <c r="H181" s="19" t="n"/>
      <c r="I181" s="20" t="n"/>
      <c r="J181" s="20" t="n"/>
      <c r="K181" s="21" t="n"/>
      <c r="L181" s="18" t="n"/>
      <c r="M181" s="22" t="n"/>
      <c r="N181" s="22" t="n"/>
      <c r="O181" s="23" t="n">
        <v>10</v>
      </c>
      <c r="P181" s="24" t="inlineStr">
        <is>
          <t>UNIDAD</t>
        </is>
      </c>
      <c r="Q181" s="20" t="inlineStr">
        <is>
          <t>NO</t>
        </is>
      </c>
      <c r="R181" s="20" t="inlineStr">
        <is>
          <t>NO</t>
        </is>
      </c>
      <c r="S181" s="25" t="n">
        <v>1</v>
      </c>
      <c r="T181" s="20" t="inlineStr">
        <is>
          <t>NO</t>
        </is>
      </c>
      <c r="U181" s="20" t="n"/>
      <c r="V181" s="21" t="n"/>
      <c r="W181" s="26" t="n"/>
      <c r="X181" s="27" t="n"/>
      <c r="Y181" s="20" t="n"/>
      <c r="Z181" s="20" t="n"/>
      <c r="AA181" s="26">
        <f>IF(X181="","",X181-IF(W181="",0,W181))</f>
        <v/>
      </c>
      <c r="AB181" s="28">
        <f>IF(OR(X181="",M181=""),"",X181*M181)</f>
        <v/>
      </c>
      <c r="AC181" s="28">
        <f>IF(OR(X181="",N181=""),"",X181*N181)</f>
        <v/>
      </c>
      <c r="AD181" s="28">
        <f>IF(OR(M181="",N181=""),"",N181-M181)</f>
        <v/>
      </c>
      <c r="AE181" s="29">
        <f>IFERROR(IF(M181&gt;0,(N181-M181)/M181,""),"")</f>
        <v/>
      </c>
      <c r="AF181" s="30" t="n"/>
      <c r="AG181" s="30" t="inlineStr">
        <is>
          <t>PENDIENTE</t>
        </is>
      </c>
      <c r="AH181" s="18">
        <f>IF(NOT(OR(B181="EXISTENTE",COUNTA(G181,H181,I181,J181,K181,M181,N181,U181,V181,X181,Y181,Z181,AF181,AJ181)&gt;0)),"",IF(AK181&lt;&gt;"","REVISAR",IF(OR(G181="",H181="",M181="",N181="",O181="",P181="",X181=""),"INCOMPLETO",IF(AI181&lt;&gt;"","REVISAR",IF(AND(AF181&lt;&gt;"",AG181="ESCANEADO"),"LISTO_COMPLETO","LISTO_SIN_BARCODE")))))</f>
        <v/>
      </c>
      <c r="AI181" s="17">
        <f>IF(NOT(OR(B181="EXISTENTE",COUNTA(G181,H181,I181,J181,K181,M181,N181,U181,V181,X181,Y181,Z181,AF181,AJ181)&gt;0)),"",TEXTJOIN(" | ",TRUE,IF(A181="","Falta ID staging",""),IF(COUNTIF($A$5:$A$445,A181)&gt;1,"ID staging duplicado",""),IF(G181="","Falta nombre",""),IF(LEN(G181)&gt;150,"Nombre &gt;150 caracteres",""),IF(H181="","Falta categoría",IF(COUNTIF(CategoriasLista,H181)=0,"Categoría inválida","")),IF(M181="","Falta precio compra",IF(OR(NOT(ISNUMBER(M181)),M181&lt;0),"Precio compra inválido","")),IF(N181="","Falta precio venta",IF(OR(NOT(ISNUMBER(N181)),N181&lt;=0,N181&lt;M181),"Precio venta inválido","")),IF(O181="","Falta stock mínimo",IF(OR(NOT(ISNUMBER(O181)),O181&lt;0,MOD(O181,1)&lt;&gt;0),"Stock mínimo inválido","")),IF(P181="","Falta unidad",IF(COUNTIF(UnidadesLista,P181)=0,"Unidad inválida","")),IF(AND(K181&lt;&gt;"",COUNTIF(ProveedoresLista,K181)=0),"Proveedor no catalogado",""),IF(X181="","Falta cantidad contada",IF(OR(NOT(ISNUMBER(X181)),X181&lt;0,ABS(X181*1000-ROUND(X181*1000,0))&gt;0.0000001),"Cantidad inválida",IF(AND(Q181="NO",MOD(X181,1)&lt;&gt;0),"Cantidad fraccionaria no permitida",""))),IF(AND(R181="SI",OR(NOT(ISNUMBER(S181)),S181&lt;1,MOD(S181,1)&lt;&gt;0)),"Empaque inválido",""),IF(OR(AND(AF181="",AG181="ESCANEADO"),AND(AF181&lt;&gt;"",AG181&lt;&gt;"ESCANEADO")),"Barcode/estado inconsistente",""),IF(AK181&lt;&gt;"",AK181,"")))</f>
        <v/>
      </c>
      <c r="AJ181" s="21" t="n"/>
      <c r="AK181" s="17">
        <f>IF(G181="","",IF(OR(COUNTIFS($G$5:$G$445,G181,$I$5:$I$445,I181,$J$5:$J$445,J181,$P$5:$P$445,P181)&gt;1,AND(AF181&lt;&gt;"",COUNTIF($AF$5:$AF$445,AF181)&gt;1)),"REVISAR_POSIBLE_DUPLICADO",""))</f>
        <v/>
      </c>
    </row>
    <row r="182">
      <c r="A182" s="17" t="inlineStr">
        <is>
          <t>2add68aa-db53-5be4-86b4-045dbef51b5f</t>
        </is>
      </c>
      <c r="B182" s="18" t="inlineStr">
        <is>
          <t>NUEVO</t>
        </is>
      </c>
      <c r="C182" s="18" t="inlineStr">
        <is>
          <t>ACTIVO</t>
        </is>
      </c>
      <c r="D182" s="18" t="n"/>
      <c r="E182" s="17" t="n"/>
      <c r="F182" s="17" t="n"/>
      <c r="G182" s="19" t="n"/>
      <c r="H182" s="19" t="n"/>
      <c r="I182" s="20" t="n"/>
      <c r="J182" s="20" t="n"/>
      <c r="K182" s="21" t="n"/>
      <c r="L182" s="18" t="n"/>
      <c r="M182" s="22" t="n"/>
      <c r="N182" s="22" t="n"/>
      <c r="O182" s="23" t="n">
        <v>10</v>
      </c>
      <c r="P182" s="24" t="inlineStr">
        <is>
          <t>UNIDAD</t>
        </is>
      </c>
      <c r="Q182" s="20" t="inlineStr">
        <is>
          <t>NO</t>
        </is>
      </c>
      <c r="R182" s="20" t="inlineStr">
        <is>
          <t>NO</t>
        </is>
      </c>
      <c r="S182" s="25" t="n">
        <v>1</v>
      </c>
      <c r="T182" s="20" t="inlineStr">
        <is>
          <t>NO</t>
        </is>
      </c>
      <c r="U182" s="20" t="n"/>
      <c r="V182" s="21" t="n"/>
      <c r="W182" s="26" t="n"/>
      <c r="X182" s="27" t="n"/>
      <c r="Y182" s="20" t="n"/>
      <c r="Z182" s="20" t="n"/>
      <c r="AA182" s="26">
        <f>IF(X182="","",X182-IF(W182="",0,W182))</f>
        <v/>
      </c>
      <c r="AB182" s="28">
        <f>IF(OR(X182="",M182=""),"",X182*M182)</f>
        <v/>
      </c>
      <c r="AC182" s="28">
        <f>IF(OR(X182="",N182=""),"",X182*N182)</f>
        <v/>
      </c>
      <c r="AD182" s="28">
        <f>IF(OR(M182="",N182=""),"",N182-M182)</f>
        <v/>
      </c>
      <c r="AE182" s="29">
        <f>IFERROR(IF(M182&gt;0,(N182-M182)/M182,""),"")</f>
        <v/>
      </c>
      <c r="AF182" s="30" t="n"/>
      <c r="AG182" s="30" t="inlineStr">
        <is>
          <t>PENDIENTE</t>
        </is>
      </c>
      <c r="AH182" s="18">
        <f>IF(NOT(OR(B182="EXISTENTE",COUNTA(G182,H182,I182,J182,K182,M182,N182,U182,V182,X182,Y182,Z182,AF182,AJ182)&gt;0)),"",IF(AK182&lt;&gt;"","REVISAR",IF(OR(G182="",H182="",M182="",N182="",O182="",P182="",X182=""),"INCOMPLETO",IF(AI182&lt;&gt;"","REVISAR",IF(AND(AF182&lt;&gt;"",AG182="ESCANEADO"),"LISTO_COMPLETO","LISTO_SIN_BARCODE")))))</f>
        <v/>
      </c>
      <c r="AI182" s="17">
        <f>IF(NOT(OR(B182="EXISTENTE",COUNTA(G182,H182,I182,J182,K182,M182,N182,U182,V182,X182,Y182,Z182,AF182,AJ182)&gt;0)),"",TEXTJOIN(" | ",TRUE,IF(A182="","Falta ID staging",""),IF(COUNTIF($A$5:$A$445,A182)&gt;1,"ID staging duplicado",""),IF(G182="","Falta nombre",""),IF(LEN(G182)&gt;150,"Nombre &gt;150 caracteres",""),IF(H182="","Falta categoría",IF(COUNTIF(CategoriasLista,H182)=0,"Categoría inválida","")),IF(M182="","Falta precio compra",IF(OR(NOT(ISNUMBER(M182)),M182&lt;0),"Precio compra inválido","")),IF(N182="","Falta precio venta",IF(OR(NOT(ISNUMBER(N182)),N182&lt;=0,N182&lt;M182),"Precio venta inválido","")),IF(O182="","Falta stock mínimo",IF(OR(NOT(ISNUMBER(O182)),O182&lt;0,MOD(O182,1)&lt;&gt;0),"Stock mínimo inválido","")),IF(P182="","Falta unidad",IF(COUNTIF(UnidadesLista,P182)=0,"Unidad inválida","")),IF(AND(K182&lt;&gt;"",COUNTIF(ProveedoresLista,K182)=0),"Proveedor no catalogado",""),IF(X182="","Falta cantidad contada",IF(OR(NOT(ISNUMBER(X182)),X182&lt;0,ABS(X182*1000-ROUND(X182*1000,0))&gt;0.0000001),"Cantidad inválida",IF(AND(Q182="NO",MOD(X182,1)&lt;&gt;0),"Cantidad fraccionaria no permitida",""))),IF(AND(R182="SI",OR(NOT(ISNUMBER(S182)),S182&lt;1,MOD(S182,1)&lt;&gt;0)),"Empaque inválido",""),IF(OR(AND(AF182="",AG182="ESCANEADO"),AND(AF182&lt;&gt;"",AG182&lt;&gt;"ESCANEADO")),"Barcode/estado inconsistente",""),IF(AK182&lt;&gt;"",AK182,"")))</f>
        <v/>
      </c>
      <c r="AJ182" s="21" t="n"/>
      <c r="AK182" s="17">
        <f>IF(G182="","",IF(OR(COUNTIFS($G$5:$G$445,G182,$I$5:$I$445,I182,$J$5:$J$445,J182,$P$5:$P$445,P182)&gt;1,AND(AF182&lt;&gt;"",COUNTIF($AF$5:$AF$445,AF182)&gt;1)),"REVISAR_POSIBLE_DUPLICADO",""))</f>
        <v/>
      </c>
    </row>
    <row r="183">
      <c r="A183" s="17" t="inlineStr">
        <is>
          <t>a1e27273-23c8-5f15-bc01-1df30f67a6d8</t>
        </is>
      </c>
      <c r="B183" s="18" t="inlineStr">
        <is>
          <t>NUEVO</t>
        </is>
      </c>
      <c r="C183" s="18" t="inlineStr">
        <is>
          <t>ACTIVO</t>
        </is>
      </c>
      <c r="D183" s="18" t="n"/>
      <c r="E183" s="17" t="n"/>
      <c r="F183" s="17" t="n"/>
      <c r="G183" s="19" t="n"/>
      <c r="H183" s="19" t="n"/>
      <c r="I183" s="20" t="n"/>
      <c r="J183" s="20" t="n"/>
      <c r="K183" s="21" t="n"/>
      <c r="L183" s="18" t="n"/>
      <c r="M183" s="22" t="n"/>
      <c r="N183" s="22" t="n"/>
      <c r="O183" s="23" t="n">
        <v>10</v>
      </c>
      <c r="P183" s="24" t="inlineStr">
        <is>
          <t>UNIDAD</t>
        </is>
      </c>
      <c r="Q183" s="20" t="inlineStr">
        <is>
          <t>NO</t>
        </is>
      </c>
      <c r="R183" s="20" t="inlineStr">
        <is>
          <t>NO</t>
        </is>
      </c>
      <c r="S183" s="25" t="n">
        <v>1</v>
      </c>
      <c r="T183" s="20" t="inlineStr">
        <is>
          <t>NO</t>
        </is>
      </c>
      <c r="U183" s="20" t="n"/>
      <c r="V183" s="21" t="n"/>
      <c r="W183" s="26" t="n"/>
      <c r="X183" s="27" t="n"/>
      <c r="Y183" s="20" t="n"/>
      <c r="Z183" s="20" t="n"/>
      <c r="AA183" s="26">
        <f>IF(X183="","",X183-IF(W183="",0,W183))</f>
        <v/>
      </c>
      <c r="AB183" s="28">
        <f>IF(OR(X183="",M183=""),"",X183*M183)</f>
        <v/>
      </c>
      <c r="AC183" s="28">
        <f>IF(OR(X183="",N183=""),"",X183*N183)</f>
        <v/>
      </c>
      <c r="AD183" s="28">
        <f>IF(OR(M183="",N183=""),"",N183-M183)</f>
        <v/>
      </c>
      <c r="AE183" s="29">
        <f>IFERROR(IF(M183&gt;0,(N183-M183)/M183,""),"")</f>
        <v/>
      </c>
      <c r="AF183" s="30" t="n"/>
      <c r="AG183" s="30" t="inlineStr">
        <is>
          <t>PENDIENTE</t>
        </is>
      </c>
      <c r="AH183" s="18">
        <f>IF(NOT(OR(B183="EXISTENTE",COUNTA(G183,H183,I183,J183,K183,M183,N183,U183,V183,X183,Y183,Z183,AF183,AJ183)&gt;0)),"",IF(AK183&lt;&gt;"","REVISAR",IF(OR(G183="",H183="",M183="",N183="",O183="",P183="",X183=""),"INCOMPLETO",IF(AI183&lt;&gt;"","REVISAR",IF(AND(AF183&lt;&gt;"",AG183="ESCANEADO"),"LISTO_COMPLETO","LISTO_SIN_BARCODE")))))</f>
        <v/>
      </c>
      <c r="AI183" s="17">
        <f>IF(NOT(OR(B183="EXISTENTE",COUNTA(G183,H183,I183,J183,K183,M183,N183,U183,V183,X183,Y183,Z183,AF183,AJ183)&gt;0)),"",TEXTJOIN(" | ",TRUE,IF(A183="","Falta ID staging",""),IF(COUNTIF($A$5:$A$445,A183)&gt;1,"ID staging duplicado",""),IF(G183="","Falta nombre",""),IF(LEN(G183)&gt;150,"Nombre &gt;150 caracteres",""),IF(H183="","Falta categoría",IF(COUNTIF(CategoriasLista,H183)=0,"Categoría inválida","")),IF(M183="","Falta precio compra",IF(OR(NOT(ISNUMBER(M183)),M183&lt;0),"Precio compra inválido","")),IF(N183="","Falta precio venta",IF(OR(NOT(ISNUMBER(N183)),N183&lt;=0,N183&lt;M183),"Precio venta inválido","")),IF(O183="","Falta stock mínimo",IF(OR(NOT(ISNUMBER(O183)),O183&lt;0,MOD(O183,1)&lt;&gt;0),"Stock mínimo inválido","")),IF(P183="","Falta unidad",IF(COUNTIF(UnidadesLista,P183)=0,"Unidad inválida","")),IF(AND(K183&lt;&gt;"",COUNTIF(ProveedoresLista,K183)=0),"Proveedor no catalogado",""),IF(X183="","Falta cantidad contada",IF(OR(NOT(ISNUMBER(X183)),X183&lt;0,ABS(X183*1000-ROUND(X183*1000,0))&gt;0.0000001),"Cantidad inválida",IF(AND(Q183="NO",MOD(X183,1)&lt;&gt;0),"Cantidad fraccionaria no permitida",""))),IF(AND(R183="SI",OR(NOT(ISNUMBER(S183)),S183&lt;1,MOD(S183,1)&lt;&gt;0)),"Empaque inválido",""),IF(OR(AND(AF183="",AG183="ESCANEADO"),AND(AF183&lt;&gt;"",AG183&lt;&gt;"ESCANEADO")),"Barcode/estado inconsistente",""),IF(AK183&lt;&gt;"",AK183,"")))</f>
        <v/>
      </c>
      <c r="AJ183" s="21" t="n"/>
      <c r="AK183" s="17">
        <f>IF(G183="","",IF(OR(COUNTIFS($G$5:$G$445,G183,$I$5:$I$445,I183,$J$5:$J$445,J183,$P$5:$P$445,P183)&gt;1,AND(AF183&lt;&gt;"",COUNTIF($AF$5:$AF$445,AF183)&gt;1)),"REVISAR_POSIBLE_DUPLICADO",""))</f>
        <v/>
      </c>
    </row>
    <row r="184">
      <c r="A184" s="17" t="inlineStr">
        <is>
          <t>3c4d8536-5e81-5572-b44d-24b0735e2b92</t>
        </is>
      </c>
      <c r="B184" s="18" t="inlineStr">
        <is>
          <t>NUEVO</t>
        </is>
      </c>
      <c r="C184" s="18" t="inlineStr">
        <is>
          <t>ACTIVO</t>
        </is>
      </c>
      <c r="D184" s="18" t="n"/>
      <c r="E184" s="17" t="n"/>
      <c r="F184" s="17" t="n"/>
      <c r="G184" s="19" t="n"/>
      <c r="H184" s="19" t="n"/>
      <c r="I184" s="20" t="n"/>
      <c r="J184" s="20" t="n"/>
      <c r="K184" s="21" t="n"/>
      <c r="L184" s="18" t="n"/>
      <c r="M184" s="22" t="n"/>
      <c r="N184" s="22" t="n"/>
      <c r="O184" s="23" t="n">
        <v>10</v>
      </c>
      <c r="P184" s="24" t="inlineStr">
        <is>
          <t>UNIDAD</t>
        </is>
      </c>
      <c r="Q184" s="20" t="inlineStr">
        <is>
          <t>NO</t>
        </is>
      </c>
      <c r="R184" s="20" t="inlineStr">
        <is>
          <t>NO</t>
        </is>
      </c>
      <c r="S184" s="25" t="n">
        <v>1</v>
      </c>
      <c r="T184" s="20" t="inlineStr">
        <is>
          <t>NO</t>
        </is>
      </c>
      <c r="U184" s="20" t="n"/>
      <c r="V184" s="21" t="n"/>
      <c r="W184" s="26" t="n"/>
      <c r="X184" s="27" t="n"/>
      <c r="Y184" s="20" t="n"/>
      <c r="Z184" s="20" t="n"/>
      <c r="AA184" s="26">
        <f>IF(X184="","",X184-IF(W184="",0,W184))</f>
        <v/>
      </c>
      <c r="AB184" s="28">
        <f>IF(OR(X184="",M184=""),"",X184*M184)</f>
        <v/>
      </c>
      <c r="AC184" s="28">
        <f>IF(OR(X184="",N184=""),"",X184*N184)</f>
        <v/>
      </c>
      <c r="AD184" s="28">
        <f>IF(OR(M184="",N184=""),"",N184-M184)</f>
        <v/>
      </c>
      <c r="AE184" s="29">
        <f>IFERROR(IF(M184&gt;0,(N184-M184)/M184,""),"")</f>
        <v/>
      </c>
      <c r="AF184" s="30" t="n"/>
      <c r="AG184" s="30" t="inlineStr">
        <is>
          <t>PENDIENTE</t>
        </is>
      </c>
      <c r="AH184" s="18">
        <f>IF(NOT(OR(B184="EXISTENTE",COUNTA(G184,H184,I184,J184,K184,M184,N184,U184,V184,X184,Y184,Z184,AF184,AJ184)&gt;0)),"",IF(AK184&lt;&gt;"","REVISAR",IF(OR(G184="",H184="",M184="",N184="",O184="",P184="",X184=""),"INCOMPLETO",IF(AI184&lt;&gt;"","REVISAR",IF(AND(AF184&lt;&gt;"",AG184="ESCANEADO"),"LISTO_COMPLETO","LISTO_SIN_BARCODE")))))</f>
        <v/>
      </c>
      <c r="AI184" s="17">
        <f>IF(NOT(OR(B184="EXISTENTE",COUNTA(G184,H184,I184,J184,K184,M184,N184,U184,V184,X184,Y184,Z184,AF184,AJ184)&gt;0)),"",TEXTJOIN(" | ",TRUE,IF(A184="","Falta ID staging",""),IF(COUNTIF($A$5:$A$445,A184)&gt;1,"ID staging duplicado",""),IF(G184="","Falta nombre",""),IF(LEN(G184)&gt;150,"Nombre &gt;150 caracteres",""),IF(H184="","Falta categoría",IF(COUNTIF(CategoriasLista,H184)=0,"Categoría inválida","")),IF(M184="","Falta precio compra",IF(OR(NOT(ISNUMBER(M184)),M184&lt;0),"Precio compra inválido","")),IF(N184="","Falta precio venta",IF(OR(NOT(ISNUMBER(N184)),N184&lt;=0,N184&lt;M184),"Precio venta inválido","")),IF(O184="","Falta stock mínimo",IF(OR(NOT(ISNUMBER(O184)),O184&lt;0,MOD(O184,1)&lt;&gt;0),"Stock mínimo inválido","")),IF(P184="","Falta unidad",IF(COUNTIF(UnidadesLista,P184)=0,"Unidad inválida","")),IF(AND(K184&lt;&gt;"",COUNTIF(ProveedoresLista,K184)=0),"Proveedor no catalogado",""),IF(X184="","Falta cantidad contada",IF(OR(NOT(ISNUMBER(X184)),X184&lt;0,ABS(X184*1000-ROUND(X184*1000,0))&gt;0.0000001),"Cantidad inválida",IF(AND(Q184="NO",MOD(X184,1)&lt;&gt;0),"Cantidad fraccionaria no permitida",""))),IF(AND(R184="SI",OR(NOT(ISNUMBER(S184)),S184&lt;1,MOD(S184,1)&lt;&gt;0)),"Empaque inválido",""),IF(OR(AND(AF184="",AG184="ESCANEADO"),AND(AF184&lt;&gt;"",AG184&lt;&gt;"ESCANEADO")),"Barcode/estado inconsistente",""),IF(AK184&lt;&gt;"",AK184,"")))</f>
        <v/>
      </c>
      <c r="AJ184" s="21" t="n"/>
      <c r="AK184" s="17">
        <f>IF(G184="","",IF(OR(COUNTIFS($G$5:$G$445,G184,$I$5:$I$445,I184,$J$5:$J$445,J184,$P$5:$P$445,P184)&gt;1,AND(AF184&lt;&gt;"",COUNTIF($AF$5:$AF$445,AF184)&gt;1)),"REVISAR_POSIBLE_DUPLICADO",""))</f>
        <v/>
      </c>
    </row>
    <row r="185">
      <c r="A185" s="17" t="inlineStr">
        <is>
          <t>41fc8505-0824-5625-ac93-81f0060d9799</t>
        </is>
      </c>
      <c r="B185" s="18" t="inlineStr">
        <is>
          <t>NUEVO</t>
        </is>
      </c>
      <c r="C185" s="18" t="inlineStr">
        <is>
          <t>ACTIVO</t>
        </is>
      </c>
      <c r="D185" s="18" t="n"/>
      <c r="E185" s="17" t="n"/>
      <c r="F185" s="17" t="n"/>
      <c r="G185" s="19" t="n"/>
      <c r="H185" s="19" t="n"/>
      <c r="I185" s="20" t="n"/>
      <c r="J185" s="20" t="n"/>
      <c r="K185" s="21" t="n"/>
      <c r="L185" s="18" t="n"/>
      <c r="M185" s="22" t="n"/>
      <c r="N185" s="22" t="n"/>
      <c r="O185" s="23" t="n">
        <v>10</v>
      </c>
      <c r="P185" s="24" t="inlineStr">
        <is>
          <t>UNIDAD</t>
        </is>
      </c>
      <c r="Q185" s="20" t="inlineStr">
        <is>
          <t>NO</t>
        </is>
      </c>
      <c r="R185" s="20" t="inlineStr">
        <is>
          <t>NO</t>
        </is>
      </c>
      <c r="S185" s="25" t="n">
        <v>1</v>
      </c>
      <c r="T185" s="20" t="inlineStr">
        <is>
          <t>NO</t>
        </is>
      </c>
      <c r="U185" s="20" t="n"/>
      <c r="V185" s="21" t="n"/>
      <c r="W185" s="26" t="n"/>
      <c r="X185" s="27" t="n"/>
      <c r="Y185" s="20" t="n"/>
      <c r="Z185" s="20" t="n"/>
      <c r="AA185" s="26">
        <f>IF(X185="","",X185-IF(W185="",0,W185))</f>
        <v/>
      </c>
      <c r="AB185" s="28">
        <f>IF(OR(X185="",M185=""),"",X185*M185)</f>
        <v/>
      </c>
      <c r="AC185" s="28">
        <f>IF(OR(X185="",N185=""),"",X185*N185)</f>
        <v/>
      </c>
      <c r="AD185" s="28">
        <f>IF(OR(M185="",N185=""),"",N185-M185)</f>
        <v/>
      </c>
      <c r="AE185" s="29">
        <f>IFERROR(IF(M185&gt;0,(N185-M185)/M185,""),"")</f>
        <v/>
      </c>
      <c r="AF185" s="30" t="n"/>
      <c r="AG185" s="30" t="inlineStr">
        <is>
          <t>PENDIENTE</t>
        </is>
      </c>
      <c r="AH185" s="18">
        <f>IF(NOT(OR(B185="EXISTENTE",COUNTA(G185,H185,I185,J185,K185,M185,N185,U185,V185,X185,Y185,Z185,AF185,AJ185)&gt;0)),"",IF(AK185&lt;&gt;"","REVISAR",IF(OR(G185="",H185="",M185="",N185="",O185="",P185="",X185=""),"INCOMPLETO",IF(AI185&lt;&gt;"","REVISAR",IF(AND(AF185&lt;&gt;"",AG185="ESCANEADO"),"LISTO_COMPLETO","LISTO_SIN_BARCODE")))))</f>
        <v/>
      </c>
      <c r="AI185" s="17">
        <f>IF(NOT(OR(B185="EXISTENTE",COUNTA(G185,H185,I185,J185,K185,M185,N185,U185,V185,X185,Y185,Z185,AF185,AJ185)&gt;0)),"",TEXTJOIN(" | ",TRUE,IF(A185="","Falta ID staging",""),IF(COUNTIF($A$5:$A$445,A185)&gt;1,"ID staging duplicado",""),IF(G185="","Falta nombre",""),IF(LEN(G185)&gt;150,"Nombre &gt;150 caracteres",""),IF(H185="","Falta categoría",IF(COUNTIF(CategoriasLista,H185)=0,"Categoría inválida","")),IF(M185="","Falta precio compra",IF(OR(NOT(ISNUMBER(M185)),M185&lt;0),"Precio compra inválido","")),IF(N185="","Falta precio venta",IF(OR(NOT(ISNUMBER(N185)),N185&lt;=0,N185&lt;M185),"Precio venta inválido","")),IF(O185="","Falta stock mínimo",IF(OR(NOT(ISNUMBER(O185)),O185&lt;0,MOD(O185,1)&lt;&gt;0),"Stock mínimo inválido","")),IF(P185="","Falta unidad",IF(COUNTIF(UnidadesLista,P185)=0,"Unidad inválida","")),IF(AND(K185&lt;&gt;"",COUNTIF(ProveedoresLista,K185)=0),"Proveedor no catalogado",""),IF(X185="","Falta cantidad contada",IF(OR(NOT(ISNUMBER(X185)),X185&lt;0,ABS(X185*1000-ROUND(X185*1000,0))&gt;0.0000001),"Cantidad inválida",IF(AND(Q185="NO",MOD(X185,1)&lt;&gt;0),"Cantidad fraccionaria no permitida",""))),IF(AND(R185="SI",OR(NOT(ISNUMBER(S185)),S185&lt;1,MOD(S185,1)&lt;&gt;0)),"Empaque inválido",""),IF(OR(AND(AF185="",AG185="ESCANEADO"),AND(AF185&lt;&gt;"",AG185&lt;&gt;"ESCANEADO")),"Barcode/estado inconsistente",""),IF(AK185&lt;&gt;"",AK185,"")))</f>
        <v/>
      </c>
      <c r="AJ185" s="21" t="n"/>
      <c r="AK185" s="17">
        <f>IF(G185="","",IF(OR(COUNTIFS($G$5:$G$445,G185,$I$5:$I$445,I185,$J$5:$J$445,J185,$P$5:$P$445,P185)&gt;1,AND(AF185&lt;&gt;"",COUNTIF($AF$5:$AF$445,AF185)&gt;1)),"REVISAR_POSIBLE_DUPLICADO",""))</f>
        <v/>
      </c>
    </row>
    <row r="186">
      <c r="A186" s="17" t="inlineStr">
        <is>
          <t>20ea64f8-35a5-522d-8c55-b02b0e1674b6</t>
        </is>
      </c>
      <c r="B186" s="18" t="inlineStr">
        <is>
          <t>NUEVO</t>
        </is>
      </c>
      <c r="C186" s="18" t="inlineStr">
        <is>
          <t>ACTIVO</t>
        </is>
      </c>
      <c r="D186" s="18" t="n"/>
      <c r="E186" s="17" t="n"/>
      <c r="F186" s="17" t="n"/>
      <c r="G186" s="19" t="n"/>
      <c r="H186" s="19" t="n"/>
      <c r="I186" s="20" t="n"/>
      <c r="J186" s="20" t="n"/>
      <c r="K186" s="21" t="n"/>
      <c r="L186" s="18" t="n"/>
      <c r="M186" s="22" t="n"/>
      <c r="N186" s="22" t="n"/>
      <c r="O186" s="23" t="n">
        <v>10</v>
      </c>
      <c r="P186" s="24" t="inlineStr">
        <is>
          <t>UNIDAD</t>
        </is>
      </c>
      <c r="Q186" s="20" t="inlineStr">
        <is>
          <t>NO</t>
        </is>
      </c>
      <c r="R186" s="20" t="inlineStr">
        <is>
          <t>NO</t>
        </is>
      </c>
      <c r="S186" s="25" t="n">
        <v>1</v>
      </c>
      <c r="T186" s="20" t="inlineStr">
        <is>
          <t>NO</t>
        </is>
      </c>
      <c r="U186" s="20" t="n"/>
      <c r="V186" s="21" t="n"/>
      <c r="W186" s="26" t="n"/>
      <c r="X186" s="27" t="n"/>
      <c r="Y186" s="20" t="n"/>
      <c r="Z186" s="20" t="n"/>
      <c r="AA186" s="26">
        <f>IF(X186="","",X186-IF(W186="",0,W186))</f>
        <v/>
      </c>
      <c r="AB186" s="28">
        <f>IF(OR(X186="",M186=""),"",X186*M186)</f>
        <v/>
      </c>
      <c r="AC186" s="28">
        <f>IF(OR(X186="",N186=""),"",X186*N186)</f>
        <v/>
      </c>
      <c r="AD186" s="28">
        <f>IF(OR(M186="",N186=""),"",N186-M186)</f>
        <v/>
      </c>
      <c r="AE186" s="29">
        <f>IFERROR(IF(M186&gt;0,(N186-M186)/M186,""),"")</f>
        <v/>
      </c>
      <c r="AF186" s="30" t="n"/>
      <c r="AG186" s="30" t="inlineStr">
        <is>
          <t>PENDIENTE</t>
        </is>
      </c>
      <c r="AH186" s="18">
        <f>IF(NOT(OR(B186="EXISTENTE",COUNTA(G186,H186,I186,J186,K186,M186,N186,U186,V186,X186,Y186,Z186,AF186,AJ186)&gt;0)),"",IF(AK186&lt;&gt;"","REVISAR",IF(OR(G186="",H186="",M186="",N186="",O186="",P186="",X186=""),"INCOMPLETO",IF(AI186&lt;&gt;"","REVISAR",IF(AND(AF186&lt;&gt;"",AG186="ESCANEADO"),"LISTO_COMPLETO","LISTO_SIN_BARCODE")))))</f>
        <v/>
      </c>
      <c r="AI186" s="17">
        <f>IF(NOT(OR(B186="EXISTENTE",COUNTA(G186,H186,I186,J186,K186,M186,N186,U186,V186,X186,Y186,Z186,AF186,AJ186)&gt;0)),"",TEXTJOIN(" | ",TRUE,IF(A186="","Falta ID staging",""),IF(COUNTIF($A$5:$A$445,A186)&gt;1,"ID staging duplicado",""),IF(G186="","Falta nombre",""),IF(LEN(G186)&gt;150,"Nombre &gt;150 caracteres",""),IF(H186="","Falta categoría",IF(COUNTIF(CategoriasLista,H186)=0,"Categoría inválida","")),IF(M186="","Falta precio compra",IF(OR(NOT(ISNUMBER(M186)),M186&lt;0),"Precio compra inválido","")),IF(N186="","Falta precio venta",IF(OR(NOT(ISNUMBER(N186)),N186&lt;=0,N186&lt;M186),"Precio venta inválido","")),IF(O186="","Falta stock mínimo",IF(OR(NOT(ISNUMBER(O186)),O186&lt;0,MOD(O186,1)&lt;&gt;0),"Stock mínimo inválido","")),IF(P186="","Falta unidad",IF(COUNTIF(UnidadesLista,P186)=0,"Unidad inválida","")),IF(AND(K186&lt;&gt;"",COUNTIF(ProveedoresLista,K186)=0),"Proveedor no catalogado",""),IF(X186="","Falta cantidad contada",IF(OR(NOT(ISNUMBER(X186)),X186&lt;0,ABS(X186*1000-ROUND(X186*1000,0))&gt;0.0000001),"Cantidad inválida",IF(AND(Q186="NO",MOD(X186,1)&lt;&gt;0),"Cantidad fraccionaria no permitida",""))),IF(AND(R186="SI",OR(NOT(ISNUMBER(S186)),S186&lt;1,MOD(S186,1)&lt;&gt;0)),"Empaque inválido",""),IF(OR(AND(AF186="",AG186="ESCANEADO"),AND(AF186&lt;&gt;"",AG186&lt;&gt;"ESCANEADO")),"Barcode/estado inconsistente",""),IF(AK186&lt;&gt;"",AK186,"")))</f>
        <v/>
      </c>
      <c r="AJ186" s="21" t="n"/>
      <c r="AK186" s="17">
        <f>IF(G186="","",IF(OR(COUNTIFS($G$5:$G$445,G186,$I$5:$I$445,I186,$J$5:$J$445,J186,$P$5:$P$445,P186)&gt;1,AND(AF186&lt;&gt;"",COUNTIF($AF$5:$AF$445,AF186)&gt;1)),"REVISAR_POSIBLE_DUPLICADO",""))</f>
        <v/>
      </c>
    </row>
    <row r="187">
      <c r="A187" s="17" t="inlineStr">
        <is>
          <t>a72cae78-91d0-5938-bf6d-03a43b913cbb</t>
        </is>
      </c>
      <c r="B187" s="18" t="inlineStr">
        <is>
          <t>NUEVO</t>
        </is>
      </c>
      <c r="C187" s="18" t="inlineStr">
        <is>
          <t>ACTIVO</t>
        </is>
      </c>
      <c r="D187" s="18" t="n"/>
      <c r="E187" s="17" t="n"/>
      <c r="F187" s="17" t="n"/>
      <c r="G187" s="19" t="n"/>
      <c r="H187" s="19" t="n"/>
      <c r="I187" s="20" t="n"/>
      <c r="J187" s="20" t="n"/>
      <c r="K187" s="21" t="n"/>
      <c r="L187" s="18" t="n"/>
      <c r="M187" s="22" t="n"/>
      <c r="N187" s="22" t="n"/>
      <c r="O187" s="23" t="n">
        <v>10</v>
      </c>
      <c r="P187" s="24" t="inlineStr">
        <is>
          <t>UNIDAD</t>
        </is>
      </c>
      <c r="Q187" s="20" t="inlineStr">
        <is>
          <t>NO</t>
        </is>
      </c>
      <c r="R187" s="20" t="inlineStr">
        <is>
          <t>NO</t>
        </is>
      </c>
      <c r="S187" s="25" t="n">
        <v>1</v>
      </c>
      <c r="T187" s="20" t="inlineStr">
        <is>
          <t>NO</t>
        </is>
      </c>
      <c r="U187" s="20" t="n"/>
      <c r="V187" s="21" t="n"/>
      <c r="W187" s="26" t="n"/>
      <c r="X187" s="27" t="n"/>
      <c r="Y187" s="20" t="n"/>
      <c r="Z187" s="20" t="n"/>
      <c r="AA187" s="26">
        <f>IF(X187="","",X187-IF(W187="",0,W187))</f>
        <v/>
      </c>
      <c r="AB187" s="28">
        <f>IF(OR(X187="",M187=""),"",X187*M187)</f>
        <v/>
      </c>
      <c r="AC187" s="28">
        <f>IF(OR(X187="",N187=""),"",X187*N187)</f>
        <v/>
      </c>
      <c r="AD187" s="28">
        <f>IF(OR(M187="",N187=""),"",N187-M187)</f>
        <v/>
      </c>
      <c r="AE187" s="29">
        <f>IFERROR(IF(M187&gt;0,(N187-M187)/M187,""),"")</f>
        <v/>
      </c>
      <c r="AF187" s="30" t="n"/>
      <c r="AG187" s="30" t="inlineStr">
        <is>
          <t>PENDIENTE</t>
        </is>
      </c>
      <c r="AH187" s="18">
        <f>IF(NOT(OR(B187="EXISTENTE",COUNTA(G187,H187,I187,J187,K187,M187,N187,U187,V187,X187,Y187,Z187,AF187,AJ187)&gt;0)),"",IF(AK187&lt;&gt;"","REVISAR",IF(OR(G187="",H187="",M187="",N187="",O187="",P187="",X187=""),"INCOMPLETO",IF(AI187&lt;&gt;"","REVISAR",IF(AND(AF187&lt;&gt;"",AG187="ESCANEADO"),"LISTO_COMPLETO","LISTO_SIN_BARCODE")))))</f>
        <v/>
      </c>
      <c r="AI187" s="17">
        <f>IF(NOT(OR(B187="EXISTENTE",COUNTA(G187,H187,I187,J187,K187,M187,N187,U187,V187,X187,Y187,Z187,AF187,AJ187)&gt;0)),"",TEXTJOIN(" | ",TRUE,IF(A187="","Falta ID staging",""),IF(COUNTIF($A$5:$A$445,A187)&gt;1,"ID staging duplicado",""),IF(G187="","Falta nombre",""),IF(LEN(G187)&gt;150,"Nombre &gt;150 caracteres",""),IF(H187="","Falta categoría",IF(COUNTIF(CategoriasLista,H187)=0,"Categoría inválida","")),IF(M187="","Falta precio compra",IF(OR(NOT(ISNUMBER(M187)),M187&lt;0),"Precio compra inválido","")),IF(N187="","Falta precio venta",IF(OR(NOT(ISNUMBER(N187)),N187&lt;=0,N187&lt;M187),"Precio venta inválido","")),IF(O187="","Falta stock mínimo",IF(OR(NOT(ISNUMBER(O187)),O187&lt;0,MOD(O187,1)&lt;&gt;0),"Stock mínimo inválido","")),IF(P187="","Falta unidad",IF(COUNTIF(UnidadesLista,P187)=0,"Unidad inválida","")),IF(AND(K187&lt;&gt;"",COUNTIF(ProveedoresLista,K187)=0),"Proveedor no catalogado",""),IF(X187="","Falta cantidad contada",IF(OR(NOT(ISNUMBER(X187)),X187&lt;0,ABS(X187*1000-ROUND(X187*1000,0))&gt;0.0000001),"Cantidad inválida",IF(AND(Q187="NO",MOD(X187,1)&lt;&gt;0),"Cantidad fraccionaria no permitida",""))),IF(AND(R187="SI",OR(NOT(ISNUMBER(S187)),S187&lt;1,MOD(S187,1)&lt;&gt;0)),"Empaque inválido",""),IF(OR(AND(AF187="",AG187="ESCANEADO"),AND(AF187&lt;&gt;"",AG187&lt;&gt;"ESCANEADO")),"Barcode/estado inconsistente",""),IF(AK187&lt;&gt;"",AK187,"")))</f>
        <v/>
      </c>
      <c r="AJ187" s="21" t="n"/>
      <c r="AK187" s="17">
        <f>IF(G187="","",IF(OR(COUNTIFS($G$5:$G$445,G187,$I$5:$I$445,I187,$J$5:$J$445,J187,$P$5:$P$445,P187)&gt;1,AND(AF187&lt;&gt;"",COUNTIF($AF$5:$AF$445,AF187)&gt;1)),"REVISAR_POSIBLE_DUPLICADO",""))</f>
        <v/>
      </c>
    </row>
    <row r="188">
      <c r="A188" s="17" t="inlineStr">
        <is>
          <t>30de6cbf-95a4-52fa-bb70-c369bd55d9e2</t>
        </is>
      </c>
      <c r="B188" s="18" t="inlineStr">
        <is>
          <t>NUEVO</t>
        </is>
      </c>
      <c r="C188" s="18" t="inlineStr">
        <is>
          <t>ACTIVO</t>
        </is>
      </c>
      <c r="D188" s="18" t="n"/>
      <c r="E188" s="17" t="n"/>
      <c r="F188" s="17" t="n"/>
      <c r="G188" s="19" t="n"/>
      <c r="H188" s="19" t="n"/>
      <c r="I188" s="20" t="n"/>
      <c r="J188" s="20" t="n"/>
      <c r="K188" s="21" t="n"/>
      <c r="L188" s="18" t="n"/>
      <c r="M188" s="22" t="n"/>
      <c r="N188" s="22" t="n"/>
      <c r="O188" s="23" t="n">
        <v>10</v>
      </c>
      <c r="P188" s="24" t="inlineStr">
        <is>
          <t>UNIDAD</t>
        </is>
      </c>
      <c r="Q188" s="20" t="inlineStr">
        <is>
          <t>NO</t>
        </is>
      </c>
      <c r="R188" s="20" t="inlineStr">
        <is>
          <t>NO</t>
        </is>
      </c>
      <c r="S188" s="25" t="n">
        <v>1</v>
      </c>
      <c r="T188" s="20" t="inlineStr">
        <is>
          <t>NO</t>
        </is>
      </c>
      <c r="U188" s="20" t="n"/>
      <c r="V188" s="21" t="n"/>
      <c r="W188" s="26" t="n"/>
      <c r="X188" s="27" t="n"/>
      <c r="Y188" s="20" t="n"/>
      <c r="Z188" s="20" t="n"/>
      <c r="AA188" s="26">
        <f>IF(X188="","",X188-IF(W188="",0,W188))</f>
        <v/>
      </c>
      <c r="AB188" s="28">
        <f>IF(OR(X188="",M188=""),"",X188*M188)</f>
        <v/>
      </c>
      <c r="AC188" s="28">
        <f>IF(OR(X188="",N188=""),"",X188*N188)</f>
        <v/>
      </c>
      <c r="AD188" s="28">
        <f>IF(OR(M188="",N188=""),"",N188-M188)</f>
        <v/>
      </c>
      <c r="AE188" s="29">
        <f>IFERROR(IF(M188&gt;0,(N188-M188)/M188,""),"")</f>
        <v/>
      </c>
      <c r="AF188" s="30" t="n"/>
      <c r="AG188" s="30" t="inlineStr">
        <is>
          <t>PENDIENTE</t>
        </is>
      </c>
      <c r="AH188" s="18">
        <f>IF(NOT(OR(B188="EXISTENTE",COUNTA(G188,H188,I188,J188,K188,M188,N188,U188,V188,X188,Y188,Z188,AF188,AJ188)&gt;0)),"",IF(AK188&lt;&gt;"","REVISAR",IF(OR(G188="",H188="",M188="",N188="",O188="",P188="",X188=""),"INCOMPLETO",IF(AI188&lt;&gt;"","REVISAR",IF(AND(AF188&lt;&gt;"",AG188="ESCANEADO"),"LISTO_COMPLETO","LISTO_SIN_BARCODE")))))</f>
        <v/>
      </c>
      <c r="AI188" s="17">
        <f>IF(NOT(OR(B188="EXISTENTE",COUNTA(G188,H188,I188,J188,K188,M188,N188,U188,V188,X188,Y188,Z188,AF188,AJ188)&gt;0)),"",TEXTJOIN(" | ",TRUE,IF(A188="","Falta ID staging",""),IF(COUNTIF($A$5:$A$445,A188)&gt;1,"ID staging duplicado",""),IF(G188="","Falta nombre",""),IF(LEN(G188)&gt;150,"Nombre &gt;150 caracteres",""),IF(H188="","Falta categoría",IF(COUNTIF(CategoriasLista,H188)=0,"Categoría inválida","")),IF(M188="","Falta precio compra",IF(OR(NOT(ISNUMBER(M188)),M188&lt;0),"Precio compra inválido","")),IF(N188="","Falta precio venta",IF(OR(NOT(ISNUMBER(N188)),N188&lt;=0,N188&lt;M188),"Precio venta inválido","")),IF(O188="","Falta stock mínimo",IF(OR(NOT(ISNUMBER(O188)),O188&lt;0,MOD(O188,1)&lt;&gt;0),"Stock mínimo inválido","")),IF(P188="","Falta unidad",IF(COUNTIF(UnidadesLista,P188)=0,"Unidad inválida","")),IF(AND(K188&lt;&gt;"",COUNTIF(ProveedoresLista,K188)=0),"Proveedor no catalogado",""),IF(X188="","Falta cantidad contada",IF(OR(NOT(ISNUMBER(X188)),X188&lt;0,ABS(X188*1000-ROUND(X188*1000,0))&gt;0.0000001),"Cantidad inválida",IF(AND(Q188="NO",MOD(X188,1)&lt;&gt;0),"Cantidad fraccionaria no permitida",""))),IF(AND(R188="SI",OR(NOT(ISNUMBER(S188)),S188&lt;1,MOD(S188,1)&lt;&gt;0)),"Empaque inválido",""),IF(OR(AND(AF188="",AG188="ESCANEADO"),AND(AF188&lt;&gt;"",AG188&lt;&gt;"ESCANEADO")),"Barcode/estado inconsistente",""),IF(AK188&lt;&gt;"",AK188,"")))</f>
        <v/>
      </c>
      <c r="AJ188" s="21" t="n"/>
      <c r="AK188" s="17">
        <f>IF(G188="","",IF(OR(COUNTIFS($G$5:$G$445,G188,$I$5:$I$445,I188,$J$5:$J$445,J188,$P$5:$P$445,P188)&gt;1,AND(AF188&lt;&gt;"",COUNTIF($AF$5:$AF$445,AF188)&gt;1)),"REVISAR_POSIBLE_DUPLICADO",""))</f>
        <v/>
      </c>
    </row>
    <row r="189">
      <c r="A189" s="17" t="inlineStr">
        <is>
          <t>02ff52e6-1cd4-5e76-8cc3-cda740790350</t>
        </is>
      </c>
      <c r="B189" s="18" t="inlineStr">
        <is>
          <t>NUEVO</t>
        </is>
      </c>
      <c r="C189" s="18" t="inlineStr">
        <is>
          <t>ACTIVO</t>
        </is>
      </c>
      <c r="D189" s="18" t="n"/>
      <c r="E189" s="17" t="n"/>
      <c r="F189" s="17" t="n"/>
      <c r="G189" s="19" t="n"/>
      <c r="H189" s="19" t="n"/>
      <c r="I189" s="20" t="n"/>
      <c r="J189" s="20" t="n"/>
      <c r="K189" s="21" t="n"/>
      <c r="L189" s="18" t="n"/>
      <c r="M189" s="22" t="n"/>
      <c r="N189" s="22" t="n"/>
      <c r="O189" s="23" t="n">
        <v>10</v>
      </c>
      <c r="P189" s="24" t="inlineStr">
        <is>
          <t>UNIDAD</t>
        </is>
      </c>
      <c r="Q189" s="20" t="inlineStr">
        <is>
          <t>NO</t>
        </is>
      </c>
      <c r="R189" s="20" t="inlineStr">
        <is>
          <t>NO</t>
        </is>
      </c>
      <c r="S189" s="25" t="n">
        <v>1</v>
      </c>
      <c r="T189" s="20" t="inlineStr">
        <is>
          <t>NO</t>
        </is>
      </c>
      <c r="U189" s="20" t="n"/>
      <c r="V189" s="21" t="n"/>
      <c r="W189" s="26" t="n"/>
      <c r="X189" s="27" t="n"/>
      <c r="Y189" s="20" t="n"/>
      <c r="Z189" s="20" t="n"/>
      <c r="AA189" s="26">
        <f>IF(X189="","",X189-IF(W189="",0,W189))</f>
        <v/>
      </c>
      <c r="AB189" s="28">
        <f>IF(OR(X189="",M189=""),"",X189*M189)</f>
        <v/>
      </c>
      <c r="AC189" s="28">
        <f>IF(OR(X189="",N189=""),"",X189*N189)</f>
        <v/>
      </c>
      <c r="AD189" s="28">
        <f>IF(OR(M189="",N189=""),"",N189-M189)</f>
        <v/>
      </c>
      <c r="AE189" s="29">
        <f>IFERROR(IF(M189&gt;0,(N189-M189)/M189,""),"")</f>
        <v/>
      </c>
      <c r="AF189" s="30" t="n"/>
      <c r="AG189" s="30" t="inlineStr">
        <is>
          <t>PENDIENTE</t>
        </is>
      </c>
      <c r="AH189" s="18">
        <f>IF(NOT(OR(B189="EXISTENTE",COUNTA(G189,H189,I189,J189,K189,M189,N189,U189,V189,X189,Y189,Z189,AF189,AJ189)&gt;0)),"",IF(AK189&lt;&gt;"","REVISAR",IF(OR(G189="",H189="",M189="",N189="",O189="",P189="",X189=""),"INCOMPLETO",IF(AI189&lt;&gt;"","REVISAR",IF(AND(AF189&lt;&gt;"",AG189="ESCANEADO"),"LISTO_COMPLETO","LISTO_SIN_BARCODE")))))</f>
        <v/>
      </c>
      <c r="AI189" s="17">
        <f>IF(NOT(OR(B189="EXISTENTE",COUNTA(G189,H189,I189,J189,K189,M189,N189,U189,V189,X189,Y189,Z189,AF189,AJ189)&gt;0)),"",TEXTJOIN(" | ",TRUE,IF(A189="","Falta ID staging",""),IF(COUNTIF($A$5:$A$445,A189)&gt;1,"ID staging duplicado",""),IF(G189="","Falta nombre",""),IF(LEN(G189)&gt;150,"Nombre &gt;150 caracteres",""),IF(H189="","Falta categoría",IF(COUNTIF(CategoriasLista,H189)=0,"Categoría inválida","")),IF(M189="","Falta precio compra",IF(OR(NOT(ISNUMBER(M189)),M189&lt;0),"Precio compra inválido","")),IF(N189="","Falta precio venta",IF(OR(NOT(ISNUMBER(N189)),N189&lt;=0,N189&lt;M189),"Precio venta inválido","")),IF(O189="","Falta stock mínimo",IF(OR(NOT(ISNUMBER(O189)),O189&lt;0,MOD(O189,1)&lt;&gt;0),"Stock mínimo inválido","")),IF(P189="","Falta unidad",IF(COUNTIF(UnidadesLista,P189)=0,"Unidad inválida","")),IF(AND(K189&lt;&gt;"",COUNTIF(ProveedoresLista,K189)=0),"Proveedor no catalogado",""),IF(X189="","Falta cantidad contada",IF(OR(NOT(ISNUMBER(X189)),X189&lt;0,ABS(X189*1000-ROUND(X189*1000,0))&gt;0.0000001),"Cantidad inválida",IF(AND(Q189="NO",MOD(X189,1)&lt;&gt;0),"Cantidad fraccionaria no permitida",""))),IF(AND(R189="SI",OR(NOT(ISNUMBER(S189)),S189&lt;1,MOD(S189,1)&lt;&gt;0)),"Empaque inválido",""),IF(OR(AND(AF189="",AG189="ESCANEADO"),AND(AF189&lt;&gt;"",AG189&lt;&gt;"ESCANEADO")),"Barcode/estado inconsistente",""),IF(AK189&lt;&gt;"",AK189,"")))</f>
        <v/>
      </c>
      <c r="AJ189" s="21" t="n"/>
      <c r="AK189" s="17">
        <f>IF(G189="","",IF(OR(COUNTIFS($G$5:$G$445,G189,$I$5:$I$445,I189,$J$5:$J$445,J189,$P$5:$P$445,P189)&gt;1,AND(AF189&lt;&gt;"",COUNTIF($AF$5:$AF$445,AF189)&gt;1)),"REVISAR_POSIBLE_DUPLICADO",""))</f>
        <v/>
      </c>
    </row>
    <row r="190">
      <c r="A190" s="17" t="inlineStr">
        <is>
          <t>b0f68610-8674-5add-abf6-9c34566e650e</t>
        </is>
      </c>
      <c r="B190" s="18" t="inlineStr">
        <is>
          <t>NUEVO</t>
        </is>
      </c>
      <c r="C190" s="18" t="inlineStr">
        <is>
          <t>ACTIVO</t>
        </is>
      </c>
      <c r="D190" s="18" t="n"/>
      <c r="E190" s="17" t="n"/>
      <c r="F190" s="17" t="n"/>
      <c r="G190" s="19" t="n"/>
      <c r="H190" s="19" t="n"/>
      <c r="I190" s="20" t="n"/>
      <c r="J190" s="20" t="n"/>
      <c r="K190" s="21" t="n"/>
      <c r="L190" s="18" t="n"/>
      <c r="M190" s="22" t="n"/>
      <c r="N190" s="22" t="n"/>
      <c r="O190" s="23" t="n">
        <v>10</v>
      </c>
      <c r="P190" s="24" t="inlineStr">
        <is>
          <t>UNIDAD</t>
        </is>
      </c>
      <c r="Q190" s="20" t="inlineStr">
        <is>
          <t>NO</t>
        </is>
      </c>
      <c r="R190" s="20" t="inlineStr">
        <is>
          <t>NO</t>
        </is>
      </c>
      <c r="S190" s="25" t="n">
        <v>1</v>
      </c>
      <c r="T190" s="20" t="inlineStr">
        <is>
          <t>NO</t>
        </is>
      </c>
      <c r="U190" s="20" t="n"/>
      <c r="V190" s="21" t="n"/>
      <c r="W190" s="26" t="n"/>
      <c r="X190" s="27" t="n"/>
      <c r="Y190" s="20" t="n"/>
      <c r="Z190" s="20" t="n"/>
      <c r="AA190" s="26">
        <f>IF(X190="","",X190-IF(W190="",0,W190))</f>
        <v/>
      </c>
      <c r="AB190" s="28">
        <f>IF(OR(X190="",M190=""),"",X190*M190)</f>
        <v/>
      </c>
      <c r="AC190" s="28">
        <f>IF(OR(X190="",N190=""),"",X190*N190)</f>
        <v/>
      </c>
      <c r="AD190" s="28">
        <f>IF(OR(M190="",N190=""),"",N190-M190)</f>
        <v/>
      </c>
      <c r="AE190" s="29">
        <f>IFERROR(IF(M190&gt;0,(N190-M190)/M190,""),"")</f>
        <v/>
      </c>
      <c r="AF190" s="30" t="n"/>
      <c r="AG190" s="30" t="inlineStr">
        <is>
          <t>PENDIENTE</t>
        </is>
      </c>
      <c r="AH190" s="18">
        <f>IF(NOT(OR(B190="EXISTENTE",COUNTA(G190,H190,I190,J190,K190,M190,N190,U190,V190,X190,Y190,Z190,AF190,AJ190)&gt;0)),"",IF(AK190&lt;&gt;"","REVISAR",IF(OR(G190="",H190="",M190="",N190="",O190="",P190="",X190=""),"INCOMPLETO",IF(AI190&lt;&gt;"","REVISAR",IF(AND(AF190&lt;&gt;"",AG190="ESCANEADO"),"LISTO_COMPLETO","LISTO_SIN_BARCODE")))))</f>
        <v/>
      </c>
      <c r="AI190" s="17">
        <f>IF(NOT(OR(B190="EXISTENTE",COUNTA(G190,H190,I190,J190,K190,M190,N190,U190,V190,X190,Y190,Z190,AF190,AJ190)&gt;0)),"",TEXTJOIN(" | ",TRUE,IF(A190="","Falta ID staging",""),IF(COUNTIF($A$5:$A$445,A190)&gt;1,"ID staging duplicado",""),IF(G190="","Falta nombre",""),IF(LEN(G190)&gt;150,"Nombre &gt;150 caracteres",""),IF(H190="","Falta categoría",IF(COUNTIF(CategoriasLista,H190)=0,"Categoría inválida","")),IF(M190="","Falta precio compra",IF(OR(NOT(ISNUMBER(M190)),M190&lt;0),"Precio compra inválido","")),IF(N190="","Falta precio venta",IF(OR(NOT(ISNUMBER(N190)),N190&lt;=0,N190&lt;M190),"Precio venta inválido","")),IF(O190="","Falta stock mínimo",IF(OR(NOT(ISNUMBER(O190)),O190&lt;0,MOD(O190,1)&lt;&gt;0),"Stock mínimo inválido","")),IF(P190="","Falta unidad",IF(COUNTIF(UnidadesLista,P190)=0,"Unidad inválida","")),IF(AND(K190&lt;&gt;"",COUNTIF(ProveedoresLista,K190)=0),"Proveedor no catalogado",""),IF(X190="","Falta cantidad contada",IF(OR(NOT(ISNUMBER(X190)),X190&lt;0,ABS(X190*1000-ROUND(X190*1000,0))&gt;0.0000001),"Cantidad inválida",IF(AND(Q190="NO",MOD(X190,1)&lt;&gt;0),"Cantidad fraccionaria no permitida",""))),IF(AND(R190="SI",OR(NOT(ISNUMBER(S190)),S190&lt;1,MOD(S190,1)&lt;&gt;0)),"Empaque inválido",""),IF(OR(AND(AF190="",AG190="ESCANEADO"),AND(AF190&lt;&gt;"",AG190&lt;&gt;"ESCANEADO")),"Barcode/estado inconsistente",""),IF(AK190&lt;&gt;"",AK190,"")))</f>
        <v/>
      </c>
      <c r="AJ190" s="21" t="n"/>
      <c r="AK190" s="17">
        <f>IF(G190="","",IF(OR(COUNTIFS($G$5:$G$445,G190,$I$5:$I$445,I190,$J$5:$J$445,J190,$P$5:$P$445,P190)&gt;1,AND(AF190&lt;&gt;"",COUNTIF($AF$5:$AF$445,AF190)&gt;1)),"REVISAR_POSIBLE_DUPLICADO",""))</f>
        <v/>
      </c>
    </row>
    <row r="191">
      <c r="A191" s="17" t="inlineStr">
        <is>
          <t>afabe29b-9425-5541-ab6e-94017a7b1217</t>
        </is>
      </c>
      <c r="B191" s="18" t="inlineStr">
        <is>
          <t>NUEVO</t>
        </is>
      </c>
      <c r="C191" s="18" t="inlineStr">
        <is>
          <t>ACTIVO</t>
        </is>
      </c>
      <c r="D191" s="18" t="n"/>
      <c r="E191" s="17" t="n"/>
      <c r="F191" s="17" t="n"/>
      <c r="G191" s="19" t="n"/>
      <c r="H191" s="19" t="n"/>
      <c r="I191" s="20" t="n"/>
      <c r="J191" s="20" t="n"/>
      <c r="K191" s="21" t="n"/>
      <c r="L191" s="18" t="n"/>
      <c r="M191" s="22" t="n"/>
      <c r="N191" s="22" t="n"/>
      <c r="O191" s="23" t="n">
        <v>10</v>
      </c>
      <c r="P191" s="24" t="inlineStr">
        <is>
          <t>UNIDAD</t>
        </is>
      </c>
      <c r="Q191" s="20" t="inlineStr">
        <is>
          <t>NO</t>
        </is>
      </c>
      <c r="R191" s="20" t="inlineStr">
        <is>
          <t>NO</t>
        </is>
      </c>
      <c r="S191" s="25" t="n">
        <v>1</v>
      </c>
      <c r="T191" s="20" t="inlineStr">
        <is>
          <t>NO</t>
        </is>
      </c>
      <c r="U191" s="20" t="n"/>
      <c r="V191" s="21" t="n"/>
      <c r="W191" s="26" t="n"/>
      <c r="X191" s="27" t="n"/>
      <c r="Y191" s="20" t="n"/>
      <c r="Z191" s="20" t="n"/>
      <c r="AA191" s="26">
        <f>IF(X191="","",X191-IF(W191="",0,W191))</f>
        <v/>
      </c>
      <c r="AB191" s="28">
        <f>IF(OR(X191="",M191=""),"",X191*M191)</f>
        <v/>
      </c>
      <c r="AC191" s="28">
        <f>IF(OR(X191="",N191=""),"",X191*N191)</f>
        <v/>
      </c>
      <c r="AD191" s="28">
        <f>IF(OR(M191="",N191=""),"",N191-M191)</f>
        <v/>
      </c>
      <c r="AE191" s="29">
        <f>IFERROR(IF(M191&gt;0,(N191-M191)/M191,""),"")</f>
        <v/>
      </c>
      <c r="AF191" s="30" t="n"/>
      <c r="AG191" s="30" t="inlineStr">
        <is>
          <t>PENDIENTE</t>
        </is>
      </c>
      <c r="AH191" s="18">
        <f>IF(NOT(OR(B191="EXISTENTE",COUNTA(G191,H191,I191,J191,K191,M191,N191,U191,V191,X191,Y191,Z191,AF191,AJ191)&gt;0)),"",IF(AK191&lt;&gt;"","REVISAR",IF(OR(G191="",H191="",M191="",N191="",O191="",P191="",X191=""),"INCOMPLETO",IF(AI191&lt;&gt;"","REVISAR",IF(AND(AF191&lt;&gt;"",AG191="ESCANEADO"),"LISTO_COMPLETO","LISTO_SIN_BARCODE")))))</f>
        <v/>
      </c>
      <c r="AI191" s="17">
        <f>IF(NOT(OR(B191="EXISTENTE",COUNTA(G191,H191,I191,J191,K191,M191,N191,U191,V191,X191,Y191,Z191,AF191,AJ191)&gt;0)),"",TEXTJOIN(" | ",TRUE,IF(A191="","Falta ID staging",""),IF(COUNTIF($A$5:$A$445,A191)&gt;1,"ID staging duplicado",""),IF(G191="","Falta nombre",""),IF(LEN(G191)&gt;150,"Nombre &gt;150 caracteres",""),IF(H191="","Falta categoría",IF(COUNTIF(CategoriasLista,H191)=0,"Categoría inválida","")),IF(M191="","Falta precio compra",IF(OR(NOT(ISNUMBER(M191)),M191&lt;0),"Precio compra inválido","")),IF(N191="","Falta precio venta",IF(OR(NOT(ISNUMBER(N191)),N191&lt;=0,N191&lt;M191),"Precio venta inválido","")),IF(O191="","Falta stock mínimo",IF(OR(NOT(ISNUMBER(O191)),O191&lt;0,MOD(O191,1)&lt;&gt;0),"Stock mínimo inválido","")),IF(P191="","Falta unidad",IF(COUNTIF(UnidadesLista,P191)=0,"Unidad inválida","")),IF(AND(K191&lt;&gt;"",COUNTIF(ProveedoresLista,K191)=0),"Proveedor no catalogado",""),IF(X191="","Falta cantidad contada",IF(OR(NOT(ISNUMBER(X191)),X191&lt;0,ABS(X191*1000-ROUND(X191*1000,0))&gt;0.0000001),"Cantidad inválida",IF(AND(Q191="NO",MOD(X191,1)&lt;&gt;0),"Cantidad fraccionaria no permitida",""))),IF(AND(R191="SI",OR(NOT(ISNUMBER(S191)),S191&lt;1,MOD(S191,1)&lt;&gt;0)),"Empaque inválido",""),IF(OR(AND(AF191="",AG191="ESCANEADO"),AND(AF191&lt;&gt;"",AG191&lt;&gt;"ESCANEADO")),"Barcode/estado inconsistente",""),IF(AK191&lt;&gt;"",AK191,"")))</f>
        <v/>
      </c>
      <c r="AJ191" s="21" t="n"/>
      <c r="AK191" s="17">
        <f>IF(G191="","",IF(OR(COUNTIFS($G$5:$G$445,G191,$I$5:$I$445,I191,$J$5:$J$445,J191,$P$5:$P$445,P191)&gt;1,AND(AF191&lt;&gt;"",COUNTIF($AF$5:$AF$445,AF191)&gt;1)),"REVISAR_POSIBLE_DUPLICADO",""))</f>
        <v/>
      </c>
    </row>
    <row r="192">
      <c r="A192" s="17" t="inlineStr">
        <is>
          <t>40d73a81-293d-505b-b128-733a5d4b12a5</t>
        </is>
      </c>
      <c r="B192" s="18" t="inlineStr">
        <is>
          <t>NUEVO</t>
        </is>
      </c>
      <c r="C192" s="18" t="inlineStr">
        <is>
          <t>ACTIVO</t>
        </is>
      </c>
      <c r="D192" s="18" t="n"/>
      <c r="E192" s="17" t="n"/>
      <c r="F192" s="17" t="n"/>
      <c r="G192" s="19" t="n"/>
      <c r="H192" s="19" t="n"/>
      <c r="I192" s="20" t="n"/>
      <c r="J192" s="20" t="n"/>
      <c r="K192" s="21" t="n"/>
      <c r="L192" s="18" t="n"/>
      <c r="M192" s="22" t="n"/>
      <c r="N192" s="22" t="n"/>
      <c r="O192" s="23" t="n">
        <v>10</v>
      </c>
      <c r="P192" s="24" t="inlineStr">
        <is>
          <t>UNIDAD</t>
        </is>
      </c>
      <c r="Q192" s="20" t="inlineStr">
        <is>
          <t>NO</t>
        </is>
      </c>
      <c r="R192" s="20" t="inlineStr">
        <is>
          <t>NO</t>
        </is>
      </c>
      <c r="S192" s="25" t="n">
        <v>1</v>
      </c>
      <c r="T192" s="20" t="inlineStr">
        <is>
          <t>NO</t>
        </is>
      </c>
      <c r="U192" s="20" t="n"/>
      <c r="V192" s="21" t="n"/>
      <c r="W192" s="26" t="n"/>
      <c r="X192" s="27" t="n"/>
      <c r="Y192" s="20" t="n"/>
      <c r="Z192" s="20" t="n"/>
      <c r="AA192" s="26">
        <f>IF(X192="","",X192-IF(W192="",0,W192))</f>
        <v/>
      </c>
      <c r="AB192" s="28">
        <f>IF(OR(X192="",M192=""),"",X192*M192)</f>
        <v/>
      </c>
      <c r="AC192" s="28">
        <f>IF(OR(X192="",N192=""),"",X192*N192)</f>
        <v/>
      </c>
      <c r="AD192" s="28">
        <f>IF(OR(M192="",N192=""),"",N192-M192)</f>
        <v/>
      </c>
      <c r="AE192" s="29">
        <f>IFERROR(IF(M192&gt;0,(N192-M192)/M192,""),"")</f>
        <v/>
      </c>
      <c r="AF192" s="30" t="n"/>
      <c r="AG192" s="30" t="inlineStr">
        <is>
          <t>PENDIENTE</t>
        </is>
      </c>
      <c r="AH192" s="18">
        <f>IF(NOT(OR(B192="EXISTENTE",COUNTA(G192,H192,I192,J192,K192,M192,N192,U192,V192,X192,Y192,Z192,AF192,AJ192)&gt;0)),"",IF(AK192&lt;&gt;"","REVISAR",IF(OR(G192="",H192="",M192="",N192="",O192="",P192="",X192=""),"INCOMPLETO",IF(AI192&lt;&gt;"","REVISAR",IF(AND(AF192&lt;&gt;"",AG192="ESCANEADO"),"LISTO_COMPLETO","LISTO_SIN_BARCODE")))))</f>
        <v/>
      </c>
      <c r="AI192" s="17">
        <f>IF(NOT(OR(B192="EXISTENTE",COUNTA(G192,H192,I192,J192,K192,M192,N192,U192,V192,X192,Y192,Z192,AF192,AJ192)&gt;0)),"",TEXTJOIN(" | ",TRUE,IF(A192="","Falta ID staging",""),IF(COUNTIF($A$5:$A$445,A192)&gt;1,"ID staging duplicado",""),IF(G192="","Falta nombre",""),IF(LEN(G192)&gt;150,"Nombre &gt;150 caracteres",""),IF(H192="","Falta categoría",IF(COUNTIF(CategoriasLista,H192)=0,"Categoría inválida","")),IF(M192="","Falta precio compra",IF(OR(NOT(ISNUMBER(M192)),M192&lt;0),"Precio compra inválido","")),IF(N192="","Falta precio venta",IF(OR(NOT(ISNUMBER(N192)),N192&lt;=0,N192&lt;M192),"Precio venta inválido","")),IF(O192="","Falta stock mínimo",IF(OR(NOT(ISNUMBER(O192)),O192&lt;0,MOD(O192,1)&lt;&gt;0),"Stock mínimo inválido","")),IF(P192="","Falta unidad",IF(COUNTIF(UnidadesLista,P192)=0,"Unidad inválida","")),IF(AND(K192&lt;&gt;"",COUNTIF(ProveedoresLista,K192)=0),"Proveedor no catalogado",""),IF(X192="","Falta cantidad contada",IF(OR(NOT(ISNUMBER(X192)),X192&lt;0,ABS(X192*1000-ROUND(X192*1000,0))&gt;0.0000001),"Cantidad inválida",IF(AND(Q192="NO",MOD(X192,1)&lt;&gt;0),"Cantidad fraccionaria no permitida",""))),IF(AND(R192="SI",OR(NOT(ISNUMBER(S192)),S192&lt;1,MOD(S192,1)&lt;&gt;0)),"Empaque inválido",""),IF(OR(AND(AF192="",AG192="ESCANEADO"),AND(AF192&lt;&gt;"",AG192&lt;&gt;"ESCANEADO")),"Barcode/estado inconsistente",""),IF(AK192&lt;&gt;"",AK192,"")))</f>
        <v/>
      </c>
      <c r="AJ192" s="21" t="n"/>
      <c r="AK192" s="17">
        <f>IF(G192="","",IF(OR(COUNTIFS($G$5:$G$445,G192,$I$5:$I$445,I192,$J$5:$J$445,J192,$P$5:$P$445,P192)&gt;1,AND(AF192&lt;&gt;"",COUNTIF($AF$5:$AF$445,AF192)&gt;1)),"REVISAR_POSIBLE_DUPLICADO",""))</f>
        <v/>
      </c>
    </row>
    <row r="193">
      <c r="A193" s="17" t="inlineStr">
        <is>
          <t>f77fb870-50d2-5b98-899a-fd8c4a954538</t>
        </is>
      </c>
      <c r="B193" s="18" t="inlineStr">
        <is>
          <t>NUEVO</t>
        </is>
      </c>
      <c r="C193" s="18" t="inlineStr">
        <is>
          <t>ACTIVO</t>
        </is>
      </c>
      <c r="D193" s="18" t="n"/>
      <c r="E193" s="17" t="n"/>
      <c r="F193" s="17" t="n"/>
      <c r="G193" s="19" t="n"/>
      <c r="H193" s="19" t="n"/>
      <c r="I193" s="20" t="n"/>
      <c r="J193" s="20" t="n"/>
      <c r="K193" s="21" t="n"/>
      <c r="L193" s="18" t="n"/>
      <c r="M193" s="22" t="n"/>
      <c r="N193" s="22" t="n"/>
      <c r="O193" s="23" t="n">
        <v>10</v>
      </c>
      <c r="P193" s="24" t="inlineStr">
        <is>
          <t>UNIDAD</t>
        </is>
      </c>
      <c r="Q193" s="20" t="inlineStr">
        <is>
          <t>NO</t>
        </is>
      </c>
      <c r="R193" s="20" t="inlineStr">
        <is>
          <t>NO</t>
        </is>
      </c>
      <c r="S193" s="25" t="n">
        <v>1</v>
      </c>
      <c r="T193" s="20" t="inlineStr">
        <is>
          <t>NO</t>
        </is>
      </c>
      <c r="U193" s="20" t="n"/>
      <c r="V193" s="21" t="n"/>
      <c r="W193" s="26" t="n"/>
      <c r="X193" s="27" t="n"/>
      <c r="Y193" s="20" t="n"/>
      <c r="Z193" s="20" t="n"/>
      <c r="AA193" s="26">
        <f>IF(X193="","",X193-IF(W193="",0,W193))</f>
        <v/>
      </c>
      <c r="AB193" s="28">
        <f>IF(OR(X193="",M193=""),"",X193*M193)</f>
        <v/>
      </c>
      <c r="AC193" s="28">
        <f>IF(OR(X193="",N193=""),"",X193*N193)</f>
        <v/>
      </c>
      <c r="AD193" s="28">
        <f>IF(OR(M193="",N193=""),"",N193-M193)</f>
        <v/>
      </c>
      <c r="AE193" s="29">
        <f>IFERROR(IF(M193&gt;0,(N193-M193)/M193,""),"")</f>
        <v/>
      </c>
      <c r="AF193" s="30" t="n"/>
      <c r="AG193" s="30" t="inlineStr">
        <is>
          <t>PENDIENTE</t>
        </is>
      </c>
      <c r="AH193" s="18">
        <f>IF(NOT(OR(B193="EXISTENTE",COUNTA(G193,H193,I193,J193,K193,M193,N193,U193,V193,X193,Y193,Z193,AF193,AJ193)&gt;0)),"",IF(AK193&lt;&gt;"","REVISAR",IF(OR(G193="",H193="",M193="",N193="",O193="",P193="",X193=""),"INCOMPLETO",IF(AI193&lt;&gt;"","REVISAR",IF(AND(AF193&lt;&gt;"",AG193="ESCANEADO"),"LISTO_COMPLETO","LISTO_SIN_BARCODE")))))</f>
        <v/>
      </c>
      <c r="AI193" s="17">
        <f>IF(NOT(OR(B193="EXISTENTE",COUNTA(G193,H193,I193,J193,K193,M193,N193,U193,V193,X193,Y193,Z193,AF193,AJ193)&gt;0)),"",TEXTJOIN(" | ",TRUE,IF(A193="","Falta ID staging",""),IF(COUNTIF($A$5:$A$445,A193)&gt;1,"ID staging duplicado",""),IF(G193="","Falta nombre",""),IF(LEN(G193)&gt;150,"Nombre &gt;150 caracteres",""),IF(H193="","Falta categoría",IF(COUNTIF(CategoriasLista,H193)=0,"Categoría inválida","")),IF(M193="","Falta precio compra",IF(OR(NOT(ISNUMBER(M193)),M193&lt;0),"Precio compra inválido","")),IF(N193="","Falta precio venta",IF(OR(NOT(ISNUMBER(N193)),N193&lt;=0,N193&lt;M193),"Precio venta inválido","")),IF(O193="","Falta stock mínimo",IF(OR(NOT(ISNUMBER(O193)),O193&lt;0,MOD(O193,1)&lt;&gt;0),"Stock mínimo inválido","")),IF(P193="","Falta unidad",IF(COUNTIF(UnidadesLista,P193)=0,"Unidad inválida","")),IF(AND(K193&lt;&gt;"",COUNTIF(ProveedoresLista,K193)=0),"Proveedor no catalogado",""),IF(X193="","Falta cantidad contada",IF(OR(NOT(ISNUMBER(X193)),X193&lt;0,ABS(X193*1000-ROUND(X193*1000,0))&gt;0.0000001),"Cantidad inválida",IF(AND(Q193="NO",MOD(X193,1)&lt;&gt;0),"Cantidad fraccionaria no permitida",""))),IF(AND(R193="SI",OR(NOT(ISNUMBER(S193)),S193&lt;1,MOD(S193,1)&lt;&gt;0)),"Empaque inválido",""),IF(OR(AND(AF193="",AG193="ESCANEADO"),AND(AF193&lt;&gt;"",AG193&lt;&gt;"ESCANEADO")),"Barcode/estado inconsistente",""),IF(AK193&lt;&gt;"",AK193,"")))</f>
        <v/>
      </c>
      <c r="AJ193" s="21" t="n"/>
      <c r="AK193" s="17">
        <f>IF(G193="","",IF(OR(COUNTIFS($G$5:$G$445,G193,$I$5:$I$445,I193,$J$5:$J$445,J193,$P$5:$P$445,P193)&gt;1,AND(AF193&lt;&gt;"",COUNTIF($AF$5:$AF$445,AF193)&gt;1)),"REVISAR_POSIBLE_DUPLICADO",""))</f>
        <v/>
      </c>
    </row>
    <row r="194">
      <c r="A194" s="17" t="inlineStr">
        <is>
          <t>62cebb59-dd70-55bb-b1f6-c477fe662d62</t>
        </is>
      </c>
      <c r="B194" s="18" t="inlineStr">
        <is>
          <t>NUEVO</t>
        </is>
      </c>
      <c r="C194" s="18" t="inlineStr">
        <is>
          <t>ACTIVO</t>
        </is>
      </c>
      <c r="D194" s="18" t="n"/>
      <c r="E194" s="17" t="n"/>
      <c r="F194" s="17" t="n"/>
      <c r="G194" s="19" t="n"/>
      <c r="H194" s="19" t="n"/>
      <c r="I194" s="20" t="n"/>
      <c r="J194" s="20" t="n"/>
      <c r="K194" s="21" t="n"/>
      <c r="L194" s="18" t="n"/>
      <c r="M194" s="22" t="n"/>
      <c r="N194" s="22" t="n"/>
      <c r="O194" s="23" t="n">
        <v>10</v>
      </c>
      <c r="P194" s="24" t="inlineStr">
        <is>
          <t>UNIDAD</t>
        </is>
      </c>
      <c r="Q194" s="20" t="inlineStr">
        <is>
          <t>NO</t>
        </is>
      </c>
      <c r="R194" s="20" t="inlineStr">
        <is>
          <t>NO</t>
        </is>
      </c>
      <c r="S194" s="25" t="n">
        <v>1</v>
      </c>
      <c r="T194" s="20" t="inlineStr">
        <is>
          <t>NO</t>
        </is>
      </c>
      <c r="U194" s="20" t="n"/>
      <c r="V194" s="21" t="n"/>
      <c r="W194" s="26" t="n"/>
      <c r="X194" s="27" t="n"/>
      <c r="Y194" s="20" t="n"/>
      <c r="Z194" s="20" t="n"/>
      <c r="AA194" s="26">
        <f>IF(X194="","",X194-IF(W194="",0,W194))</f>
        <v/>
      </c>
      <c r="AB194" s="28">
        <f>IF(OR(X194="",M194=""),"",X194*M194)</f>
        <v/>
      </c>
      <c r="AC194" s="28">
        <f>IF(OR(X194="",N194=""),"",X194*N194)</f>
        <v/>
      </c>
      <c r="AD194" s="28">
        <f>IF(OR(M194="",N194=""),"",N194-M194)</f>
        <v/>
      </c>
      <c r="AE194" s="29">
        <f>IFERROR(IF(M194&gt;0,(N194-M194)/M194,""),"")</f>
        <v/>
      </c>
      <c r="AF194" s="30" t="n"/>
      <c r="AG194" s="30" t="inlineStr">
        <is>
          <t>PENDIENTE</t>
        </is>
      </c>
      <c r="AH194" s="18">
        <f>IF(NOT(OR(B194="EXISTENTE",COUNTA(G194,H194,I194,J194,K194,M194,N194,U194,V194,X194,Y194,Z194,AF194,AJ194)&gt;0)),"",IF(AK194&lt;&gt;"","REVISAR",IF(OR(G194="",H194="",M194="",N194="",O194="",P194="",X194=""),"INCOMPLETO",IF(AI194&lt;&gt;"","REVISAR",IF(AND(AF194&lt;&gt;"",AG194="ESCANEADO"),"LISTO_COMPLETO","LISTO_SIN_BARCODE")))))</f>
        <v/>
      </c>
      <c r="AI194" s="17">
        <f>IF(NOT(OR(B194="EXISTENTE",COUNTA(G194,H194,I194,J194,K194,M194,N194,U194,V194,X194,Y194,Z194,AF194,AJ194)&gt;0)),"",TEXTJOIN(" | ",TRUE,IF(A194="","Falta ID staging",""),IF(COUNTIF($A$5:$A$445,A194)&gt;1,"ID staging duplicado",""),IF(G194="","Falta nombre",""),IF(LEN(G194)&gt;150,"Nombre &gt;150 caracteres",""),IF(H194="","Falta categoría",IF(COUNTIF(CategoriasLista,H194)=0,"Categoría inválida","")),IF(M194="","Falta precio compra",IF(OR(NOT(ISNUMBER(M194)),M194&lt;0),"Precio compra inválido","")),IF(N194="","Falta precio venta",IF(OR(NOT(ISNUMBER(N194)),N194&lt;=0,N194&lt;M194),"Precio venta inválido","")),IF(O194="","Falta stock mínimo",IF(OR(NOT(ISNUMBER(O194)),O194&lt;0,MOD(O194,1)&lt;&gt;0),"Stock mínimo inválido","")),IF(P194="","Falta unidad",IF(COUNTIF(UnidadesLista,P194)=0,"Unidad inválida","")),IF(AND(K194&lt;&gt;"",COUNTIF(ProveedoresLista,K194)=0),"Proveedor no catalogado",""),IF(X194="","Falta cantidad contada",IF(OR(NOT(ISNUMBER(X194)),X194&lt;0,ABS(X194*1000-ROUND(X194*1000,0))&gt;0.0000001),"Cantidad inválida",IF(AND(Q194="NO",MOD(X194,1)&lt;&gt;0),"Cantidad fraccionaria no permitida",""))),IF(AND(R194="SI",OR(NOT(ISNUMBER(S194)),S194&lt;1,MOD(S194,1)&lt;&gt;0)),"Empaque inválido",""),IF(OR(AND(AF194="",AG194="ESCANEADO"),AND(AF194&lt;&gt;"",AG194&lt;&gt;"ESCANEADO")),"Barcode/estado inconsistente",""),IF(AK194&lt;&gt;"",AK194,"")))</f>
        <v/>
      </c>
      <c r="AJ194" s="21" t="n"/>
      <c r="AK194" s="17">
        <f>IF(G194="","",IF(OR(COUNTIFS($G$5:$G$445,G194,$I$5:$I$445,I194,$J$5:$J$445,J194,$P$5:$P$445,P194)&gt;1,AND(AF194&lt;&gt;"",COUNTIF($AF$5:$AF$445,AF194)&gt;1)),"REVISAR_POSIBLE_DUPLICADO",""))</f>
        <v/>
      </c>
    </row>
    <row r="195">
      <c r="A195" s="17" t="inlineStr">
        <is>
          <t>68232bb6-3dc6-511d-a813-a621aa88dccd</t>
        </is>
      </c>
      <c r="B195" s="18" t="inlineStr">
        <is>
          <t>NUEVO</t>
        </is>
      </c>
      <c r="C195" s="18" t="inlineStr">
        <is>
          <t>ACTIVO</t>
        </is>
      </c>
      <c r="D195" s="18" t="n"/>
      <c r="E195" s="17" t="n"/>
      <c r="F195" s="17" t="n"/>
      <c r="G195" s="19" t="n"/>
      <c r="H195" s="19" t="n"/>
      <c r="I195" s="20" t="n"/>
      <c r="J195" s="20" t="n"/>
      <c r="K195" s="21" t="n"/>
      <c r="L195" s="18" t="n"/>
      <c r="M195" s="22" t="n"/>
      <c r="N195" s="22" t="n"/>
      <c r="O195" s="23" t="n">
        <v>10</v>
      </c>
      <c r="P195" s="24" t="inlineStr">
        <is>
          <t>UNIDAD</t>
        </is>
      </c>
      <c r="Q195" s="20" t="inlineStr">
        <is>
          <t>NO</t>
        </is>
      </c>
      <c r="R195" s="20" t="inlineStr">
        <is>
          <t>NO</t>
        </is>
      </c>
      <c r="S195" s="25" t="n">
        <v>1</v>
      </c>
      <c r="T195" s="20" t="inlineStr">
        <is>
          <t>NO</t>
        </is>
      </c>
      <c r="U195" s="20" t="n"/>
      <c r="V195" s="21" t="n"/>
      <c r="W195" s="26" t="n"/>
      <c r="X195" s="27" t="n"/>
      <c r="Y195" s="20" t="n"/>
      <c r="Z195" s="20" t="n"/>
      <c r="AA195" s="26">
        <f>IF(X195="","",X195-IF(W195="",0,W195))</f>
        <v/>
      </c>
      <c r="AB195" s="28">
        <f>IF(OR(X195="",M195=""),"",X195*M195)</f>
        <v/>
      </c>
      <c r="AC195" s="28">
        <f>IF(OR(X195="",N195=""),"",X195*N195)</f>
        <v/>
      </c>
      <c r="AD195" s="28">
        <f>IF(OR(M195="",N195=""),"",N195-M195)</f>
        <v/>
      </c>
      <c r="AE195" s="29">
        <f>IFERROR(IF(M195&gt;0,(N195-M195)/M195,""),"")</f>
        <v/>
      </c>
      <c r="AF195" s="30" t="n"/>
      <c r="AG195" s="30" t="inlineStr">
        <is>
          <t>PENDIENTE</t>
        </is>
      </c>
      <c r="AH195" s="18">
        <f>IF(NOT(OR(B195="EXISTENTE",COUNTA(G195,H195,I195,J195,K195,M195,N195,U195,V195,X195,Y195,Z195,AF195,AJ195)&gt;0)),"",IF(AK195&lt;&gt;"","REVISAR",IF(OR(G195="",H195="",M195="",N195="",O195="",P195="",X195=""),"INCOMPLETO",IF(AI195&lt;&gt;"","REVISAR",IF(AND(AF195&lt;&gt;"",AG195="ESCANEADO"),"LISTO_COMPLETO","LISTO_SIN_BARCODE")))))</f>
        <v/>
      </c>
      <c r="AI195" s="17">
        <f>IF(NOT(OR(B195="EXISTENTE",COUNTA(G195,H195,I195,J195,K195,M195,N195,U195,V195,X195,Y195,Z195,AF195,AJ195)&gt;0)),"",TEXTJOIN(" | ",TRUE,IF(A195="","Falta ID staging",""),IF(COUNTIF($A$5:$A$445,A195)&gt;1,"ID staging duplicado",""),IF(G195="","Falta nombre",""),IF(LEN(G195)&gt;150,"Nombre &gt;150 caracteres",""),IF(H195="","Falta categoría",IF(COUNTIF(CategoriasLista,H195)=0,"Categoría inválida","")),IF(M195="","Falta precio compra",IF(OR(NOT(ISNUMBER(M195)),M195&lt;0),"Precio compra inválido","")),IF(N195="","Falta precio venta",IF(OR(NOT(ISNUMBER(N195)),N195&lt;=0,N195&lt;M195),"Precio venta inválido","")),IF(O195="","Falta stock mínimo",IF(OR(NOT(ISNUMBER(O195)),O195&lt;0,MOD(O195,1)&lt;&gt;0),"Stock mínimo inválido","")),IF(P195="","Falta unidad",IF(COUNTIF(UnidadesLista,P195)=0,"Unidad inválida","")),IF(AND(K195&lt;&gt;"",COUNTIF(ProveedoresLista,K195)=0),"Proveedor no catalogado",""),IF(X195="","Falta cantidad contada",IF(OR(NOT(ISNUMBER(X195)),X195&lt;0,ABS(X195*1000-ROUND(X195*1000,0))&gt;0.0000001),"Cantidad inválida",IF(AND(Q195="NO",MOD(X195,1)&lt;&gt;0),"Cantidad fraccionaria no permitida",""))),IF(AND(R195="SI",OR(NOT(ISNUMBER(S195)),S195&lt;1,MOD(S195,1)&lt;&gt;0)),"Empaque inválido",""),IF(OR(AND(AF195="",AG195="ESCANEADO"),AND(AF195&lt;&gt;"",AG195&lt;&gt;"ESCANEADO")),"Barcode/estado inconsistente",""),IF(AK195&lt;&gt;"",AK195,"")))</f>
        <v/>
      </c>
      <c r="AJ195" s="21" t="n"/>
      <c r="AK195" s="17">
        <f>IF(G195="","",IF(OR(COUNTIFS($G$5:$G$445,G195,$I$5:$I$445,I195,$J$5:$J$445,J195,$P$5:$P$445,P195)&gt;1,AND(AF195&lt;&gt;"",COUNTIF($AF$5:$AF$445,AF195)&gt;1)),"REVISAR_POSIBLE_DUPLICADO",""))</f>
        <v/>
      </c>
    </row>
    <row r="196">
      <c r="A196" s="17" t="inlineStr">
        <is>
          <t>a93bf9a6-e79a-5956-8211-0d6a94c8617e</t>
        </is>
      </c>
      <c r="B196" s="18" t="inlineStr">
        <is>
          <t>NUEVO</t>
        </is>
      </c>
      <c r="C196" s="18" t="inlineStr">
        <is>
          <t>ACTIVO</t>
        </is>
      </c>
      <c r="D196" s="18" t="n"/>
      <c r="E196" s="17" t="n"/>
      <c r="F196" s="17" t="n"/>
      <c r="G196" s="19" t="n"/>
      <c r="H196" s="19" t="n"/>
      <c r="I196" s="20" t="n"/>
      <c r="J196" s="20" t="n"/>
      <c r="K196" s="21" t="n"/>
      <c r="L196" s="18" t="n"/>
      <c r="M196" s="22" t="n"/>
      <c r="N196" s="22" t="n"/>
      <c r="O196" s="23" t="n">
        <v>10</v>
      </c>
      <c r="P196" s="24" t="inlineStr">
        <is>
          <t>UNIDAD</t>
        </is>
      </c>
      <c r="Q196" s="20" t="inlineStr">
        <is>
          <t>NO</t>
        </is>
      </c>
      <c r="R196" s="20" t="inlineStr">
        <is>
          <t>NO</t>
        </is>
      </c>
      <c r="S196" s="25" t="n">
        <v>1</v>
      </c>
      <c r="T196" s="20" t="inlineStr">
        <is>
          <t>NO</t>
        </is>
      </c>
      <c r="U196" s="20" t="n"/>
      <c r="V196" s="21" t="n"/>
      <c r="W196" s="26" t="n"/>
      <c r="X196" s="27" t="n"/>
      <c r="Y196" s="20" t="n"/>
      <c r="Z196" s="20" t="n"/>
      <c r="AA196" s="26">
        <f>IF(X196="","",X196-IF(W196="",0,W196))</f>
        <v/>
      </c>
      <c r="AB196" s="28">
        <f>IF(OR(X196="",M196=""),"",X196*M196)</f>
        <v/>
      </c>
      <c r="AC196" s="28">
        <f>IF(OR(X196="",N196=""),"",X196*N196)</f>
        <v/>
      </c>
      <c r="AD196" s="28">
        <f>IF(OR(M196="",N196=""),"",N196-M196)</f>
        <v/>
      </c>
      <c r="AE196" s="29">
        <f>IFERROR(IF(M196&gt;0,(N196-M196)/M196,""),"")</f>
        <v/>
      </c>
      <c r="AF196" s="30" t="n"/>
      <c r="AG196" s="30" t="inlineStr">
        <is>
          <t>PENDIENTE</t>
        </is>
      </c>
      <c r="AH196" s="18">
        <f>IF(NOT(OR(B196="EXISTENTE",COUNTA(G196,H196,I196,J196,K196,M196,N196,U196,V196,X196,Y196,Z196,AF196,AJ196)&gt;0)),"",IF(AK196&lt;&gt;"","REVISAR",IF(OR(G196="",H196="",M196="",N196="",O196="",P196="",X196=""),"INCOMPLETO",IF(AI196&lt;&gt;"","REVISAR",IF(AND(AF196&lt;&gt;"",AG196="ESCANEADO"),"LISTO_COMPLETO","LISTO_SIN_BARCODE")))))</f>
        <v/>
      </c>
      <c r="AI196" s="17">
        <f>IF(NOT(OR(B196="EXISTENTE",COUNTA(G196,H196,I196,J196,K196,M196,N196,U196,V196,X196,Y196,Z196,AF196,AJ196)&gt;0)),"",TEXTJOIN(" | ",TRUE,IF(A196="","Falta ID staging",""),IF(COUNTIF($A$5:$A$445,A196)&gt;1,"ID staging duplicado",""),IF(G196="","Falta nombre",""),IF(LEN(G196)&gt;150,"Nombre &gt;150 caracteres",""),IF(H196="","Falta categoría",IF(COUNTIF(CategoriasLista,H196)=0,"Categoría inválida","")),IF(M196="","Falta precio compra",IF(OR(NOT(ISNUMBER(M196)),M196&lt;0),"Precio compra inválido","")),IF(N196="","Falta precio venta",IF(OR(NOT(ISNUMBER(N196)),N196&lt;=0,N196&lt;M196),"Precio venta inválido","")),IF(O196="","Falta stock mínimo",IF(OR(NOT(ISNUMBER(O196)),O196&lt;0,MOD(O196,1)&lt;&gt;0),"Stock mínimo inválido","")),IF(P196="","Falta unidad",IF(COUNTIF(UnidadesLista,P196)=0,"Unidad inválida","")),IF(AND(K196&lt;&gt;"",COUNTIF(ProveedoresLista,K196)=0),"Proveedor no catalogado",""),IF(X196="","Falta cantidad contada",IF(OR(NOT(ISNUMBER(X196)),X196&lt;0,ABS(X196*1000-ROUND(X196*1000,0))&gt;0.0000001),"Cantidad inválida",IF(AND(Q196="NO",MOD(X196,1)&lt;&gt;0),"Cantidad fraccionaria no permitida",""))),IF(AND(R196="SI",OR(NOT(ISNUMBER(S196)),S196&lt;1,MOD(S196,1)&lt;&gt;0)),"Empaque inválido",""),IF(OR(AND(AF196="",AG196="ESCANEADO"),AND(AF196&lt;&gt;"",AG196&lt;&gt;"ESCANEADO")),"Barcode/estado inconsistente",""),IF(AK196&lt;&gt;"",AK196,"")))</f>
        <v/>
      </c>
      <c r="AJ196" s="21" t="n"/>
      <c r="AK196" s="17">
        <f>IF(G196="","",IF(OR(COUNTIFS($G$5:$G$445,G196,$I$5:$I$445,I196,$J$5:$J$445,J196,$P$5:$P$445,P196)&gt;1,AND(AF196&lt;&gt;"",COUNTIF($AF$5:$AF$445,AF196)&gt;1)),"REVISAR_POSIBLE_DUPLICADO",""))</f>
        <v/>
      </c>
    </row>
    <row r="197">
      <c r="A197" s="17" t="inlineStr">
        <is>
          <t>f5c2c4a9-d7b3-5ba1-b991-f4a44fb84073</t>
        </is>
      </c>
      <c r="B197" s="18" t="inlineStr">
        <is>
          <t>NUEVO</t>
        </is>
      </c>
      <c r="C197" s="18" t="inlineStr">
        <is>
          <t>ACTIVO</t>
        </is>
      </c>
      <c r="D197" s="18" t="n"/>
      <c r="E197" s="17" t="n"/>
      <c r="F197" s="17" t="n"/>
      <c r="G197" s="19" t="n"/>
      <c r="H197" s="19" t="n"/>
      <c r="I197" s="20" t="n"/>
      <c r="J197" s="20" t="n"/>
      <c r="K197" s="21" t="n"/>
      <c r="L197" s="18" t="n"/>
      <c r="M197" s="22" t="n"/>
      <c r="N197" s="22" t="n"/>
      <c r="O197" s="23" t="n">
        <v>10</v>
      </c>
      <c r="P197" s="24" t="inlineStr">
        <is>
          <t>UNIDAD</t>
        </is>
      </c>
      <c r="Q197" s="20" t="inlineStr">
        <is>
          <t>NO</t>
        </is>
      </c>
      <c r="R197" s="20" t="inlineStr">
        <is>
          <t>NO</t>
        </is>
      </c>
      <c r="S197" s="25" t="n">
        <v>1</v>
      </c>
      <c r="T197" s="20" t="inlineStr">
        <is>
          <t>NO</t>
        </is>
      </c>
      <c r="U197" s="20" t="n"/>
      <c r="V197" s="21" t="n"/>
      <c r="W197" s="26" t="n"/>
      <c r="X197" s="27" t="n"/>
      <c r="Y197" s="20" t="n"/>
      <c r="Z197" s="20" t="n"/>
      <c r="AA197" s="26">
        <f>IF(X197="","",X197-IF(W197="",0,W197))</f>
        <v/>
      </c>
      <c r="AB197" s="28">
        <f>IF(OR(X197="",M197=""),"",X197*M197)</f>
        <v/>
      </c>
      <c r="AC197" s="28">
        <f>IF(OR(X197="",N197=""),"",X197*N197)</f>
        <v/>
      </c>
      <c r="AD197" s="28">
        <f>IF(OR(M197="",N197=""),"",N197-M197)</f>
        <v/>
      </c>
      <c r="AE197" s="29">
        <f>IFERROR(IF(M197&gt;0,(N197-M197)/M197,""),"")</f>
        <v/>
      </c>
      <c r="AF197" s="30" t="n"/>
      <c r="AG197" s="30" t="inlineStr">
        <is>
          <t>PENDIENTE</t>
        </is>
      </c>
      <c r="AH197" s="18">
        <f>IF(NOT(OR(B197="EXISTENTE",COUNTA(G197,H197,I197,J197,K197,M197,N197,U197,V197,X197,Y197,Z197,AF197,AJ197)&gt;0)),"",IF(AK197&lt;&gt;"","REVISAR",IF(OR(G197="",H197="",M197="",N197="",O197="",P197="",X197=""),"INCOMPLETO",IF(AI197&lt;&gt;"","REVISAR",IF(AND(AF197&lt;&gt;"",AG197="ESCANEADO"),"LISTO_COMPLETO","LISTO_SIN_BARCODE")))))</f>
        <v/>
      </c>
      <c r="AI197" s="17">
        <f>IF(NOT(OR(B197="EXISTENTE",COUNTA(G197,H197,I197,J197,K197,M197,N197,U197,V197,X197,Y197,Z197,AF197,AJ197)&gt;0)),"",TEXTJOIN(" | ",TRUE,IF(A197="","Falta ID staging",""),IF(COUNTIF($A$5:$A$445,A197)&gt;1,"ID staging duplicado",""),IF(G197="","Falta nombre",""),IF(LEN(G197)&gt;150,"Nombre &gt;150 caracteres",""),IF(H197="","Falta categoría",IF(COUNTIF(CategoriasLista,H197)=0,"Categoría inválida","")),IF(M197="","Falta precio compra",IF(OR(NOT(ISNUMBER(M197)),M197&lt;0),"Precio compra inválido","")),IF(N197="","Falta precio venta",IF(OR(NOT(ISNUMBER(N197)),N197&lt;=0,N197&lt;M197),"Precio venta inválido","")),IF(O197="","Falta stock mínimo",IF(OR(NOT(ISNUMBER(O197)),O197&lt;0,MOD(O197,1)&lt;&gt;0),"Stock mínimo inválido","")),IF(P197="","Falta unidad",IF(COUNTIF(UnidadesLista,P197)=0,"Unidad inválida","")),IF(AND(K197&lt;&gt;"",COUNTIF(ProveedoresLista,K197)=0),"Proveedor no catalogado",""),IF(X197="","Falta cantidad contada",IF(OR(NOT(ISNUMBER(X197)),X197&lt;0,ABS(X197*1000-ROUND(X197*1000,0))&gt;0.0000001),"Cantidad inválida",IF(AND(Q197="NO",MOD(X197,1)&lt;&gt;0),"Cantidad fraccionaria no permitida",""))),IF(AND(R197="SI",OR(NOT(ISNUMBER(S197)),S197&lt;1,MOD(S197,1)&lt;&gt;0)),"Empaque inválido",""),IF(OR(AND(AF197="",AG197="ESCANEADO"),AND(AF197&lt;&gt;"",AG197&lt;&gt;"ESCANEADO")),"Barcode/estado inconsistente",""),IF(AK197&lt;&gt;"",AK197,"")))</f>
        <v/>
      </c>
      <c r="AJ197" s="21" t="n"/>
      <c r="AK197" s="17">
        <f>IF(G197="","",IF(OR(COUNTIFS($G$5:$G$445,G197,$I$5:$I$445,I197,$J$5:$J$445,J197,$P$5:$P$445,P197)&gt;1,AND(AF197&lt;&gt;"",COUNTIF($AF$5:$AF$445,AF197)&gt;1)),"REVISAR_POSIBLE_DUPLICADO",""))</f>
        <v/>
      </c>
    </row>
    <row r="198">
      <c r="A198" s="17" t="inlineStr">
        <is>
          <t>c4733265-184e-5f8c-8d91-0d4eafbc3542</t>
        </is>
      </c>
      <c r="B198" s="18" t="inlineStr">
        <is>
          <t>NUEVO</t>
        </is>
      </c>
      <c r="C198" s="18" t="inlineStr">
        <is>
          <t>ACTIVO</t>
        </is>
      </c>
      <c r="D198" s="18" t="n"/>
      <c r="E198" s="17" t="n"/>
      <c r="F198" s="17" t="n"/>
      <c r="G198" s="19" t="n"/>
      <c r="H198" s="19" t="n"/>
      <c r="I198" s="20" t="n"/>
      <c r="J198" s="20" t="n"/>
      <c r="K198" s="21" t="n"/>
      <c r="L198" s="18" t="n"/>
      <c r="M198" s="22" t="n"/>
      <c r="N198" s="22" t="n"/>
      <c r="O198" s="23" t="n">
        <v>10</v>
      </c>
      <c r="P198" s="24" t="inlineStr">
        <is>
          <t>UNIDAD</t>
        </is>
      </c>
      <c r="Q198" s="20" t="inlineStr">
        <is>
          <t>NO</t>
        </is>
      </c>
      <c r="R198" s="20" t="inlineStr">
        <is>
          <t>NO</t>
        </is>
      </c>
      <c r="S198" s="25" t="n">
        <v>1</v>
      </c>
      <c r="T198" s="20" t="inlineStr">
        <is>
          <t>NO</t>
        </is>
      </c>
      <c r="U198" s="20" t="n"/>
      <c r="V198" s="21" t="n"/>
      <c r="W198" s="26" t="n"/>
      <c r="X198" s="27" t="n"/>
      <c r="Y198" s="20" t="n"/>
      <c r="Z198" s="20" t="n"/>
      <c r="AA198" s="26">
        <f>IF(X198="","",X198-IF(W198="",0,W198))</f>
        <v/>
      </c>
      <c r="AB198" s="28">
        <f>IF(OR(X198="",M198=""),"",X198*M198)</f>
        <v/>
      </c>
      <c r="AC198" s="28">
        <f>IF(OR(X198="",N198=""),"",X198*N198)</f>
        <v/>
      </c>
      <c r="AD198" s="28">
        <f>IF(OR(M198="",N198=""),"",N198-M198)</f>
        <v/>
      </c>
      <c r="AE198" s="29">
        <f>IFERROR(IF(M198&gt;0,(N198-M198)/M198,""),"")</f>
        <v/>
      </c>
      <c r="AF198" s="30" t="n"/>
      <c r="AG198" s="30" t="inlineStr">
        <is>
          <t>PENDIENTE</t>
        </is>
      </c>
      <c r="AH198" s="18">
        <f>IF(NOT(OR(B198="EXISTENTE",COUNTA(G198,H198,I198,J198,K198,M198,N198,U198,V198,X198,Y198,Z198,AF198,AJ198)&gt;0)),"",IF(AK198&lt;&gt;"","REVISAR",IF(OR(G198="",H198="",M198="",N198="",O198="",P198="",X198=""),"INCOMPLETO",IF(AI198&lt;&gt;"","REVISAR",IF(AND(AF198&lt;&gt;"",AG198="ESCANEADO"),"LISTO_COMPLETO","LISTO_SIN_BARCODE")))))</f>
        <v/>
      </c>
      <c r="AI198" s="17">
        <f>IF(NOT(OR(B198="EXISTENTE",COUNTA(G198,H198,I198,J198,K198,M198,N198,U198,V198,X198,Y198,Z198,AF198,AJ198)&gt;0)),"",TEXTJOIN(" | ",TRUE,IF(A198="","Falta ID staging",""),IF(COUNTIF($A$5:$A$445,A198)&gt;1,"ID staging duplicado",""),IF(G198="","Falta nombre",""),IF(LEN(G198)&gt;150,"Nombre &gt;150 caracteres",""),IF(H198="","Falta categoría",IF(COUNTIF(CategoriasLista,H198)=0,"Categoría inválida","")),IF(M198="","Falta precio compra",IF(OR(NOT(ISNUMBER(M198)),M198&lt;0),"Precio compra inválido","")),IF(N198="","Falta precio venta",IF(OR(NOT(ISNUMBER(N198)),N198&lt;=0,N198&lt;M198),"Precio venta inválido","")),IF(O198="","Falta stock mínimo",IF(OR(NOT(ISNUMBER(O198)),O198&lt;0,MOD(O198,1)&lt;&gt;0),"Stock mínimo inválido","")),IF(P198="","Falta unidad",IF(COUNTIF(UnidadesLista,P198)=0,"Unidad inválida","")),IF(AND(K198&lt;&gt;"",COUNTIF(ProveedoresLista,K198)=0),"Proveedor no catalogado",""),IF(X198="","Falta cantidad contada",IF(OR(NOT(ISNUMBER(X198)),X198&lt;0,ABS(X198*1000-ROUND(X198*1000,0))&gt;0.0000001),"Cantidad inválida",IF(AND(Q198="NO",MOD(X198,1)&lt;&gt;0),"Cantidad fraccionaria no permitida",""))),IF(AND(R198="SI",OR(NOT(ISNUMBER(S198)),S198&lt;1,MOD(S198,1)&lt;&gt;0)),"Empaque inválido",""),IF(OR(AND(AF198="",AG198="ESCANEADO"),AND(AF198&lt;&gt;"",AG198&lt;&gt;"ESCANEADO")),"Barcode/estado inconsistente",""),IF(AK198&lt;&gt;"",AK198,"")))</f>
        <v/>
      </c>
      <c r="AJ198" s="21" t="n"/>
      <c r="AK198" s="17">
        <f>IF(G198="","",IF(OR(COUNTIFS($G$5:$G$445,G198,$I$5:$I$445,I198,$J$5:$J$445,J198,$P$5:$P$445,P198)&gt;1,AND(AF198&lt;&gt;"",COUNTIF($AF$5:$AF$445,AF198)&gt;1)),"REVISAR_POSIBLE_DUPLICADO",""))</f>
        <v/>
      </c>
    </row>
    <row r="199">
      <c r="A199" s="17" t="inlineStr">
        <is>
          <t>76422daf-b6a4-5c6f-9624-a4b213c71aee</t>
        </is>
      </c>
      <c r="B199" s="18" t="inlineStr">
        <is>
          <t>NUEVO</t>
        </is>
      </c>
      <c r="C199" s="18" t="inlineStr">
        <is>
          <t>ACTIVO</t>
        </is>
      </c>
      <c r="D199" s="18" t="n"/>
      <c r="E199" s="17" t="n"/>
      <c r="F199" s="17" t="n"/>
      <c r="G199" s="19" t="n"/>
      <c r="H199" s="19" t="n"/>
      <c r="I199" s="20" t="n"/>
      <c r="J199" s="20" t="n"/>
      <c r="K199" s="21" t="n"/>
      <c r="L199" s="18" t="n"/>
      <c r="M199" s="22" t="n"/>
      <c r="N199" s="22" t="n"/>
      <c r="O199" s="23" t="n">
        <v>10</v>
      </c>
      <c r="P199" s="24" t="inlineStr">
        <is>
          <t>UNIDAD</t>
        </is>
      </c>
      <c r="Q199" s="20" t="inlineStr">
        <is>
          <t>NO</t>
        </is>
      </c>
      <c r="R199" s="20" t="inlineStr">
        <is>
          <t>NO</t>
        </is>
      </c>
      <c r="S199" s="25" t="n">
        <v>1</v>
      </c>
      <c r="T199" s="20" t="inlineStr">
        <is>
          <t>NO</t>
        </is>
      </c>
      <c r="U199" s="20" t="n"/>
      <c r="V199" s="21" t="n"/>
      <c r="W199" s="26" t="n"/>
      <c r="X199" s="27" t="n"/>
      <c r="Y199" s="20" t="n"/>
      <c r="Z199" s="20" t="n"/>
      <c r="AA199" s="26">
        <f>IF(X199="","",X199-IF(W199="",0,W199))</f>
        <v/>
      </c>
      <c r="AB199" s="28">
        <f>IF(OR(X199="",M199=""),"",X199*M199)</f>
        <v/>
      </c>
      <c r="AC199" s="28">
        <f>IF(OR(X199="",N199=""),"",X199*N199)</f>
        <v/>
      </c>
      <c r="AD199" s="28">
        <f>IF(OR(M199="",N199=""),"",N199-M199)</f>
        <v/>
      </c>
      <c r="AE199" s="29">
        <f>IFERROR(IF(M199&gt;0,(N199-M199)/M199,""),"")</f>
        <v/>
      </c>
      <c r="AF199" s="30" t="n"/>
      <c r="AG199" s="30" t="inlineStr">
        <is>
          <t>PENDIENTE</t>
        </is>
      </c>
      <c r="AH199" s="18">
        <f>IF(NOT(OR(B199="EXISTENTE",COUNTA(G199,H199,I199,J199,K199,M199,N199,U199,V199,X199,Y199,Z199,AF199,AJ199)&gt;0)),"",IF(AK199&lt;&gt;"","REVISAR",IF(OR(G199="",H199="",M199="",N199="",O199="",P199="",X199=""),"INCOMPLETO",IF(AI199&lt;&gt;"","REVISAR",IF(AND(AF199&lt;&gt;"",AG199="ESCANEADO"),"LISTO_COMPLETO","LISTO_SIN_BARCODE")))))</f>
        <v/>
      </c>
      <c r="AI199" s="17">
        <f>IF(NOT(OR(B199="EXISTENTE",COUNTA(G199,H199,I199,J199,K199,M199,N199,U199,V199,X199,Y199,Z199,AF199,AJ199)&gt;0)),"",TEXTJOIN(" | ",TRUE,IF(A199="","Falta ID staging",""),IF(COUNTIF($A$5:$A$445,A199)&gt;1,"ID staging duplicado",""),IF(G199="","Falta nombre",""),IF(LEN(G199)&gt;150,"Nombre &gt;150 caracteres",""),IF(H199="","Falta categoría",IF(COUNTIF(CategoriasLista,H199)=0,"Categoría inválida","")),IF(M199="","Falta precio compra",IF(OR(NOT(ISNUMBER(M199)),M199&lt;0),"Precio compra inválido","")),IF(N199="","Falta precio venta",IF(OR(NOT(ISNUMBER(N199)),N199&lt;=0,N199&lt;M199),"Precio venta inválido","")),IF(O199="","Falta stock mínimo",IF(OR(NOT(ISNUMBER(O199)),O199&lt;0,MOD(O199,1)&lt;&gt;0),"Stock mínimo inválido","")),IF(P199="","Falta unidad",IF(COUNTIF(UnidadesLista,P199)=0,"Unidad inválida","")),IF(AND(K199&lt;&gt;"",COUNTIF(ProveedoresLista,K199)=0),"Proveedor no catalogado",""),IF(X199="","Falta cantidad contada",IF(OR(NOT(ISNUMBER(X199)),X199&lt;0,ABS(X199*1000-ROUND(X199*1000,0))&gt;0.0000001),"Cantidad inválida",IF(AND(Q199="NO",MOD(X199,1)&lt;&gt;0),"Cantidad fraccionaria no permitida",""))),IF(AND(R199="SI",OR(NOT(ISNUMBER(S199)),S199&lt;1,MOD(S199,1)&lt;&gt;0)),"Empaque inválido",""),IF(OR(AND(AF199="",AG199="ESCANEADO"),AND(AF199&lt;&gt;"",AG199&lt;&gt;"ESCANEADO")),"Barcode/estado inconsistente",""),IF(AK199&lt;&gt;"",AK199,"")))</f>
        <v/>
      </c>
      <c r="AJ199" s="21" t="n"/>
      <c r="AK199" s="17">
        <f>IF(G199="","",IF(OR(COUNTIFS($G$5:$G$445,G199,$I$5:$I$445,I199,$J$5:$J$445,J199,$P$5:$P$445,P199)&gt;1,AND(AF199&lt;&gt;"",COUNTIF($AF$5:$AF$445,AF199)&gt;1)),"REVISAR_POSIBLE_DUPLICADO",""))</f>
        <v/>
      </c>
    </row>
    <row r="200">
      <c r="A200" s="17" t="inlineStr">
        <is>
          <t>36725699-327d-5307-968d-734571c25220</t>
        </is>
      </c>
      <c r="B200" s="18" t="inlineStr">
        <is>
          <t>NUEVO</t>
        </is>
      </c>
      <c r="C200" s="18" t="inlineStr">
        <is>
          <t>ACTIVO</t>
        </is>
      </c>
      <c r="D200" s="18" t="n"/>
      <c r="E200" s="17" t="n"/>
      <c r="F200" s="17" t="n"/>
      <c r="G200" s="19" t="n"/>
      <c r="H200" s="19" t="n"/>
      <c r="I200" s="20" t="n"/>
      <c r="J200" s="20" t="n"/>
      <c r="K200" s="21" t="n"/>
      <c r="L200" s="18" t="n"/>
      <c r="M200" s="22" t="n"/>
      <c r="N200" s="22" t="n"/>
      <c r="O200" s="23" t="n">
        <v>10</v>
      </c>
      <c r="P200" s="24" t="inlineStr">
        <is>
          <t>UNIDAD</t>
        </is>
      </c>
      <c r="Q200" s="20" t="inlineStr">
        <is>
          <t>NO</t>
        </is>
      </c>
      <c r="R200" s="20" t="inlineStr">
        <is>
          <t>NO</t>
        </is>
      </c>
      <c r="S200" s="25" t="n">
        <v>1</v>
      </c>
      <c r="T200" s="20" t="inlineStr">
        <is>
          <t>NO</t>
        </is>
      </c>
      <c r="U200" s="20" t="n"/>
      <c r="V200" s="21" t="n"/>
      <c r="W200" s="26" t="n"/>
      <c r="X200" s="27" t="n"/>
      <c r="Y200" s="20" t="n"/>
      <c r="Z200" s="20" t="n"/>
      <c r="AA200" s="26">
        <f>IF(X200="","",X200-IF(W200="",0,W200))</f>
        <v/>
      </c>
      <c r="AB200" s="28">
        <f>IF(OR(X200="",M200=""),"",X200*M200)</f>
        <v/>
      </c>
      <c r="AC200" s="28">
        <f>IF(OR(X200="",N200=""),"",X200*N200)</f>
        <v/>
      </c>
      <c r="AD200" s="28">
        <f>IF(OR(M200="",N200=""),"",N200-M200)</f>
        <v/>
      </c>
      <c r="AE200" s="29">
        <f>IFERROR(IF(M200&gt;0,(N200-M200)/M200,""),"")</f>
        <v/>
      </c>
      <c r="AF200" s="30" t="n"/>
      <c r="AG200" s="30" t="inlineStr">
        <is>
          <t>PENDIENTE</t>
        </is>
      </c>
      <c r="AH200" s="18">
        <f>IF(NOT(OR(B200="EXISTENTE",COUNTA(G200,H200,I200,J200,K200,M200,N200,U200,V200,X200,Y200,Z200,AF200,AJ200)&gt;0)),"",IF(AK200&lt;&gt;"","REVISAR",IF(OR(G200="",H200="",M200="",N200="",O200="",P200="",X200=""),"INCOMPLETO",IF(AI200&lt;&gt;"","REVISAR",IF(AND(AF200&lt;&gt;"",AG200="ESCANEADO"),"LISTO_COMPLETO","LISTO_SIN_BARCODE")))))</f>
        <v/>
      </c>
      <c r="AI200" s="17">
        <f>IF(NOT(OR(B200="EXISTENTE",COUNTA(G200,H200,I200,J200,K200,M200,N200,U200,V200,X200,Y200,Z200,AF200,AJ200)&gt;0)),"",TEXTJOIN(" | ",TRUE,IF(A200="","Falta ID staging",""),IF(COUNTIF($A$5:$A$445,A200)&gt;1,"ID staging duplicado",""),IF(G200="","Falta nombre",""),IF(LEN(G200)&gt;150,"Nombre &gt;150 caracteres",""),IF(H200="","Falta categoría",IF(COUNTIF(CategoriasLista,H200)=0,"Categoría inválida","")),IF(M200="","Falta precio compra",IF(OR(NOT(ISNUMBER(M200)),M200&lt;0),"Precio compra inválido","")),IF(N200="","Falta precio venta",IF(OR(NOT(ISNUMBER(N200)),N200&lt;=0,N200&lt;M200),"Precio venta inválido","")),IF(O200="","Falta stock mínimo",IF(OR(NOT(ISNUMBER(O200)),O200&lt;0,MOD(O200,1)&lt;&gt;0),"Stock mínimo inválido","")),IF(P200="","Falta unidad",IF(COUNTIF(UnidadesLista,P200)=0,"Unidad inválida","")),IF(AND(K200&lt;&gt;"",COUNTIF(ProveedoresLista,K200)=0),"Proveedor no catalogado",""),IF(X200="","Falta cantidad contada",IF(OR(NOT(ISNUMBER(X200)),X200&lt;0,ABS(X200*1000-ROUND(X200*1000,0))&gt;0.0000001),"Cantidad inválida",IF(AND(Q200="NO",MOD(X200,1)&lt;&gt;0),"Cantidad fraccionaria no permitida",""))),IF(AND(R200="SI",OR(NOT(ISNUMBER(S200)),S200&lt;1,MOD(S200,1)&lt;&gt;0)),"Empaque inválido",""),IF(OR(AND(AF200="",AG200="ESCANEADO"),AND(AF200&lt;&gt;"",AG200&lt;&gt;"ESCANEADO")),"Barcode/estado inconsistente",""),IF(AK200&lt;&gt;"",AK200,"")))</f>
        <v/>
      </c>
      <c r="AJ200" s="21" t="n"/>
      <c r="AK200" s="17">
        <f>IF(G200="","",IF(OR(COUNTIFS($G$5:$G$445,G200,$I$5:$I$445,I200,$J$5:$J$445,J200,$P$5:$P$445,P200)&gt;1,AND(AF200&lt;&gt;"",COUNTIF($AF$5:$AF$445,AF200)&gt;1)),"REVISAR_POSIBLE_DUPLICADO",""))</f>
        <v/>
      </c>
    </row>
    <row r="201">
      <c r="A201" s="17" t="inlineStr">
        <is>
          <t>134efc0c-9ace-5433-bafc-abde28856dd2</t>
        </is>
      </c>
      <c r="B201" s="18" t="inlineStr">
        <is>
          <t>NUEVO</t>
        </is>
      </c>
      <c r="C201" s="18" t="inlineStr">
        <is>
          <t>ACTIVO</t>
        </is>
      </c>
      <c r="D201" s="18" t="n"/>
      <c r="E201" s="17" t="n"/>
      <c r="F201" s="17" t="n"/>
      <c r="G201" s="19" t="n"/>
      <c r="H201" s="19" t="n"/>
      <c r="I201" s="20" t="n"/>
      <c r="J201" s="20" t="n"/>
      <c r="K201" s="21" t="n"/>
      <c r="L201" s="18" t="n"/>
      <c r="M201" s="22" t="n"/>
      <c r="N201" s="22" t="n"/>
      <c r="O201" s="23" t="n">
        <v>10</v>
      </c>
      <c r="P201" s="24" t="inlineStr">
        <is>
          <t>UNIDAD</t>
        </is>
      </c>
      <c r="Q201" s="20" t="inlineStr">
        <is>
          <t>NO</t>
        </is>
      </c>
      <c r="R201" s="20" t="inlineStr">
        <is>
          <t>NO</t>
        </is>
      </c>
      <c r="S201" s="25" t="n">
        <v>1</v>
      </c>
      <c r="T201" s="20" t="inlineStr">
        <is>
          <t>NO</t>
        </is>
      </c>
      <c r="U201" s="20" t="n"/>
      <c r="V201" s="21" t="n"/>
      <c r="W201" s="26" t="n"/>
      <c r="X201" s="27" t="n"/>
      <c r="Y201" s="20" t="n"/>
      <c r="Z201" s="20" t="n"/>
      <c r="AA201" s="26">
        <f>IF(X201="","",X201-IF(W201="",0,W201))</f>
        <v/>
      </c>
      <c r="AB201" s="28">
        <f>IF(OR(X201="",M201=""),"",X201*M201)</f>
        <v/>
      </c>
      <c r="AC201" s="28">
        <f>IF(OR(X201="",N201=""),"",X201*N201)</f>
        <v/>
      </c>
      <c r="AD201" s="28">
        <f>IF(OR(M201="",N201=""),"",N201-M201)</f>
        <v/>
      </c>
      <c r="AE201" s="29">
        <f>IFERROR(IF(M201&gt;0,(N201-M201)/M201,""),"")</f>
        <v/>
      </c>
      <c r="AF201" s="30" t="n"/>
      <c r="AG201" s="30" t="inlineStr">
        <is>
          <t>PENDIENTE</t>
        </is>
      </c>
      <c r="AH201" s="18">
        <f>IF(NOT(OR(B201="EXISTENTE",COUNTA(G201,H201,I201,J201,K201,M201,N201,U201,V201,X201,Y201,Z201,AF201,AJ201)&gt;0)),"",IF(AK201&lt;&gt;"","REVISAR",IF(OR(G201="",H201="",M201="",N201="",O201="",P201="",X201=""),"INCOMPLETO",IF(AI201&lt;&gt;"","REVISAR",IF(AND(AF201&lt;&gt;"",AG201="ESCANEADO"),"LISTO_COMPLETO","LISTO_SIN_BARCODE")))))</f>
        <v/>
      </c>
      <c r="AI201" s="17">
        <f>IF(NOT(OR(B201="EXISTENTE",COUNTA(G201,H201,I201,J201,K201,M201,N201,U201,V201,X201,Y201,Z201,AF201,AJ201)&gt;0)),"",TEXTJOIN(" | ",TRUE,IF(A201="","Falta ID staging",""),IF(COUNTIF($A$5:$A$445,A201)&gt;1,"ID staging duplicado",""),IF(G201="","Falta nombre",""),IF(LEN(G201)&gt;150,"Nombre &gt;150 caracteres",""),IF(H201="","Falta categoría",IF(COUNTIF(CategoriasLista,H201)=0,"Categoría inválida","")),IF(M201="","Falta precio compra",IF(OR(NOT(ISNUMBER(M201)),M201&lt;0),"Precio compra inválido","")),IF(N201="","Falta precio venta",IF(OR(NOT(ISNUMBER(N201)),N201&lt;=0,N201&lt;M201),"Precio venta inválido","")),IF(O201="","Falta stock mínimo",IF(OR(NOT(ISNUMBER(O201)),O201&lt;0,MOD(O201,1)&lt;&gt;0),"Stock mínimo inválido","")),IF(P201="","Falta unidad",IF(COUNTIF(UnidadesLista,P201)=0,"Unidad inválida","")),IF(AND(K201&lt;&gt;"",COUNTIF(ProveedoresLista,K201)=0),"Proveedor no catalogado",""),IF(X201="","Falta cantidad contada",IF(OR(NOT(ISNUMBER(X201)),X201&lt;0,ABS(X201*1000-ROUND(X201*1000,0))&gt;0.0000001),"Cantidad inválida",IF(AND(Q201="NO",MOD(X201,1)&lt;&gt;0),"Cantidad fraccionaria no permitida",""))),IF(AND(R201="SI",OR(NOT(ISNUMBER(S201)),S201&lt;1,MOD(S201,1)&lt;&gt;0)),"Empaque inválido",""),IF(OR(AND(AF201="",AG201="ESCANEADO"),AND(AF201&lt;&gt;"",AG201&lt;&gt;"ESCANEADO")),"Barcode/estado inconsistente",""),IF(AK201&lt;&gt;"",AK201,"")))</f>
        <v/>
      </c>
      <c r="AJ201" s="21" t="n"/>
      <c r="AK201" s="17">
        <f>IF(G201="","",IF(OR(COUNTIFS($G$5:$G$445,G201,$I$5:$I$445,I201,$J$5:$J$445,J201,$P$5:$P$445,P201)&gt;1,AND(AF201&lt;&gt;"",COUNTIF($AF$5:$AF$445,AF201)&gt;1)),"REVISAR_POSIBLE_DUPLICADO",""))</f>
        <v/>
      </c>
    </row>
    <row r="202">
      <c r="A202" s="17" t="inlineStr">
        <is>
          <t>de955ca3-fe7e-5f42-8876-d4f016838106</t>
        </is>
      </c>
      <c r="B202" s="18" t="inlineStr">
        <is>
          <t>NUEVO</t>
        </is>
      </c>
      <c r="C202" s="18" t="inlineStr">
        <is>
          <t>ACTIVO</t>
        </is>
      </c>
      <c r="D202" s="18" t="n"/>
      <c r="E202" s="17" t="n"/>
      <c r="F202" s="17" t="n"/>
      <c r="G202" s="19" t="n"/>
      <c r="H202" s="19" t="n"/>
      <c r="I202" s="20" t="n"/>
      <c r="J202" s="20" t="n"/>
      <c r="K202" s="21" t="n"/>
      <c r="L202" s="18" t="n"/>
      <c r="M202" s="22" t="n"/>
      <c r="N202" s="22" t="n"/>
      <c r="O202" s="23" t="n">
        <v>10</v>
      </c>
      <c r="P202" s="24" t="inlineStr">
        <is>
          <t>UNIDAD</t>
        </is>
      </c>
      <c r="Q202" s="20" t="inlineStr">
        <is>
          <t>NO</t>
        </is>
      </c>
      <c r="R202" s="20" t="inlineStr">
        <is>
          <t>NO</t>
        </is>
      </c>
      <c r="S202" s="25" t="n">
        <v>1</v>
      </c>
      <c r="T202" s="20" t="inlineStr">
        <is>
          <t>NO</t>
        </is>
      </c>
      <c r="U202" s="20" t="n"/>
      <c r="V202" s="21" t="n"/>
      <c r="W202" s="26" t="n"/>
      <c r="X202" s="27" t="n"/>
      <c r="Y202" s="20" t="n"/>
      <c r="Z202" s="20" t="n"/>
      <c r="AA202" s="26">
        <f>IF(X202="","",X202-IF(W202="",0,W202))</f>
        <v/>
      </c>
      <c r="AB202" s="28">
        <f>IF(OR(X202="",M202=""),"",X202*M202)</f>
        <v/>
      </c>
      <c r="AC202" s="28">
        <f>IF(OR(X202="",N202=""),"",X202*N202)</f>
        <v/>
      </c>
      <c r="AD202" s="28">
        <f>IF(OR(M202="",N202=""),"",N202-M202)</f>
        <v/>
      </c>
      <c r="AE202" s="29">
        <f>IFERROR(IF(M202&gt;0,(N202-M202)/M202,""),"")</f>
        <v/>
      </c>
      <c r="AF202" s="30" t="n"/>
      <c r="AG202" s="30" t="inlineStr">
        <is>
          <t>PENDIENTE</t>
        </is>
      </c>
      <c r="AH202" s="18">
        <f>IF(NOT(OR(B202="EXISTENTE",COUNTA(G202,H202,I202,J202,K202,M202,N202,U202,V202,X202,Y202,Z202,AF202,AJ202)&gt;0)),"",IF(AK202&lt;&gt;"","REVISAR",IF(OR(G202="",H202="",M202="",N202="",O202="",P202="",X202=""),"INCOMPLETO",IF(AI202&lt;&gt;"","REVISAR",IF(AND(AF202&lt;&gt;"",AG202="ESCANEADO"),"LISTO_COMPLETO","LISTO_SIN_BARCODE")))))</f>
        <v/>
      </c>
      <c r="AI202" s="17">
        <f>IF(NOT(OR(B202="EXISTENTE",COUNTA(G202,H202,I202,J202,K202,M202,N202,U202,V202,X202,Y202,Z202,AF202,AJ202)&gt;0)),"",TEXTJOIN(" | ",TRUE,IF(A202="","Falta ID staging",""),IF(COUNTIF($A$5:$A$445,A202)&gt;1,"ID staging duplicado",""),IF(G202="","Falta nombre",""),IF(LEN(G202)&gt;150,"Nombre &gt;150 caracteres",""),IF(H202="","Falta categoría",IF(COUNTIF(CategoriasLista,H202)=0,"Categoría inválida","")),IF(M202="","Falta precio compra",IF(OR(NOT(ISNUMBER(M202)),M202&lt;0),"Precio compra inválido","")),IF(N202="","Falta precio venta",IF(OR(NOT(ISNUMBER(N202)),N202&lt;=0,N202&lt;M202),"Precio venta inválido","")),IF(O202="","Falta stock mínimo",IF(OR(NOT(ISNUMBER(O202)),O202&lt;0,MOD(O202,1)&lt;&gt;0),"Stock mínimo inválido","")),IF(P202="","Falta unidad",IF(COUNTIF(UnidadesLista,P202)=0,"Unidad inválida","")),IF(AND(K202&lt;&gt;"",COUNTIF(ProveedoresLista,K202)=0),"Proveedor no catalogado",""),IF(X202="","Falta cantidad contada",IF(OR(NOT(ISNUMBER(X202)),X202&lt;0,ABS(X202*1000-ROUND(X202*1000,0))&gt;0.0000001),"Cantidad inválida",IF(AND(Q202="NO",MOD(X202,1)&lt;&gt;0),"Cantidad fraccionaria no permitida",""))),IF(AND(R202="SI",OR(NOT(ISNUMBER(S202)),S202&lt;1,MOD(S202,1)&lt;&gt;0)),"Empaque inválido",""),IF(OR(AND(AF202="",AG202="ESCANEADO"),AND(AF202&lt;&gt;"",AG202&lt;&gt;"ESCANEADO")),"Barcode/estado inconsistente",""),IF(AK202&lt;&gt;"",AK202,"")))</f>
        <v/>
      </c>
      <c r="AJ202" s="21" t="n"/>
      <c r="AK202" s="17">
        <f>IF(G202="","",IF(OR(COUNTIFS($G$5:$G$445,G202,$I$5:$I$445,I202,$J$5:$J$445,J202,$P$5:$P$445,P202)&gt;1,AND(AF202&lt;&gt;"",COUNTIF($AF$5:$AF$445,AF202)&gt;1)),"REVISAR_POSIBLE_DUPLICADO",""))</f>
        <v/>
      </c>
    </row>
    <row r="203">
      <c r="A203" s="17" t="inlineStr">
        <is>
          <t>3b1b2bea-0779-5a27-b0de-bfc3415b6949</t>
        </is>
      </c>
      <c r="B203" s="18" t="inlineStr">
        <is>
          <t>NUEVO</t>
        </is>
      </c>
      <c r="C203" s="18" t="inlineStr">
        <is>
          <t>ACTIVO</t>
        </is>
      </c>
      <c r="D203" s="18" t="n"/>
      <c r="E203" s="17" t="n"/>
      <c r="F203" s="17" t="n"/>
      <c r="G203" s="19" t="n"/>
      <c r="H203" s="19" t="n"/>
      <c r="I203" s="20" t="n"/>
      <c r="J203" s="20" t="n"/>
      <c r="K203" s="21" t="n"/>
      <c r="L203" s="18" t="n"/>
      <c r="M203" s="22" t="n"/>
      <c r="N203" s="22" t="n"/>
      <c r="O203" s="23" t="n">
        <v>10</v>
      </c>
      <c r="P203" s="24" t="inlineStr">
        <is>
          <t>UNIDAD</t>
        </is>
      </c>
      <c r="Q203" s="20" t="inlineStr">
        <is>
          <t>NO</t>
        </is>
      </c>
      <c r="R203" s="20" t="inlineStr">
        <is>
          <t>NO</t>
        </is>
      </c>
      <c r="S203" s="25" t="n">
        <v>1</v>
      </c>
      <c r="T203" s="20" t="inlineStr">
        <is>
          <t>NO</t>
        </is>
      </c>
      <c r="U203" s="20" t="n"/>
      <c r="V203" s="21" t="n"/>
      <c r="W203" s="26" t="n"/>
      <c r="X203" s="27" t="n"/>
      <c r="Y203" s="20" t="n"/>
      <c r="Z203" s="20" t="n"/>
      <c r="AA203" s="26">
        <f>IF(X203="","",X203-IF(W203="",0,W203))</f>
        <v/>
      </c>
      <c r="AB203" s="28">
        <f>IF(OR(X203="",M203=""),"",X203*M203)</f>
        <v/>
      </c>
      <c r="AC203" s="28">
        <f>IF(OR(X203="",N203=""),"",X203*N203)</f>
        <v/>
      </c>
      <c r="AD203" s="28">
        <f>IF(OR(M203="",N203=""),"",N203-M203)</f>
        <v/>
      </c>
      <c r="AE203" s="29">
        <f>IFERROR(IF(M203&gt;0,(N203-M203)/M203,""),"")</f>
        <v/>
      </c>
      <c r="AF203" s="30" t="n"/>
      <c r="AG203" s="30" t="inlineStr">
        <is>
          <t>PENDIENTE</t>
        </is>
      </c>
      <c r="AH203" s="18">
        <f>IF(NOT(OR(B203="EXISTENTE",COUNTA(G203,H203,I203,J203,K203,M203,N203,U203,V203,X203,Y203,Z203,AF203,AJ203)&gt;0)),"",IF(AK203&lt;&gt;"","REVISAR",IF(OR(G203="",H203="",M203="",N203="",O203="",P203="",X203=""),"INCOMPLETO",IF(AI203&lt;&gt;"","REVISAR",IF(AND(AF203&lt;&gt;"",AG203="ESCANEADO"),"LISTO_COMPLETO","LISTO_SIN_BARCODE")))))</f>
        <v/>
      </c>
      <c r="AI203" s="17">
        <f>IF(NOT(OR(B203="EXISTENTE",COUNTA(G203,H203,I203,J203,K203,M203,N203,U203,V203,X203,Y203,Z203,AF203,AJ203)&gt;0)),"",TEXTJOIN(" | ",TRUE,IF(A203="","Falta ID staging",""),IF(COUNTIF($A$5:$A$445,A203)&gt;1,"ID staging duplicado",""),IF(G203="","Falta nombre",""),IF(LEN(G203)&gt;150,"Nombre &gt;150 caracteres",""),IF(H203="","Falta categoría",IF(COUNTIF(CategoriasLista,H203)=0,"Categoría inválida","")),IF(M203="","Falta precio compra",IF(OR(NOT(ISNUMBER(M203)),M203&lt;0),"Precio compra inválido","")),IF(N203="","Falta precio venta",IF(OR(NOT(ISNUMBER(N203)),N203&lt;=0,N203&lt;M203),"Precio venta inválido","")),IF(O203="","Falta stock mínimo",IF(OR(NOT(ISNUMBER(O203)),O203&lt;0,MOD(O203,1)&lt;&gt;0),"Stock mínimo inválido","")),IF(P203="","Falta unidad",IF(COUNTIF(UnidadesLista,P203)=0,"Unidad inválida","")),IF(AND(K203&lt;&gt;"",COUNTIF(ProveedoresLista,K203)=0),"Proveedor no catalogado",""),IF(X203="","Falta cantidad contada",IF(OR(NOT(ISNUMBER(X203)),X203&lt;0,ABS(X203*1000-ROUND(X203*1000,0))&gt;0.0000001),"Cantidad inválida",IF(AND(Q203="NO",MOD(X203,1)&lt;&gt;0),"Cantidad fraccionaria no permitida",""))),IF(AND(R203="SI",OR(NOT(ISNUMBER(S203)),S203&lt;1,MOD(S203,1)&lt;&gt;0)),"Empaque inválido",""),IF(OR(AND(AF203="",AG203="ESCANEADO"),AND(AF203&lt;&gt;"",AG203&lt;&gt;"ESCANEADO")),"Barcode/estado inconsistente",""),IF(AK203&lt;&gt;"",AK203,"")))</f>
        <v/>
      </c>
      <c r="AJ203" s="21" t="n"/>
      <c r="AK203" s="17">
        <f>IF(G203="","",IF(OR(COUNTIFS($G$5:$G$445,G203,$I$5:$I$445,I203,$J$5:$J$445,J203,$P$5:$P$445,P203)&gt;1,AND(AF203&lt;&gt;"",COUNTIF($AF$5:$AF$445,AF203)&gt;1)),"REVISAR_POSIBLE_DUPLICADO",""))</f>
        <v/>
      </c>
    </row>
    <row r="204">
      <c r="A204" s="17" t="inlineStr">
        <is>
          <t>65e61a96-c65c-5901-8e5b-9cbd09ae5f64</t>
        </is>
      </c>
      <c r="B204" s="18" t="inlineStr">
        <is>
          <t>NUEVO</t>
        </is>
      </c>
      <c r="C204" s="18" t="inlineStr">
        <is>
          <t>ACTIVO</t>
        </is>
      </c>
      <c r="D204" s="18" t="n"/>
      <c r="E204" s="17" t="n"/>
      <c r="F204" s="17" t="n"/>
      <c r="G204" s="19" t="n"/>
      <c r="H204" s="19" t="n"/>
      <c r="I204" s="20" t="n"/>
      <c r="J204" s="20" t="n"/>
      <c r="K204" s="21" t="n"/>
      <c r="L204" s="18" t="n"/>
      <c r="M204" s="22" t="n"/>
      <c r="N204" s="22" t="n"/>
      <c r="O204" s="23" t="n">
        <v>10</v>
      </c>
      <c r="P204" s="24" t="inlineStr">
        <is>
          <t>UNIDAD</t>
        </is>
      </c>
      <c r="Q204" s="20" t="inlineStr">
        <is>
          <t>NO</t>
        </is>
      </c>
      <c r="R204" s="20" t="inlineStr">
        <is>
          <t>NO</t>
        </is>
      </c>
      <c r="S204" s="25" t="n">
        <v>1</v>
      </c>
      <c r="T204" s="20" t="inlineStr">
        <is>
          <t>NO</t>
        </is>
      </c>
      <c r="U204" s="20" t="n"/>
      <c r="V204" s="21" t="n"/>
      <c r="W204" s="26" t="n"/>
      <c r="X204" s="27" t="n"/>
      <c r="Y204" s="20" t="n"/>
      <c r="Z204" s="20" t="n"/>
      <c r="AA204" s="26">
        <f>IF(X204="","",X204-IF(W204="",0,W204))</f>
        <v/>
      </c>
      <c r="AB204" s="28">
        <f>IF(OR(X204="",M204=""),"",X204*M204)</f>
        <v/>
      </c>
      <c r="AC204" s="28">
        <f>IF(OR(X204="",N204=""),"",X204*N204)</f>
        <v/>
      </c>
      <c r="AD204" s="28">
        <f>IF(OR(M204="",N204=""),"",N204-M204)</f>
        <v/>
      </c>
      <c r="AE204" s="29">
        <f>IFERROR(IF(M204&gt;0,(N204-M204)/M204,""),"")</f>
        <v/>
      </c>
      <c r="AF204" s="30" t="n"/>
      <c r="AG204" s="30" t="inlineStr">
        <is>
          <t>PENDIENTE</t>
        </is>
      </c>
      <c r="AH204" s="18">
        <f>IF(NOT(OR(B204="EXISTENTE",COUNTA(G204,H204,I204,J204,K204,M204,N204,U204,V204,X204,Y204,Z204,AF204,AJ204)&gt;0)),"",IF(AK204&lt;&gt;"","REVISAR",IF(OR(G204="",H204="",M204="",N204="",O204="",P204="",X204=""),"INCOMPLETO",IF(AI204&lt;&gt;"","REVISAR",IF(AND(AF204&lt;&gt;"",AG204="ESCANEADO"),"LISTO_COMPLETO","LISTO_SIN_BARCODE")))))</f>
        <v/>
      </c>
      <c r="AI204" s="17">
        <f>IF(NOT(OR(B204="EXISTENTE",COUNTA(G204,H204,I204,J204,K204,M204,N204,U204,V204,X204,Y204,Z204,AF204,AJ204)&gt;0)),"",TEXTJOIN(" | ",TRUE,IF(A204="","Falta ID staging",""),IF(COUNTIF($A$5:$A$445,A204)&gt;1,"ID staging duplicado",""),IF(G204="","Falta nombre",""),IF(LEN(G204)&gt;150,"Nombre &gt;150 caracteres",""),IF(H204="","Falta categoría",IF(COUNTIF(CategoriasLista,H204)=0,"Categoría inválida","")),IF(M204="","Falta precio compra",IF(OR(NOT(ISNUMBER(M204)),M204&lt;0),"Precio compra inválido","")),IF(N204="","Falta precio venta",IF(OR(NOT(ISNUMBER(N204)),N204&lt;=0,N204&lt;M204),"Precio venta inválido","")),IF(O204="","Falta stock mínimo",IF(OR(NOT(ISNUMBER(O204)),O204&lt;0,MOD(O204,1)&lt;&gt;0),"Stock mínimo inválido","")),IF(P204="","Falta unidad",IF(COUNTIF(UnidadesLista,P204)=0,"Unidad inválida","")),IF(AND(K204&lt;&gt;"",COUNTIF(ProveedoresLista,K204)=0),"Proveedor no catalogado",""),IF(X204="","Falta cantidad contada",IF(OR(NOT(ISNUMBER(X204)),X204&lt;0,ABS(X204*1000-ROUND(X204*1000,0))&gt;0.0000001),"Cantidad inválida",IF(AND(Q204="NO",MOD(X204,1)&lt;&gt;0),"Cantidad fraccionaria no permitida",""))),IF(AND(R204="SI",OR(NOT(ISNUMBER(S204)),S204&lt;1,MOD(S204,1)&lt;&gt;0)),"Empaque inválido",""),IF(OR(AND(AF204="",AG204="ESCANEADO"),AND(AF204&lt;&gt;"",AG204&lt;&gt;"ESCANEADO")),"Barcode/estado inconsistente",""),IF(AK204&lt;&gt;"",AK204,"")))</f>
        <v/>
      </c>
      <c r="AJ204" s="21" t="n"/>
      <c r="AK204" s="17">
        <f>IF(G204="","",IF(OR(COUNTIFS($G$5:$G$445,G204,$I$5:$I$445,I204,$J$5:$J$445,J204,$P$5:$P$445,P204)&gt;1,AND(AF204&lt;&gt;"",COUNTIF($AF$5:$AF$445,AF204)&gt;1)),"REVISAR_POSIBLE_DUPLICADO",""))</f>
        <v/>
      </c>
    </row>
    <row r="205">
      <c r="A205" s="17" t="inlineStr">
        <is>
          <t>c49651bf-b75d-5ccd-85f3-e1c6e800d8c9</t>
        </is>
      </c>
      <c r="B205" s="18" t="inlineStr">
        <is>
          <t>NUEVO</t>
        </is>
      </c>
      <c r="C205" s="18" t="inlineStr">
        <is>
          <t>ACTIVO</t>
        </is>
      </c>
      <c r="D205" s="18" t="n"/>
      <c r="E205" s="17" t="n"/>
      <c r="F205" s="17" t="n"/>
      <c r="G205" s="19" t="n"/>
      <c r="H205" s="19" t="n"/>
      <c r="I205" s="20" t="n"/>
      <c r="J205" s="20" t="n"/>
      <c r="K205" s="21" t="n"/>
      <c r="L205" s="18" t="n"/>
      <c r="M205" s="22" t="n"/>
      <c r="N205" s="22" t="n"/>
      <c r="O205" s="23" t="n">
        <v>10</v>
      </c>
      <c r="P205" s="24" t="inlineStr">
        <is>
          <t>UNIDAD</t>
        </is>
      </c>
      <c r="Q205" s="20" t="inlineStr">
        <is>
          <t>NO</t>
        </is>
      </c>
      <c r="R205" s="20" t="inlineStr">
        <is>
          <t>NO</t>
        </is>
      </c>
      <c r="S205" s="25" t="n">
        <v>1</v>
      </c>
      <c r="T205" s="20" t="inlineStr">
        <is>
          <t>NO</t>
        </is>
      </c>
      <c r="U205" s="20" t="n"/>
      <c r="V205" s="21" t="n"/>
      <c r="W205" s="26" t="n"/>
      <c r="X205" s="27" t="n"/>
      <c r="Y205" s="20" t="n"/>
      <c r="Z205" s="20" t="n"/>
      <c r="AA205" s="26">
        <f>IF(X205="","",X205-IF(W205="",0,W205))</f>
        <v/>
      </c>
      <c r="AB205" s="28">
        <f>IF(OR(X205="",M205=""),"",X205*M205)</f>
        <v/>
      </c>
      <c r="AC205" s="28">
        <f>IF(OR(X205="",N205=""),"",X205*N205)</f>
        <v/>
      </c>
      <c r="AD205" s="28">
        <f>IF(OR(M205="",N205=""),"",N205-M205)</f>
        <v/>
      </c>
      <c r="AE205" s="29">
        <f>IFERROR(IF(M205&gt;0,(N205-M205)/M205,""),"")</f>
        <v/>
      </c>
      <c r="AF205" s="30" t="n"/>
      <c r="AG205" s="30" t="inlineStr">
        <is>
          <t>PENDIENTE</t>
        </is>
      </c>
      <c r="AH205" s="18">
        <f>IF(NOT(OR(B205="EXISTENTE",COUNTA(G205,H205,I205,J205,K205,M205,N205,U205,V205,X205,Y205,Z205,AF205,AJ205)&gt;0)),"",IF(AK205&lt;&gt;"","REVISAR",IF(OR(G205="",H205="",M205="",N205="",O205="",P205="",X205=""),"INCOMPLETO",IF(AI205&lt;&gt;"","REVISAR",IF(AND(AF205&lt;&gt;"",AG205="ESCANEADO"),"LISTO_COMPLETO","LISTO_SIN_BARCODE")))))</f>
        <v/>
      </c>
      <c r="AI205" s="17">
        <f>IF(NOT(OR(B205="EXISTENTE",COUNTA(G205,H205,I205,J205,K205,M205,N205,U205,V205,X205,Y205,Z205,AF205,AJ205)&gt;0)),"",TEXTJOIN(" | ",TRUE,IF(A205="","Falta ID staging",""),IF(COUNTIF($A$5:$A$445,A205)&gt;1,"ID staging duplicado",""),IF(G205="","Falta nombre",""),IF(LEN(G205)&gt;150,"Nombre &gt;150 caracteres",""),IF(H205="","Falta categoría",IF(COUNTIF(CategoriasLista,H205)=0,"Categoría inválida","")),IF(M205="","Falta precio compra",IF(OR(NOT(ISNUMBER(M205)),M205&lt;0),"Precio compra inválido","")),IF(N205="","Falta precio venta",IF(OR(NOT(ISNUMBER(N205)),N205&lt;=0,N205&lt;M205),"Precio venta inválido","")),IF(O205="","Falta stock mínimo",IF(OR(NOT(ISNUMBER(O205)),O205&lt;0,MOD(O205,1)&lt;&gt;0),"Stock mínimo inválido","")),IF(P205="","Falta unidad",IF(COUNTIF(UnidadesLista,P205)=0,"Unidad inválida","")),IF(AND(K205&lt;&gt;"",COUNTIF(ProveedoresLista,K205)=0),"Proveedor no catalogado",""),IF(X205="","Falta cantidad contada",IF(OR(NOT(ISNUMBER(X205)),X205&lt;0,ABS(X205*1000-ROUND(X205*1000,0))&gt;0.0000001),"Cantidad inválida",IF(AND(Q205="NO",MOD(X205,1)&lt;&gt;0),"Cantidad fraccionaria no permitida",""))),IF(AND(R205="SI",OR(NOT(ISNUMBER(S205)),S205&lt;1,MOD(S205,1)&lt;&gt;0)),"Empaque inválido",""),IF(OR(AND(AF205="",AG205="ESCANEADO"),AND(AF205&lt;&gt;"",AG205&lt;&gt;"ESCANEADO")),"Barcode/estado inconsistente",""),IF(AK205&lt;&gt;"",AK205,"")))</f>
        <v/>
      </c>
      <c r="AJ205" s="21" t="n"/>
      <c r="AK205" s="17">
        <f>IF(G205="","",IF(OR(COUNTIFS($G$5:$G$445,G205,$I$5:$I$445,I205,$J$5:$J$445,J205,$P$5:$P$445,P205)&gt;1,AND(AF205&lt;&gt;"",COUNTIF($AF$5:$AF$445,AF205)&gt;1)),"REVISAR_POSIBLE_DUPLICADO",""))</f>
        <v/>
      </c>
    </row>
    <row r="206">
      <c r="A206" s="17" t="inlineStr">
        <is>
          <t>a9542d69-c11d-5e6c-926a-7072a0be6b0f</t>
        </is>
      </c>
      <c r="B206" s="18" t="inlineStr">
        <is>
          <t>NUEVO</t>
        </is>
      </c>
      <c r="C206" s="18" t="inlineStr">
        <is>
          <t>ACTIVO</t>
        </is>
      </c>
      <c r="D206" s="18" t="n"/>
      <c r="E206" s="17" t="n"/>
      <c r="F206" s="17" t="n"/>
      <c r="G206" s="19" t="n"/>
      <c r="H206" s="19" t="n"/>
      <c r="I206" s="20" t="n"/>
      <c r="J206" s="20" t="n"/>
      <c r="K206" s="21" t="n"/>
      <c r="L206" s="18" t="n"/>
      <c r="M206" s="22" t="n"/>
      <c r="N206" s="22" t="n"/>
      <c r="O206" s="23" t="n">
        <v>10</v>
      </c>
      <c r="P206" s="24" t="inlineStr">
        <is>
          <t>UNIDAD</t>
        </is>
      </c>
      <c r="Q206" s="20" t="inlineStr">
        <is>
          <t>NO</t>
        </is>
      </c>
      <c r="R206" s="20" t="inlineStr">
        <is>
          <t>NO</t>
        </is>
      </c>
      <c r="S206" s="25" t="n">
        <v>1</v>
      </c>
      <c r="T206" s="20" t="inlineStr">
        <is>
          <t>NO</t>
        </is>
      </c>
      <c r="U206" s="20" t="n"/>
      <c r="V206" s="21" t="n"/>
      <c r="W206" s="26" t="n"/>
      <c r="X206" s="27" t="n"/>
      <c r="Y206" s="20" t="n"/>
      <c r="Z206" s="20" t="n"/>
      <c r="AA206" s="26">
        <f>IF(X206="","",X206-IF(W206="",0,W206))</f>
        <v/>
      </c>
      <c r="AB206" s="28">
        <f>IF(OR(X206="",M206=""),"",X206*M206)</f>
        <v/>
      </c>
      <c r="AC206" s="28">
        <f>IF(OR(X206="",N206=""),"",X206*N206)</f>
        <v/>
      </c>
      <c r="AD206" s="28">
        <f>IF(OR(M206="",N206=""),"",N206-M206)</f>
        <v/>
      </c>
      <c r="AE206" s="29">
        <f>IFERROR(IF(M206&gt;0,(N206-M206)/M206,""),"")</f>
        <v/>
      </c>
      <c r="AF206" s="30" t="n"/>
      <c r="AG206" s="30" t="inlineStr">
        <is>
          <t>PENDIENTE</t>
        </is>
      </c>
      <c r="AH206" s="18">
        <f>IF(NOT(OR(B206="EXISTENTE",COUNTA(G206,H206,I206,J206,K206,M206,N206,U206,V206,X206,Y206,Z206,AF206,AJ206)&gt;0)),"",IF(AK206&lt;&gt;"","REVISAR",IF(OR(G206="",H206="",M206="",N206="",O206="",P206="",X206=""),"INCOMPLETO",IF(AI206&lt;&gt;"","REVISAR",IF(AND(AF206&lt;&gt;"",AG206="ESCANEADO"),"LISTO_COMPLETO","LISTO_SIN_BARCODE")))))</f>
        <v/>
      </c>
      <c r="AI206" s="17">
        <f>IF(NOT(OR(B206="EXISTENTE",COUNTA(G206,H206,I206,J206,K206,M206,N206,U206,V206,X206,Y206,Z206,AF206,AJ206)&gt;0)),"",TEXTJOIN(" | ",TRUE,IF(A206="","Falta ID staging",""),IF(COUNTIF($A$5:$A$445,A206)&gt;1,"ID staging duplicado",""),IF(G206="","Falta nombre",""),IF(LEN(G206)&gt;150,"Nombre &gt;150 caracteres",""),IF(H206="","Falta categoría",IF(COUNTIF(CategoriasLista,H206)=0,"Categoría inválida","")),IF(M206="","Falta precio compra",IF(OR(NOT(ISNUMBER(M206)),M206&lt;0),"Precio compra inválido","")),IF(N206="","Falta precio venta",IF(OR(NOT(ISNUMBER(N206)),N206&lt;=0,N206&lt;M206),"Precio venta inválido","")),IF(O206="","Falta stock mínimo",IF(OR(NOT(ISNUMBER(O206)),O206&lt;0,MOD(O206,1)&lt;&gt;0),"Stock mínimo inválido","")),IF(P206="","Falta unidad",IF(COUNTIF(UnidadesLista,P206)=0,"Unidad inválida","")),IF(AND(K206&lt;&gt;"",COUNTIF(ProveedoresLista,K206)=0),"Proveedor no catalogado",""),IF(X206="","Falta cantidad contada",IF(OR(NOT(ISNUMBER(X206)),X206&lt;0,ABS(X206*1000-ROUND(X206*1000,0))&gt;0.0000001),"Cantidad inválida",IF(AND(Q206="NO",MOD(X206,1)&lt;&gt;0),"Cantidad fraccionaria no permitida",""))),IF(AND(R206="SI",OR(NOT(ISNUMBER(S206)),S206&lt;1,MOD(S206,1)&lt;&gt;0)),"Empaque inválido",""),IF(OR(AND(AF206="",AG206="ESCANEADO"),AND(AF206&lt;&gt;"",AG206&lt;&gt;"ESCANEADO")),"Barcode/estado inconsistente",""),IF(AK206&lt;&gt;"",AK206,"")))</f>
        <v/>
      </c>
      <c r="AJ206" s="21" t="n"/>
      <c r="AK206" s="17">
        <f>IF(G206="","",IF(OR(COUNTIFS($G$5:$G$445,G206,$I$5:$I$445,I206,$J$5:$J$445,J206,$P$5:$P$445,P206)&gt;1,AND(AF206&lt;&gt;"",COUNTIF($AF$5:$AF$445,AF206)&gt;1)),"REVISAR_POSIBLE_DUPLICADO",""))</f>
        <v/>
      </c>
    </row>
    <row r="207">
      <c r="A207" s="17" t="inlineStr">
        <is>
          <t>42f0a254-6e6b-5ffa-9736-c1015b809b76</t>
        </is>
      </c>
      <c r="B207" s="18" t="inlineStr">
        <is>
          <t>NUEVO</t>
        </is>
      </c>
      <c r="C207" s="18" t="inlineStr">
        <is>
          <t>ACTIVO</t>
        </is>
      </c>
      <c r="D207" s="18" t="n"/>
      <c r="E207" s="17" t="n"/>
      <c r="F207" s="17" t="n"/>
      <c r="G207" s="19" t="n"/>
      <c r="H207" s="19" t="n"/>
      <c r="I207" s="20" t="n"/>
      <c r="J207" s="20" t="n"/>
      <c r="K207" s="21" t="n"/>
      <c r="L207" s="18" t="n"/>
      <c r="M207" s="22" t="n"/>
      <c r="N207" s="22" t="n"/>
      <c r="O207" s="23" t="n">
        <v>10</v>
      </c>
      <c r="P207" s="24" t="inlineStr">
        <is>
          <t>UNIDAD</t>
        </is>
      </c>
      <c r="Q207" s="20" t="inlineStr">
        <is>
          <t>NO</t>
        </is>
      </c>
      <c r="R207" s="20" t="inlineStr">
        <is>
          <t>NO</t>
        </is>
      </c>
      <c r="S207" s="25" t="n">
        <v>1</v>
      </c>
      <c r="T207" s="20" t="inlineStr">
        <is>
          <t>NO</t>
        </is>
      </c>
      <c r="U207" s="20" t="n"/>
      <c r="V207" s="21" t="n"/>
      <c r="W207" s="26" t="n"/>
      <c r="X207" s="27" t="n"/>
      <c r="Y207" s="20" t="n"/>
      <c r="Z207" s="20" t="n"/>
      <c r="AA207" s="26">
        <f>IF(X207="","",X207-IF(W207="",0,W207))</f>
        <v/>
      </c>
      <c r="AB207" s="28">
        <f>IF(OR(X207="",M207=""),"",X207*M207)</f>
        <v/>
      </c>
      <c r="AC207" s="28">
        <f>IF(OR(X207="",N207=""),"",X207*N207)</f>
        <v/>
      </c>
      <c r="AD207" s="28">
        <f>IF(OR(M207="",N207=""),"",N207-M207)</f>
        <v/>
      </c>
      <c r="AE207" s="29">
        <f>IFERROR(IF(M207&gt;0,(N207-M207)/M207,""),"")</f>
        <v/>
      </c>
      <c r="AF207" s="30" t="n"/>
      <c r="AG207" s="30" t="inlineStr">
        <is>
          <t>PENDIENTE</t>
        </is>
      </c>
      <c r="AH207" s="18">
        <f>IF(NOT(OR(B207="EXISTENTE",COUNTA(G207,H207,I207,J207,K207,M207,N207,U207,V207,X207,Y207,Z207,AF207,AJ207)&gt;0)),"",IF(AK207&lt;&gt;"","REVISAR",IF(OR(G207="",H207="",M207="",N207="",O207="",P207="",X207=""),"INCOMPLETO",IF(AI207&lt;&gt;"","REVISAR",IF(AND(AF207&lt;&gt;"",AG207="ESCANEADO"),"LISTO_COMPLETO","LISTO_SIN_BARCODE")))))</f>
        <v/>
      </c>
      <c r="AI207" s="17">
        <f>IF(NOT(OR(B207="EXISTENTE",COUNTA(G207,H207,I207,J207,K207,M207,N207,U207,V207,X207,Y207,Z207,AF207,AJ207)&gt;0)),"",TEXTJOIN(" | ",TRUE,IF(A207="","Falta ID staging",""),IF(COUNTIF($A$5:$A$445,A207)&gt;1,"ID staging duplicado",""),IF(G207="","Falta nombre",""),IF(LEN(G207)&gt;150,"Nombre &gt;150 caracteres",""),IF(H207="","Falta categoría",IF(COUNTIF(CategoriasLista,H207)=0,"Categoría inválida","")),IF(M207="","Falta precio compra",IF(OR(NOT(ISNUMBER(M207)),M207&lt;0),"Precio compra inválido","")),IF(N207="","Falta precio venta",IF(OR(NOT(ISNUMBER(N207)),N207&lt;=0,N207&lt;M207),"Precio venta inválido","")),IF(O207="","Falta stock mínimo",IF(OR(NOT(ISNUMBER(O207)),O207&lt;0,MOD(O207,1)&lt;&gt;0),"Stock mínimo inválido","")),IF(P207="","Falta unidad",IF(COUNTIF(UnidadesLista,P207)=0,"Unidad inválida","")),IF(AND(K207&lt;&gt;"",COUNTIF(ProveedoresLista,K207)=0),"Proveedor no catalogado",""),IF(X207="","Falta cantidad contada",IF(OR(NOT(ISNUMBER(X207)),X207&lt;0,ABS(X207*1000-ROUND(X207*1000,0))&gt;0.0000001),"Cantidad inválida",IF(AND(Q207="NO",MOD(X207,1)&lt;&gt;0),"Cantidad fraccionaria no permitida",""))),IF(AND(R207="SI",OR(NOT(ISNUMBER(S207)),S207&lt;1,MOD(S207,1)&lt;&gt;0)),"Empaque inválido",""),IF(OR(AND(AF207="",AG207="ESCANEADO"),AND(AF207&lt;&gt;"",AG207&lt;&gt;"ESCANEADO")),"Barcode/estado inconsistente",""),IF(AK207&lt;&gt;"",AK207,"")))</f>
        <v/>
      </c>
      <c r="AJ207" s="21" t="n"/>
      <c r="AK207" s="17">
        <f>IF(G207="","",IF(OR(COUNTIFS($G$5:$G$445,G207,$I$5:$I$445,I207,$J$5:$J$445,J207,$P$5:$P$445,P207)&gt;1,AND(AF207&lt;&gt;"",COUNTIF($AF$5:$AF$445,AF207)&gt;1)),"REVISAR_POSIBLE_DUPLICADO",""))</f>
        <v/>
      </c>
    </row>
    <row r="208">
      <c r="A208" s="17" t="inlineStr">
        <is>
          <t>7fe3c918-d88a-5371-8ef1-818c5a21a4f0</t>
        </is>
      </c>
      <c r="B208" s="18" t="inlineStr">
        <is>
          <t>NUEVO</t>
        </is>
      </c>
      <c r="C208" s="18" t="inlineStr">
        <is>
          <t>ACTIVO</t>
        </is>
      </c>
      <c r="D208" s="18" t="n"/>
      <c r="E208" s="17" t="n"/>
      <c r="F208" s="17" t="n"/>
      <c r="G208" s="19" t="n"/>
      <c r="H208" s="19" t="n"/>
      <c r="I208" s="20" t="n"/>
      <c r="J208" s="20" t="n"/>
      <c r="K208" s="21" t="n"/>
      <c r="L208" s="18" t="n"/>
      <c r="M208" s="22" t="n"/>
      <c r="N208" s="22" t="n"/>
      <c r="O208" s="23" t="n">
        <v>10</v>
      </c>
      <c r="P208" s="24" t="inlineStr">
        <is>
          <t>UNIDAD</t>
        </is>
      </c>
      <c r="Q208" s="20" t="inlineStr">
        <is>
          <t>NO</t>
        </is>
      </c>
      <c r="R208" s="20" t="inlineStr">
        <is>
          <t>NO</t>
        </is>
      </c>
      <c r="S208" s="25" t="n">
        <v>1</v>
      </c>
      <c r="T208" s="20" t="inlineStr">
        <is>
          <t>NO</t>
        </is>
      </c>
      <c r="U208" s="20" t="n"/>
      <c r="V208" s="21" t="n"/>
      <c r="W208" s="26" t="n"/>
      <c r="X208" s="27" t="n"/>
      <c r="Y208" s="20" t="n"/>
      <c r="Z208" s="20" t="n"/>
      <c r="AA208" s="26">
        <f>IF(X208="","",X208-IF(W208="",0,W208))</f>
        <v/>
      </c>
      <c r="AB208" s="28">
        <f>IF(OR(X208="",M208=""),"",X208*M208)</f>
        <v/>
      </c>
      <c r="AC208" s="28">
        <f>IF(OR(X208="",N208=""),"",X208*N208)</f>
        <v/>
      </c>
      <c r="AD208" s="28">
        <f>IF(OR(M208="",N208=""),"",N208-M208)</f>
        <v/>
      </c>
      <c r="AE208" s="29">
        <f>IFERROR(IF(M208&gt;0,(N208-M208)/M208,""),"")</f>
        <v/>
      </c>
      <c r="AF208" s="30" t="n"/>
      <c r="AG208" s="30" t="inlineStr">
        <is>
          <t>PENDIENTE</t>
        </is>
      </c>
      <c r="AH208" s="18">
        <f>IF(NOT(OR(B208="EXISTENTE",COUNTA(G208,H208,I208,J208,K208,M208,N208,U208,V208,X208,Y208,Z208,AF208,AJ208)&gt;0)),"",IF(AK208&lt;&gt;"","REVISAR",IF(OR(G208="",H208="",M208="",N208="",O208="",P208="",X208=""),"INCOMPLETO",IF(AI208&lt;&gt;"","REVISAR",IF(AND(AF208&lt;&gt;"",AG208="ESCANEADO"),"LISTO_COMPLETO","LISTO_SIN_BARCODE")))))</f>
        <v/>
      </c>
      <c r="AI208" s="17">
        <f>IF(NOT(OR(B208="EXISTENTE",COUNTA(G208,H208,I208,J208,K208,M208,N208,U208,V208,X208,Y208,Z208,AF208,AJ208)&gt;0)),"",TEXTJOIN(" | ",TRUE,IF(A208="","Falta ID staging",""),IF(COUNTIF($A$5:$A$445,A208)&gt;1,"ID staging duplicado",""),IF(G208="","Falta nombre",""),IF(LEN(G208)&gt;150,"Nombre &gt;150 caracteres",""),IF(H208="","Falta categoría",IF(COUNTIF(CategoriasLista,H208)=0,"Categoría inválida","")),IF(M208="","Falta precio compra",IF(OR(NOT(ISNUMBER(M208)),M208&lt;0),"Precio compra inválido","")),IF(N208="","Falta precio venta",IF(OR(NOT(ISNUMBER(N208)),N208&lt;=0,N208&lt;M208),"Precio venta inválido","")),IF(O208="","Falta stock mínimo",IF(OR(NOT(ISNUMBER(O208)),O208&lt;0,MOD(O208,1)&lt;&gt;0),"Stock mínimo inválido","")),IF(P208="","Falta unidad",IF(COUNTIF(UnidadesLista,P208)=0,"Unidad inválida","")),IF(AND(K208&lt;&gt;"",COUNTIF(ProveedoresLista,K208)=0),"Proveedor no catalogado",""),IF(X208="","Falta cantidad contada",IF(OR(NOT(ISNUMBER(X208)),X208&lt;0,ABS(X208*1000-ROUND(X208*1000,0))&gt;0.0000001),"Cantidad inválida",IF(AND(Q208="NO",MOD(X208,1)&lt;&gt;0),"Cantidad fraccionaria no permitida",""))),IF(AND(R208="SI",OR(NOT(ISNUMBER(S208)),S208&lt;1,MOD(S208,1)&lt;&gt;0)),"Empaque inválido",""),IF(OR(AND(AF208="",AG208="ESCANEADO"),AND(AF208&lt;&gt;"",AG208&lt;&gt;"ESCANEADO")),"Barcode/estado inconsistente",""),IF(AK208&lt;&gt;"",AK208,"")))</f>
        <v/>
      </c>
      <c r="AJ208" s="21" t="n"/>
      <c r="AK208" s="17">
        <f>IF(G208="","",IF(OR(COUNTIFS($G$5:$G$445,G208,$I$5:$I$445,I208,$J$5:$J$445,J208,$P$5:$P$445,P208)&gt;1,AND(AF208&lt;&gt;"",COUNTIF($AF$5:$AF$445,AF208)&gt;1)),"REVISAR_POSIBLE_DUPLICADO",""))</f>
        <v/>
      </c>
    </row>
    <row r="209">
      <c r="A209" s="17" t="inlineStr">
        <is>
          <t>fafa364c-c11c-5bdf-a183-42a93dfa61b7</t>
        </is>
      </c>
      <c r="B209" s="18" t="inlineStr">
        <is>
          <t>NUEVO</t>
        </is>
      </c>
      <c r="C209" s="18" t="inlineStr">
        <is>
          <t>ACTIVO</t>
        </is>
      </c>
      <c r="D209" s="18" t="n"/>
      <c r="E209" s="17" t="n"/>
      <c r="F209" s="17" t="n"/>
      <c r="G209" s="19" t="n"/>
      <c r="H209" s="19" t="n"/>
      <c r="I209" s="20" t="n"/>
      <c r="J209" s="20" t="n"/>
      <c r="K209" s="21" t="n"/>
      <c r="L209" s="18" t="n"/>
      <c r="M209" s="22" t="n"/>
      <c r="N209" s="22" t="n"/>
      <c r="O209" s="23" t="n">
        <v>10</v>
      </c>
      <c r="P209" s="24" t="inlineStr">
        <is>
          <t>UNIDAD</t>
        </is>
      </c>
      <c r="Q209" s="20" t="inlineStr">
        <is>
          <t>NO</t>
        </is>
      </c>
      <c r="R209" s="20" t="inlineStr">
        <is>
          <t>NO</t>
        </is>
      </c>
      <c r="S209" s="25" t="n">
        <v>1</v>
      </c>
      <c r="T209" s="20" t="inlineStr">
        <is>
          <t>NO</t>
        </is>
      </c>
      <c r="U209" s="20" t="n"/>
      <c r="V209" s="21" t="n"/>
      <c r="W209" s="26" t="n"/>
      <c r="X209" s="27" t="n"/>
      <c r="Y209" s="20" t="n"/>
      <c r="Z209" s="20" t="n"/>
      <c r="AA209" s="26">
        <f>IF(X209="","",X209-IF(W209="",0,W209))</f>
        <v/>
      </c>
      <c r="AB209" s="28">
        <f>IF(OR(X209="",M209=""),"",X209*M209)</f>
        <v/>
      </c>
      <c r="AC209" s="28">
        <f>IF(OR(X209="",N209=""),"",X209*N209)</f>
        <v/>
      </c>
      <c r="AD209" s="28">
        <f>IF(OR(M209="",N209=""),"",N209-M209)</f>
        <v/>
      </c>
      <c r="AE209" s="29">
        <f>IFERROR(IF(M209&gt;0,(N209-M209)/M209,""),"")</f>
        <v/>
      </c>
      <c r="AF209" s="30" t="n"/>
      <c r="AG209" s="30" t="inlineStr">
        <is>
          <t>PENDIENTE</t>
        </is>
      </c>
      <c r="AH209" s="18">
        <f>IF(NOT(OR(B209="EXISTENTE",COUNTA(G209,H209,I209,J209,K209,M209,N209,U209,V209,X209,Y209,Z209,AF209,AJ209)&gt;0)),"",IF(AK209&lt;&gt;"","REVISAR",IF(OR(G209="",H209="",M209="",N209="",O209="",P209="",X209=""),"INCOMPLETO",IF(AI209&lt;&gt;"","REVISAR",IF(AND(AF209&lt;&gt;"",AG209="ESCANEADO"),"LISTO_COMPLETO","LISTO_SIN_BARCODE")))))</f>
        <v/>
      </c>
      <c r="AI209" s="17">
        <f>IF(NOT(OR(B209="EXISTENTE",COUNTA(G209,H209,I209,J209,K209,M209,N209,U209,V209,X209,Y209,Z209,AF209,AJ209)&gt;0)),"",TEXTJOIN(" | ",TRUE,IF(A209="","Falta ID staging",""),IF(COUNTIF($A$5:$A$445,A209)&gt;1,"ID staging duplicado",""),IF(G209="","Falta nombre",""),IF(LEN(G209)&gt;150,"Nombre &gt;150 caracteres",""),IF(H209="","Falta categoría",IF(COUNTIF(CategoriasLista,H209)=0,"Categoría inválida","")),IF(M209="","Falta precio compra",IF(OR(NOT(ISNUMBER(M209)),M209&lt;0),"Precio compra inválido","")),IF(N209="","Falta precio venta",IF(OR(NOT(ISNUMBER(N209)),N209&lt;=0,N209&lt;M209),"Precio venta inválido","")),IF(O209="","Falta stock mínimo",IF(OR(NOT(ISNUMBER(O209)),O209&lt;0,MOD(O209,1)&lt;&gt;0),"Stock mínimo inválido","")),IF(P209="","Falta unidad",IF(COUNTIF(UnidadesLista,P209)=0,"Unidad inválida","")),IF(AND(K209&lt;&gt;"",COUNTIF(ProveedoresLista,K209)=0),"Proveedor no catalogado",""),IF(X209="","Falta cantidad contada",IF(OR(NOT(ISNUMBER(X209)),X209&lt;0,ABS(X209*1000-ROUND(X209*1000,0))&gt;0.0000001),"Cantidad inválida",IF(AND(Q209="NO",MOD(X209,1)&lt;&gt;0),"Cantidad fraccionaria no permitida",""))),IF(AND(R209="SI",OR(NOT(ISNUMBER(S209)),S209&lt;1,MOD(S209,1)&lt;&gt;0)),"Empaque inválido",""),IF(OR(AND(AF209="",AG209="ESCANEADO"),AND(AF209&lt;&gt;"",AG209&lt;&gt;"ESCANEADO")),"Barcode/estado inconsistente",""),IF(AK209&lt;&gt;"",AK209,"")))</f>
        <v/>
      </c>
      <c r="AJ209" s="21" t="n"/>
      <c r="AK209" s="17">
        <f>IF(G209="","",IF(OR(COUNTIFS($G$5:$G$445,G209,$I$5:$I$445,I209,$J$5:$J$445,J209,$P$5:$P$445,P209)&gt;1,AND(AF209&lt;&gt;"",COUNTIF($AF$5:$AF$445,AF209)&gt;1)),"REVISAR_POSIBLE_DUPLICADO",""))</f>
        <v/>
      </c>
    </row>
    <row r="210">
      <c r="A210" s="17" t="inlineStr">
        <is>
          <t>c933f62e-9938-5acb-9d5b-8cf7f3469a82</t>
        </is>
      </c>
      <c r="B210" s="18" t="inlineStr">
        <is>
          <t>NUEVO</t>
        </is>
      </c>
      <c r="C210" s="18" t="inlineStr">
        <is>
          <t>ACTIVO</t>
        </is>
      </c>
      <c r="D210" s="18" t="n"/>
      <c r="E210" s="17" t="n"/>
      <c r="F210" s="17" t="n"/>
      <c r="G210" s="19" t="n"/>
      <c r="H210" s="19" t="n"/>
      <c r="I210" s="20" t="n"/>
      <c r="J210" s="20" t="n"/>
      <c r="K210" s="21" t="n"/>
      <c r="L210" s="18" t="n"/>
      <c r="M210" s="22" t="n"/>
      <c r="N210" s="22" t="n"/>
      <c r="O210" s="23" t="n">
        <v>10</v>
      </c>
      <c r="P210" s="24" t="inlineStr">
        <is>
          <t>UNIDAD</t>
        </is>
      </c>
      <c r="Q210" s="20" t="inlineStr">
        <is>
          <t>NO</t>
        </is>
      </c>
      <c r="R210" s="20" t="inlineStr">
        <is>
          <t>NO</t>
        </is>
      </c>
      <c r="S210" s="25" t="n">
        <v>1</v>
      </c>
      <c r="T210" s="20" t="inlineStr">
        <is>
          <t>NO</t>
        </is>
      </c>
      <c r="U210" s="20" t="n"/>
      <c r="V210" s="21" t="n"/>
      <c r="W210" s="26" t="n"/>
      <c r="X210" s="27" t="n"/>
      <c r="Y210" s="20" t="n"/>
      <c r="Z210" s="20" t="n"/>
      <c r="AA210" s="26">
        <f>IF(X210="","",X210-IF(W210="",0,W210))</f>
        <v/>
      </c>
      <c r="AB210" s="28">
        <f>IF(OR(X210="",M210=""),"",X210*M210)</f>
        <v/>
      </c>
      <c r="AC210" s="28">
        <f>IF(OR(X210="",N210=""),"",X210*N210)</f>
        <v/>
      </c>
      <c r="AD210" s="28">
        <f>IF(OR(M210="",N210=""),"",N210-M210)</f>
        <v/>
      </c>
      <c r="AE210" s="29">
        <f>IFERROR(IF(M210&gt;0,(N210-M210)/M210,""),"")</f>
        <v/>
      </c>
      <c r="AF210" s="30" t="n"/>
      <c r="AG210" s="30" t="inlineStr">
        <is>
          <t>PENDIENTE</t>
        </is>
      </c>
      <c r="AH210" s="18">
        <f>IF(NOT(OR(B210="EXISTENTE",COUNTA(G210,H210,I210,J210,K210,M210,N210,U210,V210,X210,Y210,Z210,AF210,AJ210)&gt;0)),"",IF(AK210&lt;&gt;"","REVISAR",IF(OR(G210="",H210="",M210="",N210="",O210="",P210="",X210=""),"INCOMPLETO",IF(AI210&lt;&gt;"","REVISAR",IF(AND(AF210&lt;&gt;"",AG210="ESCANEADO"),"LISTO_COMPLETO","LISTO_SIN_BARCODE")))))</f>
        <v/>
      </c>
      <c r="AI210" s="17">
        <f>IF(NOT(OR(B210="EXISTENTE",COUNTA(G210,H210,I210,J210,K210,M210,N210,U210,V210,X210,Y210,Z210,AF210,AJ210)&gt;0)),"",TEXTJOIN(" | ",TRUE,IF(A210="","Falta ID staging",""),IF(COUNTIF($A$5:$A$445,A210)&gt;1,"ID staging duplicado",""),IF(G210="","Falta nombre",""),IF(LEN(G210)&gt;150,"Nombre &gt;150 caracteres",""),IF(H210="","Falta categoría",IF(COUNTIF(CategoriasLista,H210)=0,"Categoría inválida","")),IF(M210="","Falta precio compra",IF(OR(NOT(ISNUMBER(M210)),M210&lt;0),"Precio compra inválido","")),IF(N210="","Falta precio venta",IF(OR(NOT(ISNUMBER(N210)),N210&lt;=0,N210&lt;M210),"Precio venta inválido","")),IF(O210="","Falta stock mínimo",IF(OR(NOT(ISNUMBER(O210)),O210&lt;0,MOD(O210,1)&lt;&gt;0),"Stock mínimo inválido","")),IF(P210="","Falta unidad",IF(COUNTIF(UnidadesLista,P210)=0,"Unidad inválida","")),IF(AND(K210&lt;&gt;"",COUNTIF(ProveedoresLista,K210)=0),"Proveedor no catalogado",""),IF(X210="","Falta cantidad contada",IF(OR(NOT(ISNUMBER(X210)),X210&lt;0,ABS(X210*1000-ROUND(X210*1000,0))&gt;0.0000001),"Cantidad inválida",IF(AND(Q210="NO",MOD(X210,1)&lt;&gt;0),"Cantidad fraccionaria no permitida",""))),IF(AND(R210="SI",OR(NOT(ISNUMBER(S210)),S210&lt;1,MOD(S210,1)&lt;&gt;0)),"Empaque inválido",""),IF(OR(AND(AF210="",AG210="ESCANEADO"),AND(AF210&lt;&gt;"",AG210&lt;&gt;"ESCANEADO")),"Barcode/estado inconsistente",""),IF(AK210&lt;&gt;"",AK210,"")))</f>
        <v/>
      </c>
      <c r="AJ210" s="21" t="n"/>
      <c r="AK210" s="17">
        <f>IF(G210="","",IF(OR(COUNTIFS($G$5:$G$445,G210,$I$5:$I$445,I210,$J$5:$J$445,J210,$P$5:$P$445,P210)&gt;1,AND(AF210&lt;&gt;"",COUNTIF($AF$5:$AF$445,AF210)&gt;1)),"REVISAR_POSIBLE_DUPLICADO",""))</f>
        <v/>
      </c>
    </row>
    <row r="211">
      <c r="A211" s="17" t="inlineStr">
        <is>
          <t>07539470-23c8-5146-8ef0-b7584663a336</t>
        </is>
      </c>
      <c r="B211" s="18" t="inlineStr">
        <is>
          <t>NUEVO</t>
        </is>
      </c>
      <c r="C211" s="18" t="inlineStr">
        <is>
          <t>ACTIVO</t>
        </is>
      </c>
      <c r="D211" s="18" t="n"/>
      <c r="E211" s="17" t="n"/>
      <c r="F211" s="17" t="n"/>
      <c r="G211" s="19" t="n"/>
      <c r="H211" s="19" t="n"/>
      <c r="I211" s="20" t="n"/>
      <c r="J211" s="20" t="n"/>
      <c r="K211" s="21" t="n"/>
      <c r="L211" s="18" t="n"/>
      <c r="M211" s="22" t="n"/>
      <c r="N211" s="22" t="n"/>
      <c r="O211" s="23" t="n">
        <v>10</v>
      </c>
      <c r="P211" s="24" t="inlineStr">
        <is>
          <t>UNIDAD</t>
        </is>
      </c>
      <c r="Q211" s="20" t="inlineStr">
        <is>
          <t>NO</t>
        </is>
      </c>
      <c r="R211" s="20" t="inlineStr">
        <is>
          <t>NO</t>
        </is>
      </c>
      <c r="S211" s="25" t="n">
        <v>1</v>
      </c>
      <c r="T211" s="20" t="inlineStr">
        <is>
          <t>NO</t>
        </is>
      </c>
      <c r="U211" s="20" t="n"/>
      <c r="V211" s="21" t="n"/>
      <c r="W211" s="26" t="n"/>
      <c r="X211" s="27" t="n"/>
      <c r="Y211" s="20" t="n"/>
      <c r="Z211" s="20" t="n"/>
      <c r="AA211" s="26">
        <f>IF(X211="","",X211-IF(W211="",0,W211))</f>
        <v/>
      </c>
      <c r="AB211" s="28">
        <f>IF(OR(X211="",M211=""),"",X211*M211)</f>
        <v/>
      </c>
      <c r="AC211" s="28">
        <f>IF(OR(X211="",N211=""),"",X211*N211)</f>
        <v/>
      </c>
      <c r="AD211" s="28">
        <f>IF(OR(M211="",N211=""),"",N211-M211)</f>
        <v/>
      </c>
      <c r="AE211" s="29">
        <f>IFERROR(IF(M211&gt;0,(N211-M211)/M211,""),"")</f>
        <v/>
      </c>
      <c r="AF211" s="30" t="n"/>
      <c r="AG211" s="30" t="inlineStr">
        <is>
          <t>PENDIENTE</t>
        </is>
      </c>
      <c r="AH211" s="18">
        <f>IF(NOT(OR(B211="EXISTENTE",COUNTA(G211,H211,I211,J211,K211,M211,N211,U211,V211,X211,Y211,Z211,AF211,AJ211)&gt;0)),"",IF(AK211&lt;&gt;"","REVISAR",IF(OR(G211="",H211="",M211="",N211="",O211="",P211="",X211=""),"INCOMPLETO",IF(AI211&lt;&gt;"","REVISAR",IF(AND(AF211&lt;&gt;"",AG211="ESCANEADO"),"LISTO_COMPLETO","LISTO_SIN_BARCODE")))))</f>
        <v/>
      </c>
      <c r="AI211" s="17">
        <f>IF(NOT(OR(B211="EXISTENTE",COUNTA(G211,H211,I211,J211,K211,M211,N211,U211,V211,X211,Y211,Z211,AF211,AJ211)&gt;0)),"",TEXTJOIN(" | ",TRUE,IF(A211="","Falta ID staging",""),IF(COUNTIF($A$5:$A$445,A211)&gt;1,"ID staging duplicado",""),IF(G211="","Falta nombre",""),IF(LEN(G211)&gt;150,"Nombre &gt;150 caracteres",""),IF(H211="","Falta categoría",IF(COUNTIF(CategoriasLista,H211)=0,"Categoría inválida","")),IF(M211="","Falta precio compra",IF(OR(NOT(ISNUMBER(M211)),M211&lt;0),"Precio compra inválido","")),IF(N211="","Falta precio venta",IF(OR(NOT(ISNUMBER(N211)),N211&lt;=0,N211&lt;M211),"Precio venta inválido","")),IF(O211="","Falta stock mínimo",IF(OR(NOT(ISNUMBER(O211)),O211&lt;0,MOD(O211,1)&lt;&gt;0),"Stock mínimo inválido","")),IF(P211="","Falta unidad",IF(COUNTIF(UnidadesLista,P211)=0,"Unidad inválida","")),IF(AND(K211&lt;&gt;"",COUNTIF(ProveedoresLista,K211)=0),"Proveedor no catalogado",""),IF(X211="","Falta cantidad contada",IF(OR(NOT(ISNUMBER(X211)),X211&lt;0,ABS(X211*1000-ROUND(X211*1000,0))&gt;0.0000001),"Cantidad inválida",IF(AND(Q211="NO",MOD(X211,1)&lt;&gt;0),"Cantidad fraccionaria no permitida",""))),IF(AND(R211="SI",OR(NOT(ISNUMBER(S211)),S211&lt;1,MOD(S211,1)&lt;&gt;0)),"Empaque inválido",""),IF(OR(AND(AF211="",AG211="ESCANEADO"),AND(AF211&lt;&gt;"",AG211&lt;&gt;"ESCANEADO")),"Barcode/estado inconsistente",""),IF(AK211&lt;&gt;"",AK211,"")))</f>
        <v/>
      </c>
      <c r="AJ211" s="21" t="n"/>
      <c r="AK211" s="17">
        <f>IF(G211="","",IF(OR(COUNTIFS($G$5:$G$445,G211,$I$5:$I$445,I211,$J$5:$J$445,J211,$P$5:$P$445,P211)&gt;1,AND(AF211&lt;&gt;"",COUNTIF($AF$5:$AF$445,AF211)&gt;1)),"REVISAR_POSIBLE_DUPLICADO",""))</f>
        <v/>
      </c>
    </row>
    <row r="212">
      <c r="A212" s="17" t="inlineStr">
        <is>
          <t>242833d6-33a8-59de-83e8-7eb39e0685f6</t>
        </is>
      </c>
      <c r="B212" s="18" t="inlineStr">
        <is>
          <t>NUEVO</t>
        </is>
      </c>
      <c r="C212" s="18" t="inlineStr">
        <is>
          <t>ACTIVO</t>
        </is>
      </c>
      <c r="D212" s="18" t="n"/>
      <c r="E212" s="17" t="n"/>
      <c r="F212" s="17" t="n"/>
      <c r="G212" s="19" t="n"/>
      <c r="H212" s="19" t="n"/>
      <c r="I212" s="20" t="n"/>
      <c r="J212" s="20" t="n"/>
      <c r="K212" s="21" t="n"/>
      <c r="L212" s="18" t="n"/>
      <c r="M212" s="22" t="n"/>
      <c r="N212" s="22" t="n"/>
      <c r="O212" s="23" t="n">
        <v>10</v>
      </c>
      <c r="P212" s="24" t="inlineStr">
        <is>
          <t>UNIDAD</t>
        </is>
      </c>
      <c r="Q212" s="20" t="inlineStr">
        <is>
          <t>NO</t>
        </is>
      </c>
      <c r="R212" s="20" t="inlineStr">
        <is>
          <t>NO</t>
        </is>
      </c>
      <c r="S212" s="25" t="n">
        <v>1</v>
      </c>
      <c r="T212" s="20" t="inlineStr">
        <is>
          <t>NO</t>
        </is>
      </c>
      <c r="U212" s="20" t="n"/>
      <c r="V212" s="21" t="n"/>
      <c r="W212" s="26" t="n"/>
      <c r="X212" s="27" t="n"/>
      <c r="Y212" s="20" t="n"/>
      <c r="Z212" s="20" t="n"/>
      <c r="AA212" s="26">
        <f>IF(X212="","",X212-IF(W212="",0,W212))</f>
        <v/>
      </c>
      <c r="AB212" s="28">
        <f>IF(OR(X212="",M212=""),"",X212*M212)</f>
        <v/>
      </c>
      <c r="AC212" s="28">
        <f>IF(OR(X212="",N212=""),"",X212*N212)</f>
        <v/>
      </c>
      <c r="AD212" s="28">
        <f>IF(OR(M212="",N212=""),"",N212-M212)</f>
        <v/>
      </c>
      <c r="AE212" s="29">
        <f>IFERROR(IF(M212&gt;0,(N212-M212)/M212,""),"")</f>
        <v/>
      </c>
      <c r="AF212" s="30" t="n"/>
      <c r="AG212" s="30" t="inlineStr">
        <is>
          <t>PENDIENTE</t>
        </is>
      </c>
      <c r="AH212" s="18">
        <f>IF(NOT(OR(B212="EXISTENTE",COUNTA(G212,H212,I212,J212,K212,M212,N212,U212,V212,X212,Y212,Z212,AF212,AJ212)&gt;0)),"",IF(AK212&lt;&gt;"","REVISAR",IF(OR(G212="",H212="",M212="",N212="",O212="",P212="",X212=""),"INCOMPLETO",IF(AI212&lt;&gt;"","REVISAR",IF(AND(AF212&lt;&gt;"",AG212="ESCANEADO"),"LISTO_COMPLETO","LISTO_SIN_BARCODE")))))</f>
        <v/>
      </c>
      <c r="AI212" s="17">
        <f>IF(NOT(OR(B212="EXISTENTE",COUNTA(G212,H212,I212,J212,K212,M212,N212,U212,V212,X212,Y212,Z212,AF212,AJ212)&gt;0)),"",TEXTJOIN(" | ",TRUE,IF(A212="","Falta ID staging",""),IF(COUNTIF($A$5:$A$445,A212)&gt;1,"ID staging duplicado",""),IF(G212="","Falta nombre",""),IF(LEN(G212)&gt;150,"Nombre &gt;150 caracteres",""),IF(H212="","Falta categoría",IF(COUNTIF(CategoriasLista,H212)=0,"Categoría inválida","")),IF(M212="","Falta precio compra",IF(OR(NOT(ISNUMBER(M212)),M212&lt;0),"Precio compra inválido","")),IF(N212="","Falta precio venta",IF(OR(NOT(ISNUMBER(N212)),N212&lt;=0,N212&lt;M212),"Precio venta inválido","")),IF(O212="","Falta stock mínimo",IF(OR(NOT(ISNUMBER(O212)),O212&lt;0,MOD(O212,1)&lt;&gt;0),"Stock mínimo inválido","")),IF(P212="","Falta unidad",IF(COUNTIF(UnidadesLista,P212)=0,"Unidad inválida","")),IF(AND(K212&lt;&gt;"",COUNTIF(ProveedoresLista,K212)=0),"Proveedor no catalogado",""),IF(X212="","Falta cantidad contada",IF(OR(NOT(ISNUMBER(X212)),X212&lt;0,ABS(X212*1000-ROUND(X212*1000,0))&gt;0.0000001),"Cantidad inválida",IF(AND(Q212="NO",MOD(X212,1)&lt;&gt;0),"Cantidad fraccionaria no permitida",""))),IF(AND(R212="SI",OR(NOT(ISNUMBER(S212)),S212&lt;1,MOD(S212,1)&lt;&gt;0)),"Empaque inválido",""),IF(OR(AND(AF212="",AG212="ESCANEADO"),AND(AF212&lt;&gt;"",AG212&lt;&gt;"ESCANEADO")),"Barcode/estado inconsistente",""),IF(AK212&lt;&gt;"",AK212,"")))</f>
        <v/>
      </c>
      <c r="AJ212" s="21" t="n"/>
      <c r="AK212" s="17">
        <f>IF(G212="","",IF(OR(COUNTIFS($G$5:$G$445,G212,$I$5:$I$445,I212,$J$5:$J$445,J212,$P$5:$P$445,P212)&gt;1,AND(AF212&lt;&gt;"",COUNTIF($AF$5:$AF$445,AF212)&gt;1)),"REVISAR_POSIBLE_DUPLICADO",""))</f>
        <v/>
      </c>
    </row>
    <row r="213">
      <c r="A213" s="17" t="inlineStr">
        <is>
          <t>16dcb39f-7be1-50f9-843b-105594ad5241</t>
        </is>
      </c>
      <c r="B213" s="18" t="inlineStr">
        <is>
          <t>NUEVO</t>
        </is>
      </c>
      <c r="C213" s="18" t="inlineStr">
        <is>
          <t>ACTIVO</t>
        </is>
      </c>
      <c r="D213" s="18" t="n"/>
      <c r="E213" s="17" t="n"/>
      <c r="F213" s="17" t="n"/>
      <c r="G213" s="19" t="n"/>
      <c r="H213" s="19" t="n"/>
      <c r="I213" s="20" t="n"/>
      <c r="J213" s="20" t="n"/>
      <c r="K213" s="21" t="n"/>
      <c r="L213" s="18" t="n"/>
      <c r="M213" s="22" t="n"/>
      <c r="N213" s="22" t="n"/>
      <c r="O213" s="23" t="n">
        <v>10</v>
      </c>
      <c r="P213" s="24" t="inlineStr">
        <is>
          <t>UNIDAD</t>
        </is>
      </c>
      <c r="Q213" s="20" t="inlineStr">
        <is>
          <t>NO</t>
        </is>
      </c>
      <c r="R213" s="20" t="inlineStr">
        <is>
          <t>NO</t>
        </is>
      </c>
      <c r="S213" s="25" t="n">
        <v>1</v>
      </c>
      <c r="T213" s="20" t="inlineStr">
        <is>
          <t>NO</t>
        </is>
      </c>
      <c r="U213" s="20" t="n"/>
      <c r="V213" s="21" t="n"/>
      <c r="W213" s="26" t="n"/>
      <c r="X213" s="27" t="n"/>
      <c r="Y213" s="20" t="n"/>
      <c r="Z213" s="20" t="n"/>
      <c r="AA213" s="26">
        <f>IF(X213="","",X213-IF(W213="",0,W213))</f>
        <v/>
      </c>
      <c r="AB213" s="28">
        <f>IF(OR(X213="",M213=""),"",X213*M213)</f>
        <v/>
      </c>
      <c r="AC213" s="28">
        <f>IF(OR(X213="",N213=""),"",X213*N213)</f>
        <v/>
      </c>
      <c r="AD213" s="28">
        <f>IF(OR(M213="",N213=""),"",N213-M213)</f>
        <v/>
      </c>
      <c r="AE213" s="29">
        <f>IFERROR(IF(M213&gt;0,(N213-M213)/M213,""),"")</f>
        <v/>
      </c>
      <c r="AF213" s="30" t="n"/>
      <c r="AG213" s="30" t="inlineStr">
        <is>
          <t>PENDIENTE</t>
        </is>
      </c>
      <c r="AH213" s="18">
        <f>IF(NOT(OR(B213="EXISTENTE",COUNTA(G213,H213,I213,J213,K213,M213,N213,U213,V213,X213,Y213,Z213,AF213,AJ213)&gt;0)),"",IF(AK213&lt;&gt;"","REVISAR",IF(OR(G213="",H213="",M213="",N213="",O213="",P213="",X213=""),"INCOMPLETO",IF(AI213&lt;&gt;"","REVISAR",IF(AND(AF213&lt;&gt;"",AG213="ESCANEADO"),"LISTO_COMPLETO","LISTO_SIN_BARCODE")))))</f>
        <v/>
      </c>
      <c r="AI213" s="17">
        <f>IF(NOT(OR(B213="EXISTENTE",COUNTA(G213,H213,I213,J213,K213,M213,N213,U213,V213,X213,Y213,Z213,AF213,AJ213)&gt;0)),"",TEXTJOIN(" | ",TRUE,IF(A213="","Falta ID staging",""),IF(COUNTIF($A$5:$A$445,A213)&gt;1,"ID staging duplicado",""),IF(G213="","Falta nombre",""),IF(LEN(G213)&gt;150,"Nombre &gt;150 caracteres",""),IF(H213="","Falta categoría",IF(COUNTIF(CategoriasLista,H213)=0,"Categoría inválida","")),IF(M213="","Falta precio compra",IF(OR(NOT(ISNUMBER(M213)),M213&lt;0),"Precio compra inválido","")),IF(N213="","Falta precio venta",IF(OR(NOT(ISNUMBER(N213)),N213&lt;=0,N213&lt;M213),"Precio venta inválido","")),IF(O213="","Falta stock mínimo",IF(OR(NOT(ISNUMBER(O213)),O213&lt;0,MOD(O213,1)&lt;&gt;0),"Stock mínimo inválido","")),IF(P213="","Falta unidad",IF(COUNTIF(UnidadesLista,P213)=0,"Unidad inválida","")),IF(AND(K213&lt;&gt;"",COUNTIF(ProveedoresLista,K213)=0),"Proveedor no catalogado",""),IF(X213="","Falta cantidad contada",IF(OR(NOT(ISNUMBER(X213)),X213&lt;0,ABS(X213*1000-ROUND(X213*1000,0))&gt;0.0000001),"Cantidad inválida",IF(AND(Q213="NO",MOD(X213,1)&lt;&gt;0),"Cantidad fraccionaria no permitida",""))),IF(AND(R213="SI",OR(NOT(ISNUMBER(S213)),S213&lt;1,MOD(S213,1)&lt;&gt;0)),"Empaque inválido",""),IF(OR(AND(AF213="",AG213="ESCANEADO"),AND(AF213&lt;&gt;"",AG213&lt;&gt;"ESCANEADO")),"Barcode/estado inconsistente",""),IF(AK213&lt;&gt;"",AK213,"")))</f>
        <v/>
      </c>
      <c r="AJ213" s="21" t="n"/>
      <c r="AK213" s="17">
        <f>IF(G213="","",IF(OR(COUNTIFS($G$5:$G$445,G213,$I$5:$I$445,I213,$J$5:$J$445,J213,$P$5:$P$445,P213)&gt;1,AND(AF213&lt;&gt;"",COUNTIF($AF$5:$AF$445,AF213)&gt;1)),"REVISAR_POSIBLE_DUPLICADO",""))</f>
        <v/>
      </c>
    </row>
    <row r="214">
      <c r="A214" s="17" t="inlineStr">
        <is>
          <t>08006414-ae6a-52ad-be8a-7bdcfafec639</t>
        </is>
      </c>
      <c r="B214" s="18" t="inlineStr">
        <is>
          <t>NUEVO</t>
        </is>
      </c>
      <c r="C214" s="18" t="inlineStr">
        <is>
          <t>ACTIVO</t>
        </is>
      </c>
      <c r="D214" s="18" t="n"/>
      <c r="E214" s="17" t="n"/>
      <c r="F214" s="17" t="n"/>
      <c r="G214" s="19" t="n"/>
      <c r="H214" s="19" t="n"/>
      <c r="I214" s="20" t="n"/>
      <c r="J214" s="20" t="n"/>
      <c r="K214" s="21" t="n"/>
      <c r="L214" s="18" t="n"/>
      <c r="M214" s="22" t="n"/>
      <c r="N214" s="22" t="n"/>
      <c r="O214" s="23" t="n">
        <v>10</v>
      </c>
      <c r="P214" s="24" t="inlineStr">
        <is>
          <t>UNIDAD</t>
        </is>
      </c>
      <c r="Q214" s="20" t="inlineStr">
        <is>
          <t>NO</t>
        </is>
      </c>
      <c r="R214" s="20" t="inlineStr">
        <is>
          <t>NO</t>
        </is>
      </c>
      <c r="S214" s="25" t="n">
        <v>1</v>
      </c>
      <c r="T214" s="20" t="inlineStr">
        <is>
          <t>NO</t>
        </is>
      </c>
      <c r="U214" s="20" t="n"/>
      <c r="V214" s="21" t="n"/>
      <c r="W214" s="26" t="n"/>
      <c r="X214" s="27" t="n"/>
      <c r="Y214" s="20" t="n"/>
      <c r="Z214" s="20" t="n"/>
      <c r="AA214" s="26">
        <f>IF(X214="","",X214-IF(W214="",0,W214))</f>
        <v/>
      </c>
      <c r="AB214" s="28">
        <f>IF(OR(X214="",M214=""),"",X214*M214)</f>
        <v/>
      </c>
      <c r="AC214" s="28">
        <f>IF(OR(X214="",N214=""),"",X214*N214)</f>
        <v/>
      </c>
      <c r="AD214" s="28">
        <f>IF(OR(M214="",N214=""),"",N214-M214)</f>
        <v/>
      </c>
      <c r="AE214" s="29">
        <f>IFERROR(IF(M214&gt;0,(N214-M214)/M214,""),"")</f>
        <v/>
      </c>
      <c r="AF214" s="30" t="n"/>
      <c r="AG214" s="30" t="inlineStr">
        <is>
          <t>PENDIENTE</t>
        </is>
      </c>
      <c r="AH214" s="18">
        <f>IF(NOT(OR(B214="EXISTENTE",COUNTA(G214,H214,I214,J214,K214,M214,N214,U214,V214,X214,Y214,Z214,AF214,AJ214)&gt;0)),"",IF(AK214&lt;&gt;"","REVISAR",IF(OR(G214="",H214="",M214="",N214="",O214="",P214="",X214=""),"INCOMPLETO",IF(AI214&lt;&gt;"","REVISAR",IF(AND(AF214&lt;&gt;"",AG214="ESCANEADO"),"LISTO_COMPLETO","LISTO_SIN_BARCODE")))))</f>
        <v/>
      </c>
      <c r="AI214" s="17">
        <f>IF(NOT(OR(B214="EXISTENTE",COUNTA(G214,H214,I214,J214,K214,M214,N214,U214,V214,X214,Y214,Z214,AF214,AJ214)&gt;0)),"",TEXTJOIN(" | ",TRUE,IF(A214="","Falta ID staging",""),IF(COUNTIF($A$5:$A$445,A214)&gt;1,"ID staging duplicado",""),IF(G214="","Falta nombre",""),IF(LEN(G214)&gt;150,"Nombre &gt;150 caracteres",""),IF(H214="","Falta categoría",IF(COUNTIF(CategoriasLista,H214)=0,"Categoría inválida","")),IF(M214="","Falta precio compra",IF(OR(NOT(ISNUMBER(M214)),M214&lt;0),"Precio compra inválido","")),IF(N214="","Falta precio venta",IF(OR(NOT(ISNUMBER(N214)),N214&lt;=0,N214&lt;M214),"Precio venta inválido","")),IF(O214="","Falta stock mínimo",IF(OR(NOT(ISNUMBER(O214)),O214&lt;0,MOD(O214,1)&lt;&gt;0),"Stock mínimo inválido","")),IF(P214="","Falta unidad",IF(COUNTIF(UnidadesLista,P214)=0,"Unidad inválida","")),IF(AND(K214&lt;&gt;"",COUNTIF(ProveedoresLista,K214)=0),"Proveedor no catalogado",""),IF(X214="","Falta cantidad contada",IF(OR(NOT(ISNUMBER(X214)),X214&lt;0,ABS(X214*1000-ROUND(X214*1000,0))&gt;0.0000001),"Cantidad inválida",IF(AND(Q214="NO",MOD(X214,1)&lt;&gt;0),"Cantidad fraccionaria no permitida",""))),IF(AND(R214="SI",OR(NOT(ISNUMBER(S214)),S214&lt;1,MOD(S214,1)&lt;&gt;0)),"Empaque inválido",""),IF(OR(AND(AF214="",AG214="ESCANEADO"),AND(AF214&lt;&gt;"",AG214&lt;&gt;"ESCANEADO")),"Barcode/estado inconsistente",""),IF(AK214&lt;&gt;"",AK214,"")))</f>
        <v/>
      </c>
      <c r="AJ214" s="21" t="n"/>
      <c r="AK214" s="17">
        <f>IF(G214="","",IF(OR(COUNTIFS($G$5:$G$445,G214,$I$5:$I$445,I214,$J$5:$J$445,J214,$P$5:$P$445,P214)&gt;1,AND(AF214&lt;&gt;"",COUNTIF($AF$5:$AF$445,AF214)&gt;1)),"REVISAR_POSIBLE_DUPLICADO",""))</f>
        <v/>
      </c>
    </row>
    <row r="215">
      <c r="A215" s="17" t="inlineStr">
        <is>
          <t>10f4f614-a4f9-5013-a245-a9f1089136b7</t>
        </is>
      </c>
      <c r="B215" s="18" t="inlineStr">
        <is>
          <t>NUEVO</t>
        </is>
      </c>
      <c r="C215" s="18" t="inlineStr">
        <is>
          <t>ACTIVO</t>
        </is>
      </c>
      <c r="D215" s="18" t="n"/>
      <c r="E215" s="17" t="n"/>
      <c r="F215" s="17" t="n"/>
      <c r="G215" s="19" t="n"/>
      <c r="H215" s="19" t="n"/>
      <c r="I215" s="20" t="n"/>
      <c r="J215" s="20" t="n"/>
      <c r="K215" s="21" t="n"/>
      <c r="L215" s="18" t="n"/>
      <c r="M215" s="22" t="n"/>
      <c r="N215" s="22" t="n"/>
      <c r="O215" s="23" t="n">
        <v>10</v>
      </c>
      <c r="P215" s="24" t="inlineStr">
        <is>
          <t>UNIDAD</t>
        </is>
      </c>
      <c r="Q215" s="20" t="inlineStr">
        <is>
          <t>NO</t>
        </is>
      </c>
      <c r="R215" s="20" t="inlineStr">
        <is>
          <t>NO</t>
        </is>
      </c>
      <c r="S215" s="25" t="n">
        <v>1</v>
      </c>
      <c r="T215" s="20" t="inlineStr">
        <is>
          <t>NO</t>
        </is>
      </c>
      <c r="U215" s="20" t="n"/>
      <c r="V215" s="21" t="n"/>
      <c r="W215" s="26" t="n"/>
      <c r="X215" s="27" t="n"/>
      <c r="Y215" s="20" t="n"/>
      <c r="Z215" s="20" t="n"/>
      <c r="AA215" s="26">
        <f>IF(X215="","",X215-IF(W215="",0,W215))</f>
        <v/>
      </c>
      <c r="AB215" s="28">
        <f>IF(OR(X215="",M215=""),"",X215*M215)</f>
        <v/>
      </c>
      <c r="AC215" s="28">
        <f>IF(OR(X215="",N215=""),"",X215*N215)</f>
        <v/>
      </c>
      <c r="AD215" s="28">
        <f>IF(OR(M215="",N215=""),"",N215-M215)</f>
        <v/>
      </c>
      <c r="AE215" s="29">
        <f>IFERROR(IF(M215&gt;0,(N215-M215)/M215,""),"")</f>
        <v/>
      </c>
      <c r="AF215" s="30" t="n"/>
      <c r="AG215" s="30" t="inlineStr">
        <is>
          <t>PENDIENTE</t>
        </is>
      </c>
      <c r="AH215" s="18">
        <f>IF(NOT(OR(B215="EXISTENTE",COUNTA(G215,H215,I215,J215,K215,M215,N215,U215,V215,X215,Y215,Z215,AF215,AJ215)&gt;0)),"",IF(AK215&lt;&gt;"","REVISAR",IF(OR(G215="",H215="",M215="",N215="",O215="",P215="",X215=""),"INCOMPLETO",IF(AI215&lt;&gt;"","REVISAR",IF(AND(AF215&lt;&gt;"",AG215="ESCANEADO"),"LISTO_COMPLETO","LISTO_SIN_BARCODE")))))</f>
        <v/>
      </c>
      <c r="AI215" s="17">
        <f>IF(NOT(OR(B215="EXISTENTE",COUNTA(G215,H215,I215,J215,K215,M215,N215,U215,V215,X215,Y215,Z215,AF215,AJ215)&gt;0)),"",TEXTJOIN(" | ",TRUE,IF(A215="","Falta ID staging",""),IF(COUNTIF($A$5:$A$445,A215)&gt;1,"ID staging duplicado",""),IF(G215="","Falta nombre",""),IF(LEN(G215)&gt;150,"Nombre &gt;150 caracteres",""),IF(H215="","Falta categoría",IF(COUNTIF(CategoriasLista,H215)=0,"Categoría inválida","")),IF(M215="","Falta precio compra",IF(OR(NOT(ISNUMBER(M215)),M215&lt;0),"Precio compra inválido","")),IF(N215="","Falta precio venta",IF(OR(NOT(ISNUMBER(N215)),N215&lt;=0,N215&lt;M215),"Precio venta inválido","")),IF(O215="","Falta stock mínimo",IF(OR(NOT(ISNUMBER(O215)),O215&lt;0,MOD(O215,1)&lt;&gt;0),"Stock mínimo inválido","")),IF(P215="","Falta unidad",IF(COUNTIF(UnidadesLista,P215)=0,"Unidad inválida","")),IF(AND(K215&lt;&gt;"",COUNTIF(ProveedoresLista,K215)=0),"Proveedor no catalogado",""),IF(X215="","Falta cantidad contada",IF(OR(NOT(ISNUMBER(X215)),X215&lt;0,ABS(X215*1000-ROUND(X215*1000,0))&gt;0.0000001),"Cantidad inválida",IF(AND(Q215="NO",MOD(X215,1)&lt;&gt;0),"Cantidad fraccionaria no permitida",""))),IF(AND(R215="SI",OR(NOT(ISNUMBER(S215)),S215&lt;1,MOD(S215,1)&lt;&gt;0)),"Empaque inválido",""),IF(OR(AND(AF215="",AG215="ESCANEADO"),AND(AF215&lt;&gt;"",AG215&lt;&gt;"ESCANEADO")),"Barcode/estado inconsistente",""),IF(AK215&lt;&gt;"",AK215,"")))</f>
        <v/>
      </c>
      <c r="AJ215" s="21" t="n"/>
      <c r="AK215" s="17">
        <f>IF(G215="","",IF(OR(COUNTIFS($G$5:$G$445,G215,$I$5:$I$445,I215,$J$5:$J$445,J215,$P$5:$P$445,P215)&gt;1,AND(AF215&lt;&gt;"",COUNTIF($AF$5:$AF$445,AF215)&gt;1)),"REVISAR_POSIBLE_DUPLICADO",""))</f>
        <v/>
      </c>
    </row>
    <row r="216">
      <c r="A216" s="17" t="inlineStr">
        <is>
          <t>790d454d-e87c-56a7-8be5-9ccee79b1365</t>
        </is>
      </c>
      <c r="B216" s="18" t="inlineStr">
        <is>
          <t>NUEVO</t>
        </is>
      </c>
      <c r="C216" s="18" t="inlineStr">
        <is>
          <t>ACTIVO</t>
        </is>
      </c>
      <c r="D216" s="18" t="n"/>
      <c r="E216" s="17" t="n"/>
      <c r="F216" s="17" t="n"/>
      <c r="G216" s="19" t="n"/>
      <c r="H216" s="19" t="n"/>
      <c r="I216" s="20" t="n"/>
      <c r="J216" s="20" t="n"/>
      <c r="K216" s="21" t="n"/>
      <c r="L216" s="18" t="n"/>
      <c r="M216" s="22" t="n"/>
      <c r="N216" s="22" t="n"/>
      <c r="O216" s="23" t="n">
        <v>10</v>
      </c>
      <c r="P216" s="24" t="inlineStr">
        <is>
          <t>UNIDAD</t>
        </is>
      </c>
      <c r="Q216" s="20" t="inlineStr">
        <is>
          <t>NO</t>
        </is>
      </c>
      <c r="R216" s="20" t="inlineStr">
        <is>
          <t>NO</t>
        </is>
      </c>
      <c r="S216" s="25" t="n">
        <v>1</v>
      </c>
      <c r="T216" s="20" t="inlineStr">
        <is>
          <t>NO</t>
        </is>
      </c>
      <c r="U216" s="20" t="n"/>
      <c r="V216" s="21" t="n"/>
      <c r="W216" s="26" t="n"/>
      <c r="X216" s="27" t="n"/>
      <c r="Y216" s="20" t="n"/>
      <c r="Z216" s="20" t="n"/>
      <c r="AA216" s="26">
        <f>IF(X216="","",X216-IF(W216="",0,W216))</f>
        <v/>
      </c>
      <c r="AB216" s="28">
        <f>IF(OR(X216="",M216=""),"",X216*M216)</f>
        <v/>
      </c>
      <c r="AC216" s="28">
        <f>IF(OR(X216="",N216=""),"",X216*N216)</f>
        <v/>
      </c>
      <c r="AD216" s="28">
        <f>IF(OR(M216="",N216=""),"",N216-M216)</f>
        <v/>
      </c>
      <c r="AE216" s="29">
        <f>IFERROR(IF(M216&gt;0,(N216-M216)/M216,""),"")</f>
        <v/>
      </c>
      <c r="AF216" s="30" t="n"/>
      <c r="AG216" s="30" t="inlineStr">
        <is>
          <t>PENDIENTE</t>
        </is>
      </c>
      <c r="AH216" s="18">
        <f>IF(NOT(OR(B216="EXISTENTE",COUNTA(G216,H216,I216,J216,K216,M216,N216,U216,V216,X216,Y216,Z216,AF216,AJ216)&gt;0)),"",IF(AK216&lt;&gt;"","REVISAR",IF(OR(G216="",H216="",M216="",N216="",O216="",P216="",X216=""),"INCOMPLETO",IF(AI216&lt;&gt;"","REVISAR",IF(AND(AF216&lt;&gt;"",AG216="ESCANEADO"),"LISTO_COMPLETO","LISTO_SIN_BARCODE")))))</f>
        <v/>
      </c>
      <c r="AI216" s="17">
        <f>IF(NOT(OR(B216="EXISTENTE",COUNTA(G216,H216,I216,J216,K216,M216,N216,U216,V216,X216,Y216,Z216,AF216,AJ216)&gt;0)),"",TEXTJOIN(" | ",TRUE,IF(A216="","Falta ID staging",""),IF(COUNTIF($A$5:$A$445,A216)&gt;1,"ID staging duplicado",""),IF(G216="","Falta nombre",""),IF(LEN(G216)&gt;150,"Nombre &gt;150 caracteres",""),IF(H216="","Falta categoría",IF(COUNTIF(CategoriasLista,H216)=0,"Categoría inválida","")),IF(M216="","Falta precio compra",IF(OR(NOT(ISNUMBER(M216)),M216&lt;0),"Precio compra inválido","")),IF(N216="","Falta precio venta",IF(OR(NOT(ISNUMBER(N216)),N216&lt;=0,N216&lt;M216),"Precio venta inválido","")),IF(O216="","Falta stock mínimo",IF(OR(NOT(ISNUMBER(O216)),O216&lt;0,MOD(O216,1)&lt;&gt;0),"Stock mínimo inválido","")),IF(P216="","Falta unidad",IF(COUNTIF(UnidadesLista,P216)=0,"Unidad inválida","")),IF(AND(K216&lt;&gt;"",COUNTIF(ProveedoresLista,K216)=0),"Proveedor no catalogado",""),IF(X216="","Falta cantidad contada",IF(OR(NOT(ISNUMBER(X216)),X216&lt;0,ABS(X216*1000-ROUND(X216*1000,0))&gt;0.0000001),"Cantidad inválida",IF(AND(Q216="NO",MOD(X216,1)&lt;&gt;0),"Cantidad fraccionaria no permitida",""))),IF(AND(R216="SI",OR(NOT(ISNUMBER(S216)),S216&lt;1,MOD(S216,1)&lt;&gt;0)),"Empaque inválido",""),IF(OR(AND(AF216="",AG216="ESCANEADO"),AND(AF216&lt;&gt;"",AG216&lt;&gt;"ESCANEADO")),"Barcode/estado inconsistente",""),IF(AK216&lt;&gt;"",AK216,"")))</f>
        <v/>
      </c>
      <c r="AJ216" s="21" t="n"/>
      <c r="AK216" s="17">
        <f>IF(G216="","",IF(OR(COUNTIFS($G$5:$G$445,G216,$I$5:$I$445,I216,$J$5:$J$445,J216,$P$5:$P$445,P216)&gt;1,AND(AF216&lt;&gt;"",COUNTIF($AF$5:$AF$445,AF216)&gt;1)),"REVISAR_POSIBLE_DUPLICADO",""))</f>
        <v/>
      </c>
    </row>
    <row r="217">
      <c r="A217" s="17" t="inlineStr">
        <is>
          <t>88508262-1a52-530b-8a4d-99ca8143f8ab</t>
        </is>
      </c>
      <c r="B217" s="18" t="inlineStr">
        <is>
          <t>NUEVO</t>
        </is>
      </c>
      <c r="C217" s="18" t="inlineStr">
        <is>
          <t>ACTIVO</t>
        </is>
      </c>
      <c r="D217" s="18" t="n"/>
      <c r="E217" s="17" t="n"/>
      <c r="F217" s="17" t="n"/>
      <c r="G217" s="19" t="n"/>
      <c r="H217" s="19" t="n"/>
      <c r="I217" s="20" t="n"/>
      <c r="J217" s="20" t="n"/>
      <c r="K217" s="21" t="n"/>
      <c r="L217" s="18" t="n"/>
      <c r="M217" s="22" t="n"/>
      <c r="N217" s="22" t="n"/>
      <c r="O217" s="23" t="n">
        <v>10</v>
      </c>
      <c r="P217" s="24" t="inlineStr">
        <is>
          <t>UNIDAD</t>
        </is>
      </c>
      <c r="Q217" s="20" t="inlineStr">
        <is>
          <t>NO</t>
        </is>
      </c>
      <c r="R217" s="20" t="inlineStr">
        <is>
          <t>NO</t>
        </is>
      </c>
      <c r="S217" s="25" t="n">
        <v>1</v>
      </c>
      <c r="T217" s="20" t="inlineStr">
        <is>
          <t>NO</t>
        </is>
      </c>
      <c r="U217" s="20" t="n"/>
      <c r="V217" s="21" t="n"/>
      <c r="W217" s="26" t="n"/>
      <c r="X217" s="27" t="n"/>
      <c r="Y217" s="20" t="n"/>
      <c r="Z217" s="20" t="n"/>
      <c r="AA217" s="26">
        <f>IF(X217="","",X217-IF(W217="",0,W217))</f>
        <v/>
      </c>
      <c r="AB217" s="28">
        <f>IF(OR(X217="",M217=""),"",X217*M217)</f>
        <v/>
      </c>
      <c r="AC217" s="28">
        <f>IF(OR(X217="",N217=""),"",X217*N217)</f>
        <v/>
      </c>
      <c r="AD217" s="28">
        <f>IF(OR(M217="",N217=""),"",N217-M217)</f>
        <v/>
      </c>
      <c r="AE217" s="29">
        <f>IFERROR(IF(M217&gt;0,(N217-M217)/M217,""),"")</f>
        <v/>
      </c>
      <c r="AF217" s="30" t="n"/>
      <c r="AG217" s="30" t="inlineStr">
        <is>
          <t>PENDIENTE</t>
        </is>
      </c>
      <c r="AH217" s="18">
        <f>IF(NOT(OR(B217="EXISTENTE",COUNTA(G217,H217,I217,J217,K217,M217,N217,U217,V217,X217,Y217,Z217,AF217,AJ217)&gt;0)),"",IF(AK217&lt;&gt;"","REVISAR",IF(OR(G217="",H217="",M217="",N217="",O217="",P217="",X217=""),"INCOMPLETO",IF(AI217&lt;&gt;"","REVISAR",IF(AND(AF217&lt;&gt;"",AG217="ESCANEADO"),"LISTO_COMPLETO","LISTO_SIN_BARCODE")))))</f>
        <v/>
      </c>
      <c r="AI217" s="17">
        <f>IF(NOT(OR(B217="EXISTENTE",COUNTA(G217,H217,I217,J217,K217,M217,N217,U217,V217,X217,Y217,Z217,AF217,AJ217)&gt;0)),"",TEXTJOIN(" | ",TRUE,IF(A217="","Falta ID staging",""),IF(COUNTIF($A$5:$A$445,A217)&gt;1,"ID staging duplicado",""),IF(G217="","Falta nombre",""),IF(LEN(G217)&gt;150,"Nombre &gt;150 caracteres",""),IF(H217="","Falta categoría",IF(COUNTIF(CategoriasLista,H217)=0,"Categoría inválida","")),IF(M217="","Falta precio compra",IF(OR(NOT(ISNUMBER(M217)),M217&lt;0),"Precio compra inválido","")),IF(N217="","Falta precio venta",IF(OR(NOT(ISNUMBER(N217)),N217&lt;=0,N217&lt;M217),"Precio venta inválido","")),IF(O217="","Falta stock mínimo",IF(OR(NOT(ISNUMBER(O217)),O217&lt;0,MOD(O217,1)&lt;&gt;0),"Stock mínimo inválido","")),IF(P217="","Falta unidad",IF(COUNTIF(UnidadesLista,P217)=0,"Unidad inválida","")),IF(AND(K217&lt;&gt;"",COUNTIF(ProveedoresLista,K217)=0),"Proveedor no catalogado",""),IF(X217="","Falta cantidad contada",IF(OR(NOT(ISNUMBER(X217)),X217&lt;0,ABS(X217*1000-ROUND(X217*1000,0))&gt;0.0000001),"Cantidad inválida",IF(AND(Q217="NO",MOD(X217,1)&lt;&gt;0),"Cantidad fraccionaria no permitida",""))),IF(AND(R217="SI",OR(NOT(ISNUMBER(S217)),S217&lt;1,MOD(S217,1)&lt;&gt;0)),"Empaque inválido",""),IF(OR(AND(AF217="",AG217="ESCANEADO"),AND(AF217&lt;&gt;"",AG217&lt;&gt;"ESCANEADO")),"Barcode/estado inconsistente",""),IF(AK217&lt;&gt;"",AK217,"")))</f>
        <v/>
      </c>
      <c r="AJ217" s="21" t="n"/>
      <c r="AK217" s="17">
        <f>IF(G217="","",IF(OR(COUNTIFS($G$5:$G$445,G217,$I$5:$I$445,I217,$J$5:$J$445,J217,$P$5:$P$445,P217)&gt;1,AND(AF217&lt;&gt;"",COUNTIF($AF$5:$AF$445,AF217)&gt;1)),"REVISAR_POSIBLE_DUPLICADO",""))</f>
        <v/>
      </c>
    </row>
    <row r="218">
      <c r="A218" s="17" t="inlineStr">
        <is>
          <t>6b8b1fc9-650c-5b83-81b3-4ae46eee8605</t>
        </is>
      </c>
      <c r="B218" s="18" t="inlineStr">
        <is>
          <t>NUEVO</t>
        </is>
      </c>
      <c r="C218" s="18" t="inlineStr">
        <is>
          <t>ACTIVO</t>
        </is>
      </c>
      <c r="D218" s="18" t="n"/>
      <c r="E218" s="17" t="n"/>
      <c r="F218" s="17" t="n"/>
      <c r="G218" s="19" t="n"/>
      <c r="H218" s="19" t="n"/>
      <c r="I218" s="20" t="n"/>
      <c r="J218" s="20" t="n"/>
      <c r="K218" s="21" t="n"/>
      <c r="L218" s="18" t="n"/>
      <c r="M218" s="22" t="n"/>
      <c r="N218" s="22" t="n"/>
      <c r="O218" s="23" t="n">
        <v>10</v>
      </c>
      <c r="P218" s="24" t="inlineStr">
        <is>
          <t>UNIDAD</t>
        </is>
      </c>
      <c r="Q218" s="20" t="inlineStr">
        <is>
          <t>NO</t>
        </is>
      </c>
      <c r="R218" s="20" t="inlineStr">
        <is>
          <t>NO</t>
        </is>
      </c>
      <c r="S218" s="25" t="n">
        <v>1</v>
      </c>
      <c r="T218" s="20" t="inlineStr">
        <is>
          <t>NO</t>
        </is>
      </c>
      <c r="U218" s="20" t="n"/>
      <c r="V218" s="21" t="n"/>
      <c r="W218" s="26" t="n"/>
      <c r="X218" s="27" t="n"/>
      <c r="Y218" s="20" t="n"/>
      <c r="Z218" s="20" t="n"/>
      <c r="AA218" s="26">
        <f>IF(X218="","",X218-IF(W218="",0,W218))</f>
        <v/>
      </c>
      <c r="AB218" s="28">
        <f>IF(OR(X218="",M218=""),"",X218*M218)</f>
        <v/>
      </c>
      <c r="AC218" s="28">
        <f>IF(OR(X218="",N218=""),"",X218*N218)</f>
        <v/>
      </c>
      <c r="AD218" s="28">
        <f>IF(OR(M218="",N218=""),"",N218-M218)</f>
        <v/>
      </c>
      <c r="AE218" s="29">
        <f>IFERROR(IF(M218&gt;0,(N218-M218)/M218,""),"")</f>
        <v/>
      </c>
      <c r="AF218" s="30" t="n"/>
      <c r="AG218" s="30" t="inlineStr">
        <is>
          <t>PENDIENTE</t>
        </is>
      </c>
      <c r="AH218" s="18">
        <f>IF(NOT(OR(B218="EXISTENTE",COUNTA(G218,H218,I218,J218,K218,M218,N218,U218,V218,X218,Y218,Z218,AF218,AJ218)&gt;0)),"",IF(AK218&lt;&gt;"","REVISAR",IF(OR(G218="",H218="",M218="",N218="",O218="",P218="",X218=""),"INCOMPLETO",IF(AI218&lt;&gt;"","REVISAR",IF(AND(AF218&lt;&gt;"",AG218="ESCANEADO"),"LISTO_COMPLETO","LISTO_SIN_BARCODE")))))</f>
        <v/>
      </c>
      <c r="AI218" s="17">
        <f>IF(NOT(OR(B218="EXISTENTE",COUNTA(G218,H218,I218,J218,K218,M218,N218,U218,V218,X218,Y218,Z218,AF218,AJ218)&gt;0)),"",TEXTJOIN(" | ",TRUE,IF(A218="","Falta ID staging",""),IF(COUNTIF($A$5:$A$445,A218)&gt;1,"ID staging duplicado",""),IF(G218="","Falta nombre",""),IF(LEN(G218)&gt;150,"Nombre &gt;150 caracteres",""),IF(H218="","Falta categoría",IF(COUNTIF(CategoriasLista,H218)=0,"Categoría inválida","")),IF(M218="","Falta precio compra",IF(OR(NOT(ISNUMBER(M218)),M218&lt;0),"Precio compra inválido","")),IF(N218="","Falta precio venta",IF(OR(NOT(ISNUMBER(N218)),N218&lt;=0,N218&lt;M218),"Precio venta inválido","")),IF(O218="","Falta stock mínimo",IF(OR(NOT(ISNUMBER(O218)),O218&lt;0,MOD(O218,1)&lt;&gt;0),"Stock mínimo inválido","")),IF(P218="","Falta unidad",IF(COUNTIF(UnidadesLista,P218)=0,"Unidad inválida","")),IF(AND(K218&lt;&gt;"",COUNTIF(ProveedoresLista,K218)=0),"Proveedor no catalogado",""),IF(X218="","Falta cantidad contada",IF(OR(NOT(ISNUMBER(X218)),X218&lt;0,ABS(X218*1000-ROUND(X218*1000,0))&gt;0.0000001),"Cantidad inválida",IF(AND(Q218="NO",MOD(X218,1)&lt;&gt;0),"Cantidad fraccionaria no permitida",""))),IF(AND(R218="SI",OR(NOT(ISNUMBER(S218)),S218&lt;1,MOD(S218,1)&lt;&gt;0)),"Empaque inválido",""),IF(OR(AND(AF218="",AG218="ESCANEADO"),AND(AF218&lt;&gt;"",AG218&lt;&gt;"ESCANEADO")),"Barcode/estado inconsistente",""),IF(AK218&lt;&gt;"",AK218,"")))</f>
        <v/>
      </c>
      <c r="AJ218" s="21" t="n"/>
      <c r="AK218" s="17">
        <f>IF(G218="","",IF(OR(COUNTIFS($G$5:$G$445,G218,$I$5:$I$445,I218,$J$5:$J$445,J218,$P$5:$P$445,P218)&gt;1,AND(AF218&lt;&gt;"",COUNTIF($AF$5:$AF$445,AF218)&gt;1)),"REVISAR_POSIBLE_DUPLICADO",""))</f>
        <v/>
      </c>
    </row>
    <row r="219">
      <c r="A219" s="17" t="inlineStr">
        <is>
          <t>c94709aa-d1d0-55d2-aed0-ee04a1ebcf3f</t>
        </is>
      </c>
      <c r="B219" s="18" t="inlineStr">
        <is>
          <t>NUEVO</t>
        </is>
      </c>
      <c r="C219" s="18" t="inlineStr">
        <is>
          <t>ACTIVO</t>
        </is>
      </c>
      <c r="D219" s="18" t="n"/>
      <c r="E219" s="17" t="n"/>
      <c r="F219" s="17" t="n"/>
      <c r="G219" s="19" t="n"/>
      <c r="H219" s="19" t="n"/>
      <c r="I219" s="20" t="n"/>
      <c r="J219" s="20" t="n"/>
      <c r="K219" s="21" t="n"/>
      <c r="L219" s="18" t="n"/>
      <c r="M219" s="22" t="n"/>
      <c r="N219" s="22" t="n"/>
      <c r="O219" s="23" t="n">
        <v>10</v>
      </c>
      <c r="P219" s="24" t="inlineStr">
        <is>
          <t>UNIDAD</t>
        </is>
      </c>
      <c r="Q219" s="20" t="inlineStr">
        <is>
          <t>NO</t>
        </is>
      </c>
      <c r="R219" s="20" t="inlineStr">
        <is>
          <t>NO</t>
        </is>
      </c>
      <c r="S219" s="25" t="n">
        <v>1</v>
      </c>
      <c r="T219" s="20" t="inlineStr">
        <is>
          <t>NO</t>
        </is>
      </c>
      <c r="U219" s="20" t="n"/>
      <c r="V219" s="21" t="n"/>
      <c r="W219" s="26" t="n"/>
      <c r="X219" s="27" t="n"/>
      <c r="Y219" s="20" t="n"/>
      <c r="Z219" s="20" t="n"/>
      <c r="AA219" s="26">
        <f>IF(X219="","",X219-IF(W219="",0,W219))</f>
        <v/>
      </c>
      <c r="AB219" s="28">
        <f>IF(OR(X219="",M219=""),"",X219*M219)</f>
        <v/>
      </c>
      <c r="AC219" s="28">
        <f>IF(OR(X219="",N219=""),"",X219*N219)</f>
        <v/>
      </c>
      <c r="AD219" s="28">
        <f>IF(OR(M219="",N219=""),"",N219-M219)</f>
        <v/>
      </c>
      <c r="AE219" s="29">
        <f>IFERROR(IF(M219&gt;0,(N219-M219)/M219,""),"")</f>
        <v/>
      </c>
      <c r="AF219" s="30" t="n"/>
      <c r="AG219" s="30" t="inlineStr">
        <is>
          <t>PENDIENTE</t>
        </is>
      </c>
      <c r="AH219" s="18">
        <f>IF(NOT(OR(B219="EXISTENTE",COUNTA(G219,H219,I219,J219,K219,M219,N219,U219,V219,X219,Y219,Z219,AF219,AJ219)&gt;0)),"",IF(AK219&lt;&gt;"","REVISAR",IF(OR(G219="",H219="",M219="",N219="",O219="",P219="",X219=""),"INCOMPLETO",IF(AI219&lt;&gt;"","REVISAR",IF(AND(AF219&lt;&gt;"",AG219="ESCANEADO"),"LISTO_COMPLETO","LISTO_SIN_BARCODE")))))</f>
        <v/>
      </c>
      <c r="AI219" s="17">
        <f>IF(NOT(OR(B219="EXISTENTE",COUNTA(G219,H219,I219,J219,K219,M219,N219,U219,V219,X219,Y219,Z219,AF219,AJ219)&gt;0)),"",TEXTJOIN(" | ",TRUE,IF(A219="","Falta ID staging",""),IF(COUNTIF($A$5:$A$445,A219)&gt;1,"ID staging duplicado",""),IF(G219="","Falta nombre",""),IF(LEN(G219)&gt;150,"Nombre &gt;150 caracteres",""),IF(H219="","Falta categoría",IF(COUNTIF(CategoriasLista,H219)=0,"Categoría inválida","")),IF(M219="","Falta precio compra",IF(OR(NOT(ISNUMBER(M219)),M219&lt;0),"Precio compra inválido","")),IF(N219="","Falta precio venta",IF(OR(NOT(ISNUMBER(N219)),N219&lt;=0,N219&lt;M219),"Precio venta inválido","")),IF(O219="","Falta stock mínimo",IF(OR(NOT(ISNUMBER(O219)),O219&lt;0,MOD(O219,1)&lt;&gt;0),"Stock mínimo inválido","")),IF(P219="","Falta unidad",IF(COUNTIF(UnidadesLista,P219)=0,"Unidad inválida","")),IF(AND(K219&lt;&gt;"",COUNTIF(ProveedoresLista,K219)=0),"Proveedor no catalogado",""),IF(X219="","Falta cantidad contada",IF(OR(NOT(ISNUMBER(X219)),X219&lt;0,ABS(X219*1000-ROUND(X219*1000,0))&gt;0.0000001),"Cantidad inválida",IF(AND(Q219="NO",MOD(X219,1)&lt;&gt;0),"Cantidad fraccionaria no permitida",""))),IF(AND(R219="SI",OR(NOT(ISNUMBER(S219)),S219&lt;1,MOD(S219,1)&lt;&gt;0)),"Empaque inválido",""),IF(OR(AND(AF219="",AG219="ESCANEADO"),AND(AF219&lt;&gt;"",AG219&lt;&gt;"ESCANEADO")),"Barcode/estado inconsistente",""),IF(AK219&lt;&gt;"",AK219,"")))</f>
        <v/>
      </c>
      <c r="AJ219" s="21" t="n"/>
      <c r="AK219" s="17">
        <f>IF(G219="","",IF(OR(COUNTIFS($G$5:$G$445,G219,$I$5:$I$445,I219,$J$5:$J$445,J219,$P$5:$P$445,P219)&gt;1,AND(AF219&lt;&gt;"",COUNTIF($AF$5:$AF$445,AF219)&gt;1)),"REVISAR_POSIBLE_DUPLICADO",""))</f>
        <v/>
      </c>
    </row>
    <row r="220">
      <c r="A220" s="17" t="inlineStr">
        <is>
          <t>dc1f8282-d83a-564d-bc76-5024ca259adc</t>
        </is>
      </c>
      <c r="B220" s="18" t="inlineStr">
        <is>
          <t>NUEVO</t>
        </is>
      </c>
      <c r="C220" s="18" t="inlineStr">
        <is>
          <t>ACTIVO</t>
        </is>
      </c>
      <c r="D220" s="18" t="n"/>
      <c r="E220" s="17" t="n"/>
      <c r="F220" s="17" t="n"/>
      <c r="G220" s="19" t="n"/>
      <c r="H220" s="19" t="n"/>
      <c r="I220" s="20" t="n"/>
      <c r="J220" s="20" t="n"/>
      <c r="K220" s="21" t="n"/>
      <c r="L220" s="18" t="n"/>
      <c r="M220" s="22" t="n"/>
      <c r="N220" s="22" t="n"/>
      <c r="O220" s="23" t="n">
        <v>10</v>
      </c>
      <c r="P220" s="24" t="inlineStr">
        <is>
          <t>UNIDAD</t>
        </is>
      </c>
      <c r="Q220" s="20" t="inlineStr">
        <is>
          <t>NO</t>
        </is>
      </c>
      <c r="R220" s="20" t="inlineStr">
        <is>
          <t>NO</t>
        </is>
      </c>
      <c r="S220" s="25" t="n">
        <v>1</v>
      </c>
      <c r="T220" s="20" t="inlineStr">
        <is>
          <t>NO</t>
        </is>
      </c>
      <c r="U220" s="20" t="n"/>
      <c r="V220" s="21" t="n"/>
      <c r="W220" s="26" t="n"/>
      <c r="X220" s="27" t="n"/>
      <c r="Y220" s="20" t="n"/>
      <c r="Z220" s="20" t="n"/>
      <c r="AA220" s="26">
        <f>IF(X220="","",X220-IF(W220="",0,W220))</f>
        <v/>
      </c>
      <c r="AB220" s="28">
        <f>IF(OR(X220="",M220=""),"",X220*M220)</f>
        <v/>
      </c>
      <c r="AC220" s="28">
        <f>IF(OR(X220="",N220=""),"",X220*N220)</f>
        <v/>
      </c>
      <c r="AD220" s="28">
        <f>IF(OR(M220="",N220=""),"",N220-M220)</f>
        <v/>
      </c>
      <c r="AE220" s="29">
        <f>IFERROR(IF(M220&gt;0,(N220-M220)/M220,""),"")</f>
        <v/>
      </c>
      <c r="AF220" s="30" t="n"/>
      <c r="AG220" s="30" t="inlineStr">
        <is>
          <t>PENDIENTE</t>
        </is>
      </c>
      <c r="AH220" s="18">
        <f>IF(NOT(OR(B220="EXISTENTE",COUNTA(G220,H220,I220,J220,K220,M220,N220,U220,V220,X220,Y220,Z220,AF220,AJ220)&gt;0)),"",IF(AK220&lt;&gt;"","REVISAR",IF(OR(G220="",H220="",M220="",N220="",O220="",P220="",X220=""),"INCOMPLETO",IF(AI220&lt;&gt;"","REVISAR",IF(AND(AF220&lt;&gt;"",AG220="ESCANEADO"),"LISTO_COMPLETO","LISTO_SIN_BARCODE")))))</f>
        <v/>
      </c>
      <c r="AI220" s="17">
        <f>IF(NOT(OR(B220="EXISTENTE",COUNTA(G220,H220,I220,J220,K220,M220,N220,U220,V220,X220,Y220,Z220,AF220,AJ220)&gt;0)),"",TEXTJOIN(" | ",TRUE,IF(A220="","Falta ID staging",""),IF(COUNTIF($A$5:$A$445,A220)&gt;1,"ID staging duplicado",""),IF(G220="","Falta nombre",""),IF(LEN(G220)&gt;150,"Nombre &gt;150 caracteres",""),IF(H220="","Falta categoría",IF(COUNTIF(CategoriasLista,H220)=0,"Categoría inválida","")),IF(M220="","Falta precio compra",IF(OR(NOT(ISNUMBER(M220)),M220&lt;0),"Precio compra inválido","")),IF(N220="","Falta precio venta",IF(OR(NOT(ISNUMBER(N220)),N220&lt;=0,N220&lt;M220),"Precio venta inválido","")),IF(O220="","Falta stock mínimo",IF(OR(NOT(ISNUMBER(O220)),O220&lt;0,MOD(O220,1)&lt;&gt;0),"Stock mínimo inválido","")),IF(P220="","Falta unidad",IF(COUNTIF(UnidadesLista,P220)=0,"Unidad inválida","")),IF(AND(K220&lt;&gt;"",COUNTIF(ProveedoresLista,K220)=0),"Proveedor no catalogado",""),IF(X220="","Falta cantidad contada",IF(OR(NOT(ISNUMBER(X220)),X220&lt;0,ABS(X220*1000-ROUND(X220*1000,0))&gt;0.0000001),"Cantidad inválida",IF(AND(Q220="NO",MOD(X220,1)&lt;&gt;0),"Cantidad fraccionaria no permitida",""))),IF(AND(R220="SI",OR(NOT(ISNUMBER(S220)),S220&lt;1,MOD(S220,1)&lt;&gt;0)),"Empaque inválido",""),IF(OR(AND(AF220="",AG220="ESCANEADO"),AND(AF220&lt;&gt;"",AG220&lt;&gt;"ESCANEADO")),"Barcode/estado inconsistente",""),IF(AK220&lt;&gt;"",AK220,"")))</f>
        <v/>
      </c>
      <c r="AJ220" s="21" t="n"/>
      <c r="AK220" s="17">
        <f>IF(G220="","",IF(OR(COUNTIFS($G$5:$G$445,G220,$I$5:$I$445,I220,$J$5:$J$445,J220,$P$5:$P$445,P220)&gt;1,AND(AF220&lt;&gt;"",COUNTIF($AF$5:$AF$445,AF220)&gt;1)),"REVISAR_POSIBLE_DUPLICADO",""))</f>
        <v/>
      </c>
    </row>
    <row r="221">
      <c r="A221" s="17" t="inlineStr">
        <is>
          <t>86dd4dce-3c1e-5191-ba3e-53e6a38ccc21</t>
        </is>
      </c>
      <c r="B221" s="18" t="inlineStr">
        <is>
          <t>NUEVO</t>
        </is>
      </c>
      <c r="C221" s="18" t="inlineStr">
        <is>
          <t>ACTIVO</t>
        </is>
      </c>
      <c r="D221" s="18" t="n"/>
      <c r="E221" s="17" t="n"/>
      <c r="F221" s="17" t="n"/>
      <c r="G221" s="19" t="n"/>
      <c r="H221" s="19" t="n"/>
      <c r="I221" s="20" t="n"/>
      <c r="J221" s="20" t="n"/>
      <c r="K221" s="21" t="n"/>
      <c r="L221" s="18" t="n"/>
      <c r="M221" s="22" t="n"/>
      <c r="N221" s="22" t="n"/>
      <c r="O221" s="23" t="n">
        <v>10</v>
      </c>
      <c r="P221" s="24" t="inlineStr">
        <is>
          <t>UNIDAD</t>
        </is>
      </c>
      <c r="Q221" s="20" t="inlineStr">
        <is>
          <t>NO</t>
        </is>
      </c>
      <c r="R221" s="20" t="inlineStr">
        <is>
          <t>NO</t>
        </is>
      </c>
      <c r="S221" s="25" t="n">
        <v>1</v>
      </c>
      <c r="T221" s="20" t="inlineStr">
        <is>
          <t>NO</t>
        </is>
      </c>
      <c r="U221" s="20" t="n"/>
      <c r="V221" s="21" t="n"/>
      <c r="W221" s="26" t="n"/>
      <c r="X221" s="27" t="n"/>
      <c r="Y221" s="20" t="n"/>
      <c r="Z221" s="20" t="n"/>
      <c r="AA221" s="26">
        <f>IF(X221="","",X221-IF(W221="",0,W221))</f>
        <v/>
      </c>
      <c r="AB221" s="28">
        <f>IF(OR(X221="",M221=""),"",X221*M221)</f>
        <v/>
      </c>
      <c r="AC221" s="28">
        <f>IF(OR(X221="",N221=""),"",X221*N221)</f>
        <v/>
      </c>
      <c r="AD221" s="28">
        <f>IF(OR(M221="",N221=""),"",N221-M221)</f>
        <v/>
      </c>
      <c r="AE221" s="29">
        <f>IFERROR(IF(M221&gt;0,(N221-M221)/M221,""),"")</f>
        <v/>
      </c>
      <c r="AF221" s="30" t="n"/>
      <c r="AG221" s="30" t="inlineStr">
        <is>
          <t>PENDIENTE</t>
        </is>
      </c>
      <c r="AH221" s="18">
        <f>IF(NOT(OR(B221="EXISTENTE",COUNTA(G221,H221,I221,J221,K221,M221,N221,U221,V221,X221,Y221,Z221,AF221,AJ221)&gt;0)),"",IF(AK221&lt;&gt;"","REVISAR",IF(OR(G221="",H221="",M221="",N221="",O221="",P221="",X221=""),"INCOMPLETO",IF(AI221&lt;&gt;"","REVISAR",IF(AND(AF221&lt;&gt;"",AG221="ESCANEADO"),"LISTO_COMPLETO","LISTO_SIN_BARCODE")))))</f>
        <v/>
      </c>
      <c r="AI221" s="17">
        <f>IF(NOT(OR(B221="EXISTENTE",COUNTA(G221,H221,I221,J221,K221,M221,N221,U221,V221,X221,Y221,Z221,AF221,AJ221)&gt;0)),"",TEXTJOIN(" | ",TRUE,IF(A221="","Falta ID staging",""),IF(COUNTIF($A$5:$A$445,A221)&gt;1,"ID staging duplicado",""),IF(G221="","Falta nombre",""),IF(LEN(G221)&gt;150,"Nombre &gt;150 caracteres",""),IF(H221="","Falta categoría",IF(COUNTIF(CategoriasLista,H221)=0,"Categoría inválida","")),IF(M221="","Falta precio compra",IF(OR(NOT(ISNUMBER(M221)),M221&lt;0),"Precio compra inválido","")),IF(N221="","Falta precio venta",IF(OR(NOT(ISNUMBER(N221)),N221&lt;=0,N221&lt;M221),"Precio venta inválido","")),IF(O221="","Falta stock mínimo",IF(OR(NOT(ISNUMBER(O221)),O221&lt;0,MOD(O221,1)&lt;&gt;0),"Stock mínimo inválido","")),IF(P221="","Falta unidad",IF(COUNTIF(UnidadesLista,P221)=0,"Unidad inválida","")),IF(AND(K221&lt;&gt;"",COUNTIF(ProveedoresLista,K221)=0),"Proveedor no catalogado",""),IF(X221="","Falta cantidad contada",IF(OR(NOT(ISNUMBER(X221)),X221&lt;0,ABS(X221*1000-ROUND(X221*1000,0))&gt;0.0000001),"Cantidad inválida",IF(AND(Q221="NO",MOD(X221,1)&lt;&gt;0),"Cantidad fraccionaria no permitida",""))),IF(AND(R221="SI",OR(NOT(ISNUMBER(S221)),S221&lt;1,MOD(S221,1)&lt;&gt;0)),"Empaque inválido",""),IF(OR(AND(AF221="",AG221="ESCANEADO"),AND(AF221&lt;&gt;"",AG221&lt;&gt;"ESCANEADO")),"Barcode/estado inconsistente",""),IF(AK221&lt;&gt;"",AK221,"")))</f>
        <v/>
      </c>
      <c r="AJ221" s="21" t="n"/>
      <c r="AK221" s="17">
        <f>IF(G221="","",IF(OR(COUNTIFS($G$5:$G$445,G221,$I$5:$I$445,I221,$J$5:$J$445,J221,$P$5:$P$445,P221)&gt;1,AND(AF221&lt;&gt;"",COUNTIF($AF$5:$AF$445,AF221)&gt;1)),"REVISAR_POSIBLE_DUPLICADO",""))</f>
        <v/>
      </c>
    </row>
    <row r="222">
      <c r="A222" s="17" t="inlineStr">
        <is>
          <t>8b8c17ac-cba7-5a3c-b761-226519332be7</t>
        </is>
      </c>
      <c r="B222" s="18" t="inlineStr">
        <is>
          <t>NUEVO</t>
        </is>
      </c>
      <c r="C222" s="18" t="inlineStr">
        <is>
          <t>ACTIVO</t>
        </is>
      </c>
      <c r="D222" s="18" t="n"/>
      <c r="E222" s="17" t="n"/>
      <c r="F222" s="17" t="n"/>
      <c r="G222" s="19" t="n"/>
      <c r="H222" s="19" t="n"/>
      <c r="I222" s="20" t="n"/>
      <c r="J222" s="20" t="n"/>
      <c r="K222" s="21" t="n"/>
      <c r="L222" s="18" t="n"/>
      <c r="M222" s="22" t="n"/>
      <c r="N222" s="22" t="n"/>
      <c r="O222" s="23" t="n">
        <v>10</v>
      </c>
      <c r="P222" s="24" t="inlineStr">
        <is>
          <t>UNIDAD</t>
        </is>
      </c>
      <c r="Q222" s="20" t="inlineStr">
        <is>
          <t>NO</t>
        </is>
      </c>
      <c r="R222" s="20" t="inlineStr">
        <is>
          <t>NO</t>
        </is>
      </c>
      <c r="S222" s="25" t="n">
        <v>1</v>
      </c>
      <c r="T222" s="20" t="inlineStr">
        <is>
          <t>NO</t>
        </is>
      </c>
      <c r="U222" s="20" t="n"/>
      <c r="V222" s="21" t="n"/>
      <c r="W222" s="26" t="n"/>
      <c r="X222" s="27" t="n"/>
      <c r="Y222" s="20" t="n"/>
      <c r="Z222" s="20" t="n"/>
      <c r="AA222" s="26">
        <f>IF(X222="","",X222-IF(W222="",0,W222))</f>
        <v/>
      </c>
      <c r="AB222" s="28">
        <f>IF(OR(X222="",M222=""),"",X222*M222)</f>
        <v/>
      </c>
      <c r="AC222" s="28">
        <f>IF(OR(X222="",N222=""),"",X222*N222)</f>
        <v/>
      </c>
      <c r="AD222" s="28">
        <f>IF(OR(M222="",N222=""),"",N222-M222)</f>
        <v/>
      </c>
      <c r="AE222" s="29">
        <f>IFERROR(IF(M222&gt;0,(N222-M222)/M222,""),"")</f>
        <v/>
      </c>
      <c r="AF222" s="30" t="n"/>
      <c r="AG222" s="30" t="inlineStr">
        <is>
          <t>PENDIENTE</t>
        </is>
      </c>
      <c r="AH222" s="18">
        <f>IF(NOT(OR(B222="EXISTENTE",COUNTA(G222,H222,I222,J222,K222,M222,N222,U222,V222,X222,Y222,Z222,AF222,AJ222)&gt;0)),"",IF(AK222&lt;&gt;"","REVISAR",IF(OR(G222="",H222="",M222="",N222="",O222="",P222="",X222=""),"INCOMPLETO",IF(AI222&lt;&gt;"","REVISAR",IF(AND(AF222&lt;&gt;"",AG222="ESCANEADO"),"LISTO_COMPLETO","LISTO_SIN_BARCODE")))))</f>
        <v/>
      </c>
      <c r="AI222" s="17">
        <f>IF(NOT(OR(B222="EXISTENTE",COUNTA(G222,H222,I222,J222,K222,M222,N222,U222,V222,X222,Y222,Z222,AF222,AJ222)&gt;0)),"",TEXTJOIN(" | ",TRUE,IF(A222="","Falta ID staging",""),IF(COUNTIF($A$5:$A$445,A222)&gt;1,"ID staging duplicado",""),IF(G222="","Falta nombre",""),IF(LEN(G222)&gt;150,"Nombre &gt;150 caracteres",""),IF(H222="","Falta categoría",IF(COUNTIF(CategoriasLista,H222)=0,"Categoría inválida","")),IF(M222="","Falta precio compra",IF(OR(NOT(ISNUMBER(M222)),M222&lt;0),"Precio compra inválido","")),IF(N222="","Falta precio venta",IF(OR(NOT(ISNUMBER(N222)),N222&lt;=0,N222&lt;M222),"Precio venta inválido","")),IF(O222="","Falta stock mínimo",IF(OR(NOT(ISNUMBER(O222)),O222&lt;0,MOD(O222,1)&lt;&gt;0),"Stock mínimo inválido","")),IF(P222="","Falta unidad",IF(COUNTIF(UnidadesLista,P222)=0,"Unidad inválida","")),IF(AND(K222&lt;&gt;"",COUNTIF(ProveedoresLista,K222)=0),"Proveedor no catalogado",""),IF(X222="","Falta cantidad contada",IF(OR(NOT(ISNUMBER(X222)),X222&lt;0,ABS(X222*1000-ROUND(X222*1000,0))&gt;0.0000001),"Cantidad inválida",IF(AND(Q222="NO",MOD(X222,1)&lt;&gt;0),"Cantidad fraccionaria no permitida",""))),IF(AND(R222="SI",OR(NOT(ISNUMBER(S222)),S222&lt;1,MOD(S222,1)&lt;&gt;0)),"Empaque inválido",""),IF(OR(AND(AF222="",AG222="ESCANEADO"),AND(AF222&lt;&gt;"",AG222&lt;&gt;"ESCANEADO")),"Barcode/estado inconsistente",""),IF(AK222&lt;&gt;"",AK222,"")))</f>
        <v/>
      </c>
      <c r="AJ222" s="21" t="n"/>
      <c r="AK222" s="17">
        <f>IF(G222="","",IF(OR(COUNTIFS($G$5:$G$445,G222,$I$5:$I$445,I222,$J$5:$J$445,J222,$P$5:$P$445,P222)&gt;1,AND(AF222&lt;&gt;"",COUNTIF($AF$5:$AF$445,AF222)&gt;1)),"REVISAR_POSIBLE_DUPLICADO",""))</f>
        <v/>
      </c>
    </row>
    <row r="223">
      <c r="A223" s="17" t="inlineStr">
        <is>
          <t>63e898de-debc-5493-b16a-cc49f5a781c3</t>
        </is>
      </c>
      <c r="B223" s="18" t="inlineStr">
        <is>
          <t>NUEVO</t>
        </is>
      </c>
      <c r="C223" s="18" t="inlineStr">
        <is>
          <t>ACTIVO</t>
        </is>
      </c>
      <c r="D223" s="18" t="n"/>
      <c r="E223" s="17" t="n"/>
      <c r="F223" s="17" t="n"/>
      <c r="G223" s="19" t="n"/>
      <c r="H223" s="19" t="n"/>
      <c r="I223" s="20" t="n"/>
      <c r="J223" s="20" t="n"/>
      <c r="K223" s="21" t="n"/>
      <c r="L223" s="18" t="n"/>
      <c r="M223" s="22" t="n"/>
      <c r="N223" s="22" t="n"/>
      <c r="O223" s="23" t="n">
        <v>10</v>
      </c>
      <c r="P223" s="24" t="inlineStr">
        <is>
          <t>UNIDAD</t>
        </is>
      </c>
      <c r="Q223" s="20" t="inlineStr">
        <is>
          <t>NO</t>
        </is>
      </c>
      <c r="R223" s="20" t="inlineStr">
        <is>
          <t>NO</t>
        </is>
      </c>
      <c r="S223" s="25" t="n">
        <v>1</v>
      </c>
      <c r="T223" s="20" t="inlineStr">
        <is>
          <t>NO</t>
        </is>
      </c>
      <c r="U223" s="20" t="n"/>
      <c r="V223" s="21" t="n"/>
      <c r="W223" s="26" t="n"/>
      <c r="X223" s="27" t="n"/>
      <c r="Y223" s="20" t="n"/>
      <c r="Z223" s="20" t="n"/>
      <c r="AA223" s="26">
        <f>IF(X223="","",X223-IF(W223="",0,W223))</f>
        <v/>
      </c>
      <c r="AB223" s="28">
        <f>IF(OR(X223="",M223=""),"",X223*M223)</f>
        <v/>
      </c>
      <c r="AC223" s="28">
        <f>IF(OR(X223="",N223=""),"",X223*N223)</f>
        <v/>
      </c>
      <c r="AD223" s="28">
        <f>IF(OR(M223="",N223=""),"",N223-M223)</f>
        <v/>
      </c>
      <c r="AE223" s="29">
        <f>IFERROR(IF(M223&gt;0,(N223-M223)/M223,""),"")</f>
        <v/>
      </c>
      <c r="AF223" s="30" t="n"/>
      <c r="AG223" s="30" t="inlineStr">
        <is>
          <t>PENDIENTE</t>
        </is>
      </c>
      <c r="AH223" s="18">
        <f>IF(NOT(OR(B223="EXISTENTE",COUNTA(G223,H223,I223,J223,K223,M223,N223,U223,V223,X223,Y223,Z223,AF223,AJ223)&gt;0)),"",IF(AK223&lt;&gt;"","REVISAR",IF(OR(G223="",H223="",M223="",N223="",O223="",P223="",X223=""),"INCOMPLETO",IF(AI223&lt;&gt;"","REVISAR",IF(AND(AF223&lt;&gt;"",AG223="ESCANEADO"),"LISTO_COMPLETO","LISTO_SIN_BARCODE")))))</f>
        <v/>
      </c>
      <c r="AI223" s="17">
        <f>IF(NOT(OR(B223="EXISTENTE",COUNTA(G223,H223,I223,J223,K223,M223,N223,U223,V223,X223,Y223,Z223,AF223,AJ223)&gt;0)),"",TEXTJOIN(" | ",TRUE,IF(A223="","Falta ID staging",""),IF(COUNTIF($A$5:$A$445,A223)&gt;1,"ID staging duplicado",""),IF(G223="","Falta nombre",""),IF(LEN(G223)&gt;150,"Nombre &gt;150 caracteres",""),IF(H223="","Falta categoría",IF(COUNTIF(CategoriasLista,H223)=0,"Categoría inválida","")),IF(M223="","Falta precio compra",IF(OR(NOT(ISNUMBER(M223)),M223&lt;0),"Precio compra inválido","")),IF(N223="","Falta precio venta",IF(OR(NOT(ISNUMBER(N223)),N223&lt;=0,N223&lt;M223),"Precio venta inválido","")),IF(O223="","Falta stock mínimo",IF(OR(NOT(ISNUMBER(O223)),O223&lt;0,MOD(O223,1)&lt;&gt;0),"Stock mínimo inválido","")),IF(P223="","Falta unidad",IF(COUNTIF(UnidadesLista,P223)=0,"Unidad inválida","")),IF(AND(K223&lt;&gt;"",COUNTIF(ProveedoresLista,K223)=0),"Proveedor no catalogado",""),IF(X223="","Falta cantidad contada",IF(OR(NOT(ISNUMBER(X223)),X223&lt;0,ABS(X223*1000-ROUND(X223*1000,0))&gt;0.0000001),"Cantidad inválida",IF(AND(Q223="NO",MOD(X223,1)&lt;&gt;0),"Cantidad fraccionaria no permitida",""))),IF(AND(R223="SI",OR(NOT(ISNUMBER(S223)),S223&lt;1,MOD(S223,1)&lt;&gt;0)),"Empaque inválido",""),IF(OR(AND(AF223="",AG223="ESCANEADO"),AND(AF223&lt;&gt;"",AG223&lt;&gt;"ESCANEADO")),"Barcode/estado inconsistente",""),IF(AK223&lt;&gt;"",AK223,"")))</f>
        <v/>
      </c>
      <c r="AJ223" s="21" t="n"/>
      <c r="AK223" s="17">
        <f>IF(G223="","",IF(OR(COUNTIFS($G$5:$G$445,G223,$I$5:$I$445,I223,$J$5:$J$445,J223,$P$5:$P$445,P223)&gt;1,AND(AF223&lt;&gt;"",COUNTIF($AF$5:$AF$445,AF223)&gt;1)),"REVISAR_POSIBLE_DUPLICADO",""))</f>
        <v/>
      </c>
    </row>
    <row r="224">
      <c r="A224" s="17" t="inlineStr">
        <is>
          <t>247422b4-32d8-5535-85cd-6e229c7c66c3</t>
        </is>
      </c>
      <c r="B224" s="18" t="inlineStr">
        <is>
          <t>NUEVO</t>
        </is>
      </c>
      <c r="C224" s="18" t="inlineStr">
        <is>
          <t>ACTIVO</t>
        </is>
      </c>
      <c r="D224" s="18" t="n"/>
      <c r="E224" s="17" t="n"/>
      <c r="F224" s="17" t="n"/>
      <c r="G224" s="19" t="n"/>
      <c r="H224" s="19" t="n"/>
      <c r="I224" s="20" t="n"/>
      <c r="J224" s="20" t="n"/>
      <c r="K224" s="21" t="n"/>
      <c r="L224" s="18" t="n"/>
      <c r="M224" s="22" t="n"/>
      <c r="N224" s="22" t="n"/>
      <c r="O224" s="23" t="n">
        <v>10</v>
      </c>
      <c r="P224" s="24" t="inlineStr">
        <is>
          <t>UNIDAD</t>
        </is>
      </c>
      <c r="Q224" s="20" t="inlineStr">
        <is>
          <t>NO</t>
        </is>
      </c>
      <c r="R224" s="20" t="inlineStr">
        <is>
          <t>NO</t>
        </is>
      </c>
      <c r="S224" s="25" t="n">
        <v>1</v>
      </c>
      <c r="T224" s="20" t="inlineStr">
        <is>
          <t>NO</t>
        </is>
      </c>
      <c r="U224" s="20" t="n"/>
      <c r="V224" s="21" t="n"/>
      <c r="W224" s="26" t="n"/>
      <c r="X224" s="27" t="n"/>
      <c r="Y224" s="20" t="n"/>
      <c r="Z224" s="20" t="n"/>
      <c r="AA224" s="26">
        <f>IF(X224="","",X224-IF(W224="",0,W224))</f>
        <v/>
      </c>
      <c r="AB224" s="28">
        <f>IF(OR(X224="",M224=""),"",X224*M224)</f>
        <v/>
      </c>
      <c r="AC224" s="28">
        <f>IF(OR(X224="",N224=""),"",X224*N224)</f>
        <v/>
      </c>
      <c r="AD224" s="28">
        <f>IF(OR(M224="",N224=""),"",N224-M224)</f>
        <v/>
      </c>
      <c r="AE224" s="29">
        <f>IFERROR(IF(M224&gt;0,(N224-M224)/M224,""),"")</f>
        <v/>
      </c>
      <c r="AF224" s="30" t="n"/>
      <c r="AG224" s="30" t="inlineStr">
        <is>
          <t>PENDIENTE</t>
        </is>
      </c>
      <c r="AH224" s="18">
        <f>IF(NOT(OR(B224="EXISTENTE",COUNTA(G224,H224,I224,J224,K224,M224,N224,U224,V224,X224,Y224,Z224,AF224,AJ224)&gt;0)),"",IF(AK224&lt;&gt;"","REVISAR",IF(OR(G224="",H224="",M224="",N224="",O224="",P224="",X224=""),"INCOMPLETO",IF(AI224&lt;&gt;"","REVISAR",IF(AND(AF224&lt;&gt;"",AG224="ESCANEADO"),"LISTO_COMPLETO","LISTO_SIN_BARCODE")))))</f>
        <v/>
      </c>
      <c r="AI224" s="17">
        <f>IF(NOT(OR(B224="EXISTENTE",COUNTA(G224,H224,I224,J224,K224,M224,N224,U224,V224,X224,Y224,Z224,AF224,AJ224)&gt;0)),"",TEXTJOIN(" | ",TRUE,IF(A224="","Falta ID staging",""),IF(COUNTIF($A$5:$A$445,A224)&gt;1,"ID staging duplicado",""),IF(G224="","Falta nombre",""),IF(LEN(G224)&gt;150,"Nombre &gt;150 caracteres",""),IF(H224="","Falta categoría",IF(COUNTIF(CategoriasLista,H224)=0,"Categoría inválida","")),IF(M224="","Falta precio compra",IF(OR(NOT(ISNUMBER(M224)),M224&lt;0),"Precio compra inválido","")),IF(N224="","Falta precio venta",IF(OR(NOT(ISNUMBER(N224)),N224&lt;=0,N224&lt;M224),"Precio venta inválido","")),IF(O224="","Falta stock mínimo",IF(OR(NOT(ISNUMBER(O224)),O224&lt;0,MOD(O224,1)&lt;&gt;0),"Stock mínimo inválido","")),IF(P224="","Falta unidad",IF(COUNTIF(UnidadesLista,P224)=0,"Unidad inválida","")),IF(AND(K224&lt;&gt;"",COUNTIF(ProveedoresLista,K224)=0),"Proveedor no catalogado",""),IF(X224="","Falta cantidad contada",IF(OR(NOT(ISNUMBER(X224)),X224&lt;0,ABS(X224*1000-ROUND(X224*1000,0))&gt;0.0000001),"Cantidad inválida",IF(AND(Q224="NO",MOD(X224,1)&lt;&gt;0),"Cantidad fraccionaria no permitida",""))),IF(AND(R224="SI",OR(NOT(ISNUMBER(S224)),S224&lt;1,MOD(S224,1)&lt;&gt;0)),"Empaque inválido",""),IF(OR(AND(AF224="",AG224="ESCANEADO"),AND(AF224&lt;&gt;"",AG224&lt;&gt;"ESCANEADO")),"Barcode/estado inconsistente",""),IF(AK224&lt;&gt;"",AK224,"")))</f>
        <v/>
      </c>
      <c r="AJ224" s="21" t="n"/>
      <c r="AK224" s="17">
        <f>IF(G224="","",IF(OR(COUNTIFS($G$5:$G$445,G224,$I$5:$I$445,I224,$J$5:$J$445,J224,$P$5:$P$445,P224)&gt;1,AND(AF224&lt;&gt;"",COUNTIF($AF$5:$AF$445,AF224)&gt;1)),"REVISAR_POSIBLE_DUPLICADO",""))</f>
        <v/>
      </c>
    </row>
    <row r="225">
      <c r="A225" s="17" t="inlineStr">
        <is>
          <t>099e41e9-fa71-5dd8-ba35-e69813dbad3f</t>
        </is>
      </c>
      <c r="B225" s="18" t="inlineStr">
        <is>
          <t>NUEVO</t>
        </is>
      </c>
      <c r="C225" s="18" t="inlineStr">
        <is>
          <t>ACTIVO</t>
        </is>
      </c>
      <c r="D225" s="18" t="n"/>
      <c r="E225" s="17" t="n"/>
      <c r="F225" s="17" t="n"/>
      <c r="G225" s="19" t="n"/>
      <c r="H225" s="19" t="n"/>
      <c r="I225" s="20" t="n"/>
      <c r="J225" s="20" t="n"/>
      <c r="K225" s="21" t="n"/>
      <c r="L225" s="18" t="n"/>
      <c r="M225" s="22" t="n"/>
      <c r="N225" s="22" t="n"/>
      <c r="O225" s="23" t="n">
        <v>10</v>
      </c>
      <c r="P225" s="24" t="inlineStr">
        <is>
          <t>UNIDAD</t>
        </is>
      </c>
      <c r="Q225" s="20" t="inlineStr">
        <is>
          <t>NO</t>
        </is>
      </c>
      <c r="R225" s="20" t="inlineStr">
        <is>
          <t>NO</t>
        </is>
      </c>
      <c r="S225" s="25" t="n">
        <v>1</v>
      </c>
      <c r="T225" s="20" t="inlineStr">
        <is>
          <t>NO</t>
        </is>
      </c>
      <c r="U225" s="20" t="n"/>
      <c r="V225" s="21" t="n"/>
      <c r="W225" s="26" t="n"/>
      <c r="X225" s="27" t="n"/>
      <c r="Y225" s="20" t="n"/>
      <c r="Z225" s="20" t="n"/>
      <c r="AA225" s="26">
        <f>IF(X225="","",X225-IF(W225="",0,W225))</f>
        <v/>
      </c>
      <c r="AB225" s="28">
        <f>IF(OR(X225="",M225=""),"",X225*M225)</f>
        <v/>
      </c>
      <c r="AC225" s="28">
        <f>IF(OR(X225="",N225=""),"",X225*N225)</f>
        <v/>
      </c>
      <c r="AD225" s="28">
        <f>IF(OR(M225="",N225=""),"",N225-M225)</f>
        <v/>
      </c>
      <c r="AE225" s="29">
        <f>IFERROR(IF(M225&gt;0,(N225-M225)/M225,""),"")</f>
        <v/>
      </c>
      <c r="AF225" s="30" t="n"/>
      <c r="AG225" s="30" t="inlineStr">
        <is>
          <t>PENDIENTE</t>
        </is>
      </c>
      <c r="AH225" s="18">
        <f>IF(NOT(OR(B225="EXISTENTE",COUNTA(G225,H225,I225,J225,K225,M225,N225,U225,V225,X225,Y225,Z225,AF225,AJ225)&gt;0)),"",IF(AK225&lt;&gt;"","REVISAR",IF(OR(G225="",H225="",M225="",N225="",O225="",P225="",X225=""),"INCOMPLETO",IF(AI225&lt;&gt;"","REVISAR",IF(AND(AF225&lt;&gt;"",AG225="ESCANEADO"),"LISTO_COMPLETO","LISTO_SIN_BARCODE")))))</f>
        <v/>
      </c>
      <c r="AI225" s="17">
        <f>IF(NOT(OR(B225="EXISTENTE",COUNTA(G225,H225,I225,J225,K225,M225,N225,U225,V225,X225,Y225,Z225,AF225,AJ225)&gt;0)),"",TEXTJOIN(" | ",TRUE,IF(A225="","Falta ID staging",""),IF(COUNTIF($A$5:$A$445,A225)&gt;1,"ID staging duplicado",""),IF(G225="","Falta nombre",""),IF(LEN(G225)&gt;150,"Nombre &gt;150 caracteres",""),IF(H225="","Falta categoría",IF(COUNTIF(CategoriasLista,H225)=0,"Categoría inválida","")),IF(M225="","Falta precio compra",IF(OR(NOT(ISNUMBER(M225)),M225&lt;0),"Precio compra inválido","")),IF(N225="","Falta precio venta",IF(OR(NOT(ISNUMBER(N225)),N225&lt;=0,N225&lt;M225),"Precio venta inválido","")),IF(O225="","Falta stock mínimo",IF(OR(NOT(ISNUMBER(O225)),O225&lt;0,MOD(O225,1)&lt;&gt;0),"Stock mínimo inválido","")),IF(P225="","Falta unidad",IF(COUNTIF(UnidadesLista,P225)=0,"Unidad inválida","")),IF(AND(K225&lt;&gt;"",COUNTIF(ProveedoresLista,K225)=0),"Proveedor no catalogado",""),IF(X225="","Falta cantidad contada",IF(OR(NOT(ISNUMBER(X225)),X225&lt;0,ABS(X225*1000-ROUND(X225*1000,0))&gt;0.0000001),"Cantidad inválida",IF(AND(Q225="NO",MOD(X225,1)&lt;&gt;0),"Cantidad fraccionaria no permitida",""))),IF(AND(R225="SI",OR(NOT(ISNUMBER(S225)),S225&lt;1,MOD(S225,1)&lt;&gt;0)),"Empaque inválido",""),IF(OR(AND(AF225="",AG225="ESCANEADO"),AND(AF225&lt;&gt;"",AG225&lt;&gt;"ESCANEADO")),"Barcode/estado inconsistente",""),IF(AK225&lt;&gt;"",AK225,"")))</f>
        <v/>
      </c>
      <c r="AJ225" s="21" t="n"/>
      <c r="AK225" s="17">
        <f>IF(G225="","",IF(OR(COUNTIFS($G$5:$G$445,G225,$I$5:$I$445,I225,$J$5:$J$445,J225,$P$5:$P$445,P225)&gt;1,AND(AF225&lt;&gt;"",COUNTIF($AF$5:$AF$445,AF225)&gt;1)),"REVISAR_POSIBLE_DUPLICADO",""))</f>
        <v/>
      </c>
    </row>
    <row r="226">
      <c r="A226" s="17" t="inlineStr">
        <is>
          <t>4194f9c0-df41-5800-994e-d6c83c414f5a</t>
        </is>
      </c>
      <c r="B226" s="18" t="inlineStr">
        <is>
          <t>NUEVO</t>
        </is>
      </c>
      <c r="C226" s="18" t="inlineStr">
        <is>
          <t>ACTIVO</t>
        </is>
      </c>
      <c r="D226" s="18" t="n"/>
      <c r="E226" s="17" t="n"/>
      <c r="F226" s="17" t="n"/>
      <c r="G226" s="19" t="n"/>
      <c r="H226" s="19" t="n"/>
      <c r="I226" s="20" t="n"/>
      <c r="J226" s="20" t="n"/>
      <c r="K226" s="21" t="n"/>
      <c r="L226" s="18" t="n"/>
      <c r="M226" s="22" t="n"/>
      <c r="N226" s="22" t="n"/>
      <c r="O226" s="23" t="n">
        <v>10</v>
      </c>
      <c r="P226" s="24" t="inlineStr">
        <is>
          <t>UNIDAD</t>
        </is>
      </c>
      <c r="Q226" s="20" t="inlineStr">
        <is>
          <t>NO</t>
        </is>
      </c>
      <c r="R226" s="20" t="inlineStr">
        <is>
          <t>NO</t>
        </is>
      </c>
      <c r="S226" s="25" t="n">
        <v>1</v>
      </c>
      <c r="T226" s="20" t="inlineStr">
        <is>
          <t>NO</t>
        </is>
      </c>
      <c r="U226" s="20" t="n"/>
      <c r="V226" s="21" t="n"/>
      <c r="W226" s="26" t="n"/>
      <c r="X226" s="27" t="n"/>
      <c r="Y226" s="20" t="n"/>
      <c r="Z226" s="20" t="n"/>
      <c r="AA226" s="26">
        <f>IF(X226="","",X226-IF(W226="",0,W226))</f>
        <v/>
      </c>
      <c r="AB226" s="28">
        <f>IF(OR(X226="",M226=""),"",X226*M226)</f>
        <v/>
      </c>
      <c r="AC226" s="28">
        <f>IF(OR(X226="",N226=""),"",X226*N226)</f>
        <v/>
      </c>
      <c r="AD226" s="28">
        <f>IF(OR(M226="",N226=""),"",N226-M226)</f>
        <v/>
      </c>
      <c r="AE226" s="29">
        <f>IFERROR(IF(M226&gt;0,(N226-M226)/M226,""),"")</f>
        <v/>
      </c>
      <c r="AF226" s="30" t="n"/>
      <c r="AG226" s="30" t="inlineStr">
        <is>
          <t>PENDIENTE</t>
        </is>
      </c>
      <c r="AH226" s="18">
        <f>IF(NOT(OR(B226="EXISTENTE",COUNTA(G226,H226,I226,J226,K226,M226,N226,U226,V226,X226,Y226,Z226,AF226,AJ226)&gt;0)),"",IF(AK226&lt;&gt;"","REVISAR",IF(OR(G226="",H226="",M226="",N226="",O226="",P226="",X226=""),"INCOMPLETO",IF(AI226&lt;&gt;"","REVISAR",IF(AND(AF226&lt;&gt;"",AG226="ESCANEADO"),"LISTO_COMPLETO","LISTO_SIN_BARCODE")))))</f>
        <v/>
      </c>
      <c r="AI226" s="17">
        <f>IF(NOT(OR(B226="EXISTENTE",COUNTA(G226,H226,I226,J226,K226,M226,N226,U226,V226,X226,Y226,Z226,AF226,AJ226)&gt;0)),"",TEXTJOIN(" | ",TRUE,IF(A226="","Falta ID staging",""),IF(COUNTIF($A$5:$A$445,A226)&gt;1,"ID staging duplicado",""),IF(G226="","Falta nombre",""),IF(LEN(G226)&gt;150,"Nombre &gt;150 caracteres",""),IF(H226="","Falta categoría",IF(COUNTIF(CategoriasLista,H226)=0,"Categoría inválida","")),IF(M226="","Falta precio compra",IF(OR(NOT(ISNUMBER(M226)),M226&lt;0),"Precio compra inválido","")),IF(N226="","Falta precio venta",IF(OR(NOT(ISNUMBER(N226)),N226&lt;=0,N226&lt;M226),"Precio venta inválido","")),IF(O226="","Falta stock mínimo",IF(OR(NOT(ISNUMBER(O226)),O226&lt;0,MOD(O226,1)&lt;&gt;0),"Stock mínimo inválido","")),IF(P226="","Falta unidad",IF(COUNTIF(UnidadesLista,P226)=0,"Unidad inválida","")),IF(AND(K226&lt;&gt;"",COUNTIF(ProveedoresLista,K226)=0),"Proveedor no catalogado",""),IF(X226="","Falta cantidad contada",IF(OR(NOT(ISNUMBER(X226)),X226&lt;0,ABS(X226*1000-ROUND(X226*1000,0))&gt;0.0000001),"Cantidad inválida",IF(AND(Q226="NO",MOD(X226,1)&lt;&gt;0),"Cantidad fraccionaria no permitida",""))),IF(AND(R226="SI",OR(NOT(ISNUMBER(S226)),S226&lt;1,MOD(S226,1)&lt;&gt;0)),"Empaque inválido",""),IF(OR(AND(AF226="",AG226="ESCANEADO"),AND(AF226&lt;&gt;"",AG226&lt;&gt;"ESCANEADO")),"Barcode/estado inconsistente",""),IF(AK226&lt;&gt;"",AK226,"")))</f>
        <v/>
      </c>
      <c r="AJ226" s="21" t="n"/>
      <c r="AK226" s="17">
        <f>IF(G226="","",IF(OR(COUNTIFS($G$5:$G$445,G226,$I$5:$I$445,I226,$J$5:$J$445,J226,$P$5:$P$445,P226)&gt;1,AND(AF226&lt;&gt;"",COUNTIF($AF$5:$AF$445,AF226)&gt;1)),"REVISAR_POSIBLE_DUPLICADO",""))</f>
        <v/>
      </c>
    </row>
    <row r="227">
      <c r="A227" s="17" t="inlineStr">
        <is>
          <t>6605bcb2-8172-5cb4-b935-4b8ab859e0cd</t>
        </is>
      </c>
      <c r="B227" s="18" t="inlineStr">
        <is>
          <t>NUEVO</t>
        </is>
      </c>
      <c r="C227" s="18" t="inlineStr">
        <is>
          <t>ACTIVO</t>
        </is>
      </c>
      <c r="D227" s="18" t="n"/>
      <c r="E227" s="17" t="n"/>
      <c r="F227" s="17" t="n"/>
      <c r="G227" s="19" t="n"/>
      <c r="H227" s="19" t="n"/>
      <c r="I227" s="20" t="n"/>
      <c r="J227" s="20" t="n"/>
      <c r="K227" s="21" t="n"/>
      <c r="L227" s="18" t="n"/>
      <c r="M227" s="22" t="n"/>
      <c r="N227" s="22" t="n"/>
      <c r="O227" s="23" t="n">
        <v>10</v>
      </c>
      <c r="P227" s="24" t="inlineStr">
        <is>
          <t>UNIDAD</t>
        </is>
      </c>
      <c r="Q227" s="20" t="inlineStr">
        <is>
          <t>NO</t>
        </is>
      </c>
      <c r="R227" s="20" t="inlineStr">
        <is>
          <t>NO</t>
        </is>
      </c>
      <c r="S227" s="25" t="n">
        <v>1</v>
      </c>
      <c r="T227" s="20" t="inlineStr">
        <is>
          <t>NO</t>
        </is>
      </c>
      <c r="U227" s="20" t="n"/>
      <c r="V227" s="21" t="n"/>
      <c r="W227" s="26" t="n"/>
      <c r="X227" s="27" t="n"/>
      <c r="Y227" s="20" t="n"/>
      <c r="Z227" s="20" t="n"/>
      <c r="AA227" s="26">
        <f>IF(X227="","",X227-IF(W227="",0,W227))</f>
        <v/>
      </c>
      <c r="AB227" s="28">
        <f>IF(OR(X227="",M227=""),"",X227*M227)</f>
        <v/>
      </c>
      <c r="AC227" s="28">
        <f>IF(OR(X227="",N227=""),"",X227*N227)</f>
        <v/>
      </c>
      <c r="AD227" s="28">
        <f>IF(OR(M227="",N227=""),"",N227-M227)</f>
        <v/>
      </c>
      <c r="AE227" s="29">
        <f>IFERROR(IF(M227&gt;0,(N227-M227)/M227,""),"")</f>
        <v/>
      </c>
      <c r="AF227" s="30" t="n"/>
      <c r="AG227" s="30" t="inlineStr">
        <is>
          <t>PENDIENTE</t>
        </is>
      </c>
      <c r="AH227" s="18">
        <f>IF(NOT(OR(B227="EXISTENTE",COUNTA(G227,H227,I227,J227,K227,M227,N227,U227,V227,X227,Y227,Z227,AF227,AJ227)&gt;0)),"",IF(AK227&lt;&gt;"","REVISAR",IF(OR(G227="",H227="",M227="",N227="",O227="",P227="",X227=""),"INCOMPLETO",IF(AI227&lt;&gt;"","REVISAR",IF(AND(AF227&lt;&gt;"",AG227="ESCANEADO"),"LISTO_COMPLETO","LISTO_SIN_BARCODE")))))</f>
        <v/>
      </c>
      <c r="AI227" s="17">
        <f>IF(NOT(OR(B227="EXISTENTE",COUNTA(G227,H227,I227,J227,K227,M227,N227,U227,V227,X227,Y227,Z227,AF227,AJ227)&gt;0)),"",TEXTJOIN(" | ",TRUE,IF(A227="","Falta ID staging",""),IF(COUNTIF($A$5:$A$445,A227)&gt;1,"ID staging duplicado",""),IF(G227="","Falta nombre",""),IF(LEN(G227)&gt;150,"Nombre &gt;150 caracteres",""),IF(H227="","Falta categoría",IF(COUNTIF(CategoriasLista,H227)=0,"Categoría inválida","")),IF(M227="","Falta precio compra",IF(OR(NOT(ISNUMBER(M227)),M227&lt;0),"Precio compra inválido","")),IF(N227="","Falta precio venta",IF(OR(NOT(ISNUMBER(N227)),N227&lt;=0,N227&lt;M227),"Precio venta inválido","")),IF(O227="","Falta stock mínimo",IF(OR(NOT(ISNUMBER(O227)),O227&lt;0,MOD(O227,1)&lt;&gt;0),"Stock mínimo inválido","")),IF(P227="","Falta unidad",IF(COUNTIF(UnidadesLista,P227)=0,"Unidad inválida","")),IF(AND(K227&lt;&gt;"",COUNTIF(ProveedoresLista,K227)=0),"Proveedor no catalogado",""),IF(X227="","Falta cantidad contada",IF(OR(NOT(ISNUMBER(X227)),X227&lt;0,ABS(X227*1000-ROUND(X227*1000,0))&gt;0.0000001),"Cantidad inválida",IF(AND(Q227="NO",MOD(X227,1)&lt;&gt;0),"Cantidad fraccionaria no permitida",""))),IF(AND(R227="SI",OR(NOT(ISNUMBER(S227)),S227&lt;1,MOD(S227,1)&lt;&gt;0)),"Empaque inválido",""),IF(OR(AND(AF227="",AG227="ESCANEADO"),AND(AF227&lt;&gt;"",AG227&lt;&gt;"ESCANEADO")),"Barcode/estado inconsistente",""),IF(AK227&lt;&gt;"",AK227,"")))</f>
        <v/>
      </c>
      <c r="AJ227" s="21" t="n"/>
      <c r="AK227" s="17">
        <f>IF(G227="","",IF(OR(COUNTIFS($G$5:$G$445,G227,$I$5:$I$445,I227,$J$5:$J$445,J227,$P$5:$P$445,P227)&gt;1,AND(AF227&lt;&gt;"",COUNTIF($AF$5:$AF$445,AF227)&gt;1)),"REVISAR_POSIBLE_DUPLICADO",""))</f>
        <v/>
      </c>
    </row>
    <row r="228">
      <c r="A228" s="17" t="inlineStr">
        <is>
          <t>95895aad-2dea-571c-abf7-fa5dd0c2ebf5</t>
        </is>
      </c>
      <c r="B228" s="18" t="inlineStr">
        <is>
          <t>NUEVO</t>
        </is>
      </c>
      <c r="C228" s="18" t="inlineStr">
        <is>
          <t>ACTIVO</t>
        </is>
      </c>
      <c r="D228" s="18" t="n"/>
      <c r="E228" s="17" t="n"/>
      <c r="F228" s="17" t="n"/>
      <c r="G228" s="19" t="n"/>
      <c r="H228" s="19" t="n"/>
      <c r="I228" s="20" t="n"/>
      <c r="J228" s="20" t="n"/>
      <c r="K228" s="21" t="n"/>
      <c r="L228" s="18" t="n"/>
      <c r="M228" s="22" t="n"/>
      <c r="N228" s="22" t="n"/>
      <c r="O228" s="23" t="n">
        <v>10</v>
      </c>
      <c r="P228" s="24" t="inlineStr">
        <is>
          <t>UNIDAD</t>
        </is>
      </c>
      <c r="Q228" s="20" t="inlineStr">
        <is>
          <t>NO</t>
        </is>
      </c>
      <c r="R228" s="20" t="inlineStr">
        <is>
          <t>NO</t>
        </is>
      </c>
      <c r="S228" s="25" t="n">
        <v>1</v>
      </c>
      <c r="T228" s="20" t="inlineStr">
        <is>
          <t>NO</t>
        </is>
      </c>
      <c r="U228" s="20" t="n"/>
      <c r="V228" s="21" t="n"/>
      <c r="W228" s="26" t="n"/>
      <c r="X228" s="27" t="n"/>
      <c r="Y228" s="20" t="n"/>
      <c r="Z228" s="20" t="n"/>
      <c r="AA228" s="26">
        <f>IF(X228="","",X228-IF(W228="",0,W228))</f>
        <v/>
      </c>
      <c r="AB228" s="28">
        <f>IF(OR(X228="",M228=""),"",X228*M228)</f>
        <v/>
      </c>
      <c r="AC228" s="28">
        <f>IF(OR(X228="",N228=""),"",X228*N228)</f>
        <v/>
      </c>
      <c r="AD228" s="28">
        <f>IF(OR(M228="",N228=""),"",N228-M228)</f>
        <v/>
      </c>
      <c r="AE228" s="29">
        <f>IFERROR(IF(M228&gt;0,(N228-M228)/M228,""),"")</f>
        <v/>
      </c>
      <c r="AF228" s="30" t="n"/>
      <c r="AG228" s="30" t="inlineStr">
        <is>
          <t>PENDIENTE</t>
        </is>
      </c>
      <c r="AH228" s="18">
        <f>IF(NOT(OR(B228="EXISTENTE",COUNTA(G228,H228,I228,J228,K228,M228,N228,U228,V228,X228,Y228,Z228,AF228,AJ228)&gt;0)),"",IF(AK228&lt;&gt;"","REVISAR",IF(OR(G228="",H228="",M228="",N228="",O228="",P228="",X228=""),"INCOMPLETO",IF(AI228&lt;&gt;"","REVISAR",IF(AND(AF228&lt;&gt;"",AG228="ESCANEADO"),"LISTO_COMPLETO","LISTO_SIN_BARCODE")))))</f>
        <v/>
      </c>
      <c r="AI228" s="17">
        <f>IF(NOT(OR(B228="EXISTENTE",COUNTA(G228,H228,I228,J228,K228,M228,N228,U228,V228,X228,Y228,Z228,AF228,AJ228)&gt;0)),"",TEXTJOIN(" | ",TRUE,IF(A228="","Falta ID staging",""),IF(COUNTIF($A$5:$A$445,A228)&gt;1,"ID staging duplicado",""),IF(G228="","Falta nombre",""),IF(LEN(G228)&gt;150,"Nombre &gt;150 caracteres",""),IF(H228="","Falta categoría",IF(COUNTIF(CategoriasLista,H228)=0,"Categoría inválida","")),IF(M228="","Falta precio compra",IF(OR(NOT(ISNUMBER(M228)),M228&lt;0),"Precio compra inválido","")),IF(N228="","Falta precio venta",IF(OR(NOT(ISNUMBER(N228)),N228&lt;=0,N228&lt;M228),"Precio venta inválido","")),IF(O228="","Falta stock mínimo",IF(OR(NOT(ISNUMBER(O228)),O228&lt;0,MOD(O228,1)&lt;&gt;0),"Stock mínimo inválido","")),IF(P228="","Falta unidad",IF(COUNTIF(UnidadesLista,P228)=0,"Unidad inválida","")),IF(AND(K228&lt;&gt;"",COUNTIF(ProveedoresLista,K228)=0),"Proveedor no catalogado",""),IF(X228="","Falta cantidad contada",IF(OR(NOT(ISNUMBER(X228)),X228&lt;0,ABS(X228*1000-ROUND(X228*1000,0))&gt;0.0000001),"Cantidad inválida",IF(AND(Q228="NO",MOD(X228,1)&lt;&gt;0),"Cantidad fraccionaria no permitida",""))),IF(AND(R228="SI",OR(NOT(ISNUMBER(S228)),S228&lt;1,MOD(S228,1)&lt;&gt;0)),"Empaque inválido",""),IF(OR(AND(AF228="",AG228="ESCANEADO"),AND(AF228&lt;&gt;"",AG228&lt;&gt;"ESCANEADO")),"Barcode/estado inconsistente",""),IF(AK228&lt;&gt;"",AK228,"")))</f>
        <v/>
      </c>
      <c r="AJ228" s="21" t="n"/>
      <c r="AK228" s="17">
        <f>IF(G228="","",IF(OR(COUNTIFS($G$5:$G$445,G228,$I$5:$I$445,I228,$J$5:$J$445,J228,$P$5:$P$445,P228)&gt;1,AND(AF228&lt;&gt;"",COUNTIF($AF$5:$AF$445,AF228)&gt;1)),"REVISAR_POSIBLE_DUPLICADO",""))</f>
        <v/>
      </c>
    </row>
    <row r="229">
      <c r="A229" s="17" t="inlineStr">
        <is>
          <t>a79ea1be-443e-5a2b-b6af-c77bb4db2a9e</t>
        </is>
      </c>
      <c r="B229" s="18" t="inlineStr">
        <is>
          <t>NUEVO</t>
        </is>
      </c>
      <c r="C229" s="18" t="inlineStr">
        <is>
          <t>ACTIVO</t>
        </is>
      </c>
      <c r="D229" s="18" t="n"/>
      <c r="E229" s="17" t="n"/>
      <c r="F229" s="17" t="n"/>
      <c r="G229" s="19" t="n"/>
      <c r="H229" s="19" t="n"/>
      <c r="I229" s="20" t="n"/>
      <c r="J229" s="20" t="n"/>
      <c r="K229" s="21" t="n"/>
      <c r="L229" s="18" t="n"/>
      <c r="M229" s="22" t="n"/>
      <c r="N229" s="22" t="n"/>
      <c r="O229" s="23" t="n">
        <v>10</v>
      </c>
      <c r="P229" s="24" t="inlineStr">
        <is>
          <t>UNIDAD</t>
        </is>
      </c>
      <c r="Q229" s="20" t="inlineStr">
        <is>
          <t>NO</t>
        </is>
      </c>
      <c r="R229" s="20" t="inlineStr">
        <is>
          <t>NO</t>
        </is>
      </c>
      <c r="S229" s="25" t="n">
        <v>1</v>
      </c>
      <c r="T229" s="20" t="inlineStr">
        <is>
          <t>NO</t>
        </is>
      </c>
      <c r="U229" s="20" t="n"/>
      <c r="V229" s="21" t="n"/>
      <c r="W229" s="26" t="n"/>
      <c r="X229" s="27" t="n"/>
      <c r="Y229" s="20" t="n"/>
      <c r="Z229" s="20" t="n"/>
      <c r="AA229" s="26">
        <f>IF(X229="","",X229-IF(W229="",0,W229))</f>
        <v/>
      </c>
      <c r="AB229" s="28">
        <f>IF(OR(X229="",M229=""),"",X229*M229)</f>
        <v/>
      </c>
      <c r="AC229" s="28">
        <f>IF(OR(X229="",N229=""),"",X229*N229)</f>
        <v/>
      </c>
      <c r="AD229" s="28">
        <f>IF(OR(M229="",N229=""),"",N229-M229)</f>
        <v/>
      </c>
      <c r="AE229" s="29">
        <f>IFERROR(IF(M229&gt;0,(N229-M229)/M229,""),"")</f>
        <v/>
      </c>
      <c r="AF229" s="30" t="n"/>
      <c r="AG229" s="30" t="inlineStr">
        <is>
          <t>PENDIENTE</t>
        </is>
      </c>
      <c r="AH229" s="18">
        <f>IF(NOT(OR(B229="EXISTENTE",COUNTA(G229,H229,I229,J229,K229,M229,N229,U229,V229,X229,Y229,Z229,AF229,AJ229)&gt;0)),"",IF(AK229&lt;&gt;"","REVISAR",IF(OR(G229="",H229="",M229="",N229="",O229="",P229="",X229=""),"INCOMPLETO",IF(AI229&lt;&gt;"","REVISAR",IF(AND(AF229&lt;&gt;"",AG229="ESCANEADO"),"LISTO_COMPLETO","LISTO_SIN_BARCODE")))))</f>
        <v/>
      </c>
      <c r="AI229" s="17">
        <f>IF(NOT(OR(B229="EXISTENTE",COUNTA(G229,H229,I229,J229,K229,M229,N229,U229,V229,X229,Y229,Z229,AF229,AJ229)&gt;0)),"",TEXTJOIN(" | ",TRUE,IF(A229="","Falta ID staging",""),IF(COUNTIF($A$5:$A$445,A229)&gt;1,"ID staging duplicado",""),IF(G229="","Falta nombre",""),IF(LEN(G229)&gt;150,"Nombre &gt;150 caracteres",""),IF(H229="","Falta categoría",IF(COUNTIF(CategoriasLista,H229)=0,"Categoría inválida","")),IF(M229="","Falta precio compra",IF(OR(NOT(ISNUMBER(M229)),M229&lt;0),"Precio compra inválido","")),IF(N229="","Falta precio venta",IF(OR(NOT(ISNUMBER(N229)),N229&lt;=0,N229&lt;M229),"Precio venta inválido","")),IF(O229="","Falta stock mínimo",IF(OR(NOT(ISNUMBER(O229)),O229&lt;0,MOD(O229,1)&lt;&gt;0),"Stock mínimo inválido","")),IF(P229="","Falta unidad",IF(COUNTIF(UnidadesLista,P229)=0,"Unidad inválida","")),IF(AND(K229&lt;&gt;"",COUNTIF(ProveedoresLista,K229)=0),"Proveedor no catalogado",""),IF(X229="","Falta cantidad contada",IF(OR(NOT(ISNUMBER(X229)),X229&lt;0,ABS(X229*1000-ROUND(X229*1000,0))&gt;0.0000001),"Cantidad inválida",IF(AND(Q229="NO",MOD(X229,1)&lt;&gt;0),"Cantidad fraccionaria no permitida",""))),IF(AND(R229="SI",OR(NOT(ISNUMBER(S229)),S229&lt;1,MOD(S229,1)&lt;&gt;0)),"Empaque inválido",""),IF(OR(AND(AF229="",AG229="ESCANEADO"),AND(AF229&lt;&gt;"",AG229&lt;&gt;"ESCANEADO")),"Barcode/estado inconsistente",""),IF(AK229&lt;&gt;"",AK229,"")))</f>
        <v/>
      </c>
      <c r="AJ229" s="21" t="n"/>
      <c r="AK229" s="17">
        <f>IF(G229="","",IF(OR(COUNTIFS($G$5:$G$445,G229,$I$5:$I$445,I229,$J$5:$J$445,J229,$P$5:$P$445,P229)&gt;1,AND(AF229&lt;&gt;"",COUNTIF($AF$5:$AF$445,AF229)&gt;1)),"REVISAR_POSIBLE_DUPLICADO",""))</f>
        <v/>
      </c>
    </row>
    <row r="230">
      <c r="A230" s="17" t="inlineStr">
        <is>
          <t>d925c512-7513-57af-a963-6ac0c84d0898</t>
        </is>
      </c>
      <c r="B230" s="18" t="inlineStr">
        <is>
          <t>NUEVO</t>
        </is>
      </c>
      <c r="C230" s="18" t="inlineStr">
        <is>
          <t>ACTIVO</t>
        </is>
      </c>
      <c r="D230" s="18" t="n"/>
      <c r="E230" s="17" t="n"/>
      <c r="F230" s="17" t="n"/>
      <c r="G230" s="19" t="n"/>
      <c r="H230" s="19" t="n"/>
      <c r="I230" s="20" t="n"/>
      <c r="J230" s="20" t="n"/>
      <c r="K230" s="21" t="n"/>
      <c r="L230" s="18" t="n"/>
      <c r="M230" s="22" t="n"/>
      <c r="N230" s="22" t="n"/>
      <c r="O230" s="23" t="n">
        <v>10</v>
      </c>
      <c r="P230" s="24" t="inlineStr">
        <is>
          <t>UNIDAD</t>
        </is>
      </c>
      <c r="Q230" s="20" t="inlineStr">
        <is>
          <t>NO</t>
        </is>
      </c>
      <c r="R230" s="20" t="inlineStr">
        <is>
          <t>NO</t>
        </is>
      </c>
      <c r="S230" s="25" t="n">
        <v>1</v>
      </c>
      <c r="T230" s="20" t="inlineStr">
        <is>
          <t>NO</t>
        </is>
      </c>
      <c r="U230" s="20" t="n"/>
      <c r="V230" s="21" t="n"/>
      <c r="W230" s="26" t="n"/>
      <c r="X230" s="27" t="n"/>
      <c r="Y230" s="20" t="n"/>
      <c r="Z230" s="20" t="n"/>
      <c r="AA230" s="26">
        <f>IF(X230="","",X230-IF(W230="",0,W230))</f>
        <v/>
      </c>
      <c r="AB230" s="28">
        <f>IF(OR(X230="",M230=""),"",X230*M230)</f>
        <v/>
      </c>
      <c r="AC230" s="28">
        <f>IF(OR(X230="",N230=""),"",X230*N230)</f>
        <v/>
      </c>
      <c r="AD230" s="28">
        <f>IF(OR(M230="",N230=""),"",N230-M230)</f>
        <v/>
      </c>
      <c r="AE230" s="29">
        <f>IFERROR(IF(M230&gt;0,(N230-M230)/M230,""),"")</f>
        <v/>
      </c>
      <c r="AF230" s="30" t="n"/>
      <c r="AG230" s="30" t="inlineStr">
        <is>
          <t>PENDIENTE</t>
        </is>
      </c>
      <c r="AH230" s="18">
        <f>IF(NOT(OR(B230="EXISTENTE",COUNTA(G230,H230,I230,J230,K230,M230,N230,U230,V230,X230,Y230,Z230,AF230,AJ230)&gt;0)),"",IF(AK230&lt;&gt;"","REVISAR",IF(OR(G230="",H230="",M230="",N230="",O230="",P230="",X230=""),"INCOMPLETO",IF(AI230&lt;&gt;"","REVISAR",IF(AND(AF230&lt;&gt;"",AG230="ESCANEADO"),"LISTO_COMPLETO","LISTO_SIN_BARCODE")))))</f>
        <v/>
      </c>
      <c r="AI230" s="17">
        <f>IF(NOT(OR(B230="EXISTENTE",COUNTA(G230,H230,I230,J230,K230,M230,N230,U230,V230,X230,Y230,Z230,AF230,AJ230)&gt;0)),"",TEXTJOIN(" | ",TRUE,IF(A230="","Falta ID staging",""),IF(COUNTIF($A$5:$A$445,A230)&gt;1,"ID staging duplicado",""),IF(G230="","Falta nombre",""),IF(LEN(G230)&gt;150,"Nombre &gt;150 caracteres",""),IF(H230="","Falta categoría",IF(COUNTIF(CategoriasLista,H230)=0,"Categoría inválida","")),IF(M230="","Falta precio compra",IF(OR(NOT(ISNUMBER(M230)),M230&lt;0),"Precio compra inválido","")),IF(N230="","Falta precio venta",IF(OR(NOT(ISNUMBER(N230)),N230&lt;=0,N230&lt;M230),"Precio venta inválido","")),IF(O230="","Falta stock mínimo",IF(OR(NOT(ISNUMBER(O230)),O230&lt;0,MOD(O230,1)&lt;&gt;0),"Stock mínimo inválido","")),IF(P230="","Falta unidad",IF(COUNTIF(UnidadesLista,P230)=0,"Unidad inválida","")),IF(AND(K230&lt;&gt;"",COUNTIF(ProveedoresLista,K230)=0),"Proveedor no catalogado",""),IF(X230="","Falta cantidad contada",IF(OR(NOT(ISNUMBER(X230)),X230&lt;0,ABS(X230*1000-ROUND(X230*1000,0))&gt;0.0000001),"Cantidad inválida",IF(AND(Q230="NO",MOD(X230,1)&lt;&gt;0),"Cantidad fraccionaria no permitida",""))),IF(AND(R230="SI",OR(NOT(ISNUMBER(S230)),S230&lt;1,MOD(S230,1)&lt;&gt;0)),"Empaque inválido",""),IF(OR(AND(AF230="",AG230="ESCANEADO"),AND(AF230&lt;&gt;"",AG230&lt;&gt;"ESCANEADO")),"Barcode/estado inconsistente",""),IF(AK230&lt;&gt;"",AK230,"")))</f>
        <v/>
      </c>
      <c r="AJ230" s="21" t="n"/>
      <c r="AK230" s="17">
        <f>IF(G230="","",IF(OR(COUNTIFS($G$5:$G$445,G230,$I$5:$I$445,I230,$J$5:$J$445,J230,$P$5:$P$445,P230)&gt;1,AND(AF230&lt;&gt;"",COUNTIF($AF$5:$AF$445,AF230)&gt;1)),"REVISAR_POSIBLE_DUPLICADO",""))</f>
        <v/>
      </c>
    </row>
    <row r="231">
      <c r="A231" s="17" t="inlineStr">
        <is>
          <t>f8d8f1a7-54a8-537c-ae8d-921330971f24</t>
        </is>
      </c>
      <c r="B231" s="18" t="inlineStr">
        <is>
          <t>NUEVO</t>
        </is>
      </c>
      <c r="C231" s="18" t="inlineStr">
        <is>
          <t>ACTIVO</t>
        </is>
      </c>
      <c r="D231" s="18" t="n"/>
      <c r="E231" s="17" t="n"/>
      <c r="F231" s="17" t="n"/>
      <c r="G231" s="19" t="n"/>
      <c r="H231" s="19" t="n"/>
      <c r="I231" s="20" t="n"/>
      <c r="J231" s="20" t="n"/>
      <c r="K231" s="21" t="n"/>
      <c r="L231" s="18" t="n"/>
      <c r="M231" s="22" t="n"/>
      <c r="N231" s="22" t="n"/>
      <c r="O231" s="23" t="n">
        <v>10</v>
      </c>
      <c r="P231" s="24" t="inlineStr">
        <is>
          <t>UNIDAD</t>
        </is>
      </c>
      <c r="Q231" s="20" t="inlineStr">
        <is>
          <t>NO</t>
        </is>
      </c>
      <c r="R231" s="20" t="inlineStr">
        <is>
          <t>NO</t>
        </is>
      </c>
      <c r="S231" s="25" t="n">
        <v>1</v>
      </c>
      <c r="T231" s="20" t="inlineStr">
        <is>
          <t>NO</t>
        </is>
      </c>
      <c r="U231" s="20" t="n"/>
      <c r="V231" s="21" t="n"/>
      <c r="W231" s="26" t="n"/>
      <c r="X231" s="27" t="n"/>
      <c r="Y231" s="20" t="n"/>
      <c r="Z231" s="20" t="n"/>
      <c r="AA231" s="26">
        <f>IF(X231="","",X231-IF(W231="",0,W231))</f>
        <v/>
      </c>
      <c r="AB231" s="28">
        <f>IF(OR(X231="",M231=""),"",X231*M231)</f>
        <v/>
      </c>
      <c r="AC231" s="28">
        <f>IF(OR(X231="",N231=""),"",X231*N231)</f>
        <v/>
      </c>
      <c r="AD231" s="28">
        <f>IF(OR(M231="",N231=""),"",N231-M231)</f>
        <v/>
      </c>
      <c r="AE231" s="29">
        <f>IFERROR(IF(M231&gt;0,(N231-M231)/M231,""),"")</f>
        <v/>
      </c>
      <c r="AF231" s="30" t="n"/>
      <c r="AG231" s="30" t="inlineStr">
        <is>
          <t>PENDIENTE</t>
        </is>
      </c>
      <c r="AH231" s="18">
        <f>IF(NOT(OR(B231="EXISTENTE",COUNTA(G231,H231,I231,J231,K231,M231,N231,U231,V231,X231,Y231,Z231,AF231,AJ231)&gt;0)),"",IF(AK231&lt;&gt;"","REVISAR",IF(OR(G231="",H231="",M231="",N231="",O231="",P231="",X231=""),"INCOMPLETO",IF(AI231&lt;&gt;"","REVISAR",IF(AND(AF231&lt;&gt;"",AG231="ESCANEADO"),"LISTO_COMPLETO","LISTO_SIN_BARCODE")))))</f>
        <v/>
      </c>
      <c r="AI231" s="17">
        <f>IF(NOT(OR(B231="EXISTENTE",COUNTA(G231,H231,I231,J231,K231,M231,N231,U231,V231,X231,Y231,Z231,AF231,AJ231)&gt;0)),"",TEXTJOIN(" | ",TRUE,IF(A231="","Falta ID staging",""),IF(COUNTIF($A$5:$A$445,A231)&gt;1,"ID staging duplicado",""),IF(G231="","Falta nombre",""),IF(LEN(G231)&gt;150,"Nombre &gt;150 caracteres",""),IF(H231="","Falta categoría",IF(COUNTIF(CategoriasLista,H231)=0,"Categoría inválida","")),IF(M231="","Falta precio compra",IF(OR(NOT(ISNUMBER(M231)),M231&lt;0),"Precio compra inválido","")),IF(N231="","Falta precio venta",IF(OR(NOT(ISNUMBER(N231)),N231&lt;=0,N231&lt;M231),"Precio venta inválido","")),IF(O231="","Falta stock mínimo",IF(OR(NOT(ISNUMBER(O231)),O231&lt;0,MOD(O231,1)&lt;&gt;0),"Stock mínimo inválido","")),IF(P231="","Falta unidad",IF(COUNTIF(UnidadesLista,P231)=0,"Unidad inválida","")),IF(AND(K231&lt;&gt;"",COUNTIF(ProveedoresLista,K231)=0),"Proveedor no catalogado",""),IF(X231="","Falta cantidad contada",IF(OR(NOT(ISNUMBER(X231)),X231&lt;0,ABS(X231*1000-ROUND(X231*1000,0))&gt;0.0000001),"Cantidad inválida",IF(AND(Q231="NO",MOD(X231,1)&lt;&gt;0),"Cantidad fraccionaria no permitida",""))),IF(AND(R231="SI",OR(NOT(ISNUMBER(S231)),S231&lt;1,MOD(S231,1)&lt;&gt;0)),"Empaque inválido",""),IF(OR(AND(AF231="",AG231="ESCANEADO"),AND(AF231&lt;&gt;"",AG231&lt;&gt;"ESCANEADO")),"Barcode/estado inconsistente",""),IF(AK231&lt;&gt;"",AK231,"")))</f>
        <v/>
      </c>
      <c r="AJ231" s="21" t="n"/>
      <c r="AK231" s="17">
        <f>IF(G231="","",IF(OR(COUNTIFS($G$5:$G$445,G231,$I$5:$I$445,I231,$J$5:$J$445,J231,$P$5:$P$445,P231)&gt;1,AND(AF231&lt;&gt;"",COUNTIF($AF$5:$AF$445,AF231)&gt;1)),"REVISAR_POSIBLE_DUPLICADO",""))</f>
        <v/>
      </c>
    </row>
    <row r="232">
      <c r="A232" s="17" t="inlineStr">
        <is>
          <t>eaf93a2d-feea-567e-a812-1393748d49b1</t>
        </is>
      </c>
      <c r="B232" s="18" t="inlineStr">
        <is>
          <t>NUEVO</t>
        </is>
      </c>
      <c r="C232" s="18" t="inlineStr">
        <is>
          <t>ACTIVO</t>
        </is>
      </c>
      <c r="D232" s="18" t="n"/>
      <c r="E232" s="17" t="n"/>
      <c r="F232" s="17" t="n"/>
      <c r="G232" s="19" t="n"/>
      <c r="H232" s="19" t="n"/>
      <c r="I232" s="20" t="n"/>
      <c r="J232" s="20" t="n"/>
      <c r="K232" s="21" t="n"/>
      <c r="L232" s="18" t="n"/>
      <c r="M232" s="22" t="n"/>
      <c r="N232" s="22" t="n"/>
      <c r="O232" s="23" t="n">
        <v>10</v>
      </c>
      <c r="P232" s="24" t="inlineStr">
        <is>
          <t>UNIDAD</t>
        </is>
      </c>
      <c r="Q232" s="20" t="inlineStr">
        <is>
          <t>NO</t>
        </is>
      </c>
      <c r="R232" s="20" t="inlineStr">
        <is>
          <t>NO</t>
        </is>
      </c>
      <c r="S232" s="25" t="n">
        <v>1</v>
      </c>
      <c r="T232" s="20" t="inlineStr">
        <is>
          <t>NO</t>
        </is>
      </c>
      <c r="U232" s="20" t="n"/>
      <c r="V232" s="21" t="n"/>
      <c r="W232" s="26" t="n"/>
      <c r="X232" s="27" t="n"/>
      <c r="Y232" s="20" t="n"/>
      <c r="Z232" s="20" t="n"/>
      <c r="AA232" s="26">
        <f>IF(X232="","",X232-IF(W232="",0,W232))</f>
        <v/>
      </c>
      <c r="AB232" s="28">
        <f>IF(OR(X232="",M232=""),"",X232*M232)</f>
        <v/>
      </c>
      <c r="AC232" s="28">
        <f>IF(OR(X232="",N232=""),"",X232*N232)</f>
        <v/>
      </c>
      <c r="AD232" s="28">
        <f>IF(OR(M232="",N232=""),"",N232-M232)</f>
        <v/>
      </c>
      <c r="AE232" s="29">
        <f>IFERROR(IF(M232&gt;0,(N232-M232)/M232,""),"")</f>
        <v/>
      </c>
      <c r="AF232" s="30" t="n"/>
      <c r="AG232" s="30" t="inlineStr">
        <is>
          <t>PENDIENTE</t>
        </is>
      </c>
      <c r="AH232" s="18">
        <f>IF(NOT(OR(B232="EXISTENTE",COUNTA(G232,H232,I232,J232,K232,M232,N232,U232,V232,X232,Y232,Z232,AF232,AJ232)&gt;0)),"",IF(AK232&lt;&gt;"","REVISAR",IF(OR(G232="",H232="",M232="",N232="",O232="",P232="",X232=""),"INCOMPLETO",IF(AI232&lt;&gt;"","REVISAR",IF(AND(AF232&lt;&gt;"",AG232="ESCANEADO"),"LISTO_COMPLETO","LISTO_SIN_BARCODE")))))</f>
        <v/>
      </c>
      <c r="AI232" s="17">
        <f>IF(NOT(OR(B232="EXISTENTE",COUNTA(G232,H232,I232,J232,K232,M232,N232,U232,V232,X232,Y232,Z232,AF232,AJ232)&gt;0)),"",TEXTJOIN(" | ",TRUE,IF(A232="","Falta ID staging",""),IF(COUNTIF($A$5:$A$445,A232)&gt;1,"ID staging duplicado",""),IF(G232="","Falta nombre",""),IF(LEN(G232)&gt;150,"Nombre &gt;150 caracteres",""),IF(H232="","Falta categoría",IF(COUNTIF(CategoriasLista,H232)=0,"Categoría inválida","")),IF(M232="","Falta precio compra",IF(OR(NOT(ISNUMBER(M232)),M232&lt;0),"Precio compra inválido","")),IF(N232="","Falta precio venta",IF(OR(NOT(ISNUMBER(N232)),N232&lt;=0,N232&lt;M232),"Precio venta inválido","")),IF(O232="","Falta stock mínimo",IF(OR(NOT(ISNUMBER(O232)),O232&lt;0,MOD(O232,1)&lt;&gt;0),"Stock mínimo inválido","")),IF(P232="","Falta unidad",IF(COUNTIF(UnidadesLista,P232)=0,"Unidad inválida","")),IF(AND(K232&lt;&gt;"",COUNTIF(ProveedoresLista,K232)=0),"Proveedor no catalogado",""),IF(X232="","Falta cantidad contada",IF(OR(NOT(ISNUMBER(X232)),X232&lt;0,ABS(X232*1000-ROUND(X232*1000,0))&gt;0.0000001),"Cantidad inválida",IF(AND(Q232="NO",MOD(X232,1)&lt;&gt;0),"Cantidad fraccionaria no permitida",""))),IF(AND(R232="SI",OR(NOT(ISNUMBER(S232)),S232&lt;1,MOD(S232,1)&lt;&gt;0)),"Empaque inválido",""),IF(OR(AND(AF232="",AG232="ESCANEADO"),AND(AF232&lt;&gt;"",AG232&lt;&gt;"ESCANEADO")),"Barcode/estado inconsistente",""),IF(AK232&lt;&gt;"",AK232,"")))</f>
        <v/>
      </c>
      <c r="AJ232" s="21" t="n"/>
      <c r="AK232" s="17">
        <f>IF(G232="","",IF(OR(COUNTIFS($G$5:$G$445,G232,$I$5:$I$445,I232,$J$5:$J$445,J232,$P$5:$P$445,P232)&gt;1,AND(AF232&lt;&gt;"",COUNTIF($AF$5:$AF$445,AF232)&gt;1)),"REVISAR_POSIBLE_DUPLICADO",""))</f>
        <v/>
      </c>
    </row>
    <row r="233">
      <c r="A233" s="17" t="inlineStr">
        <is>
          <t>247e108c-5ac5-58af-8819-b21eaabc3622</t>
        </is>
      </c>
      <c r="B233" s="18" t="inlineStr">
        <is>
          <t>NUEVO</t>
        </is>
      </c>
      <c r="C233" s="18" t="inlineStr">
        <is>
          <t>ACTIVO</t>
        </is>
      </c>
      <c r="D233" s="18" t="n"/>
      <c r="E233" s="17" t="n"/>
      <c r="F233" s="17" t="n"/>
      <c r="G233" s="19" t="n"/>
      <c r="H233" s="19" t="n"/>
      <c r="I233" s="20" t="n"/>
      <c r="J233" s="20" t="n"/>
      <c r="K233" s="21" t="n"/>
      <c r="L233" s="18" t="n"/>
      <c r="M233" s="22" t="n"/>
      <c r="N233" s="22" t="n"/>
      <c r="O233" s="23" t="n">
        <v>10</v>
      </c>
      <c r="P233" s="24" t="inlineStr">
        <is>
          <t>UNIDAD</t>
        </is>
      </c>
      <c r="Q233" s="20" t="inlineStr">
        <is>
          <t>NO</t>
        </is>
      </c>
      <c r="R233" s="20" t="inlineStr">
        <is>
          <t>NO</t>
        </is>
      </c>
      <c r="S233" s="25" t="n">
        <v>1</v>
      </c>
      <c r="T233" s="20" t="inlineStr">
        <is>
          <t>NO</t>
        </is>
      </c>
      <c r="U233" s="20" t="n"/>
      <c r="V233" s="21" t="n"/>
      <c r="W233" s="26" t="n"/>
      <c r="X233" s="27" t="n"/>
      <c r="Y233" s="20" t="n"/>
      <c r="Z233" s="20" t="n"/>
      <c r="AA233" s="26">
        <f>IF(X233="","",X233-IF(W233="",0,W233))</f>
        <v/>
      </c>
      <c r="AB233" s="28">
        <f>IF(OR(X233="",M233=""),"",X233*M233)</f>
        <v/>
      </c>
      <c r="AC233" s="28">
        <f>IF(OR(X233="",N233=""),"",X233*N233)</f>
        <v/>
      </c>
      <c r="AD233" s="28">
        <f>IF(OR(M233="",N233=""),"",N233-M233)</f>
        <v/>
      </c>
      <c r="AE233" s="29">
        <f>IFERROR(IF(M233&gt;0,(N233-M233)/M233,""),"")</f>
        <v/>
      </c>
      <c r="AF233" s="30" t="n"/>
      <c r="AG233" s="30" t="inlineStr">
        <is>
          <t>PENDIENTE</t>
        </is>
      </c>
      <c r="AH233" s="18">
        <f>IF(NOT(OR(B233="EXISTENTE",COUNTA(G233,H233,I233,J233,K233,M233,N233,U233,V233,X233,Y233,Z233,AF233,AJ233)&gt;0)),"",IF(AK233&lt;&gt;"","REVISAR",IF(OR(G233="",H233="",M233="",N233="",O233="",P233="",X233=""),"INCOMPLETO",IF(AI233&lt;&gt;"","REVISAR",IF(AND(AF233&lt;&gt;"",AG233="ESCANEADO"),"LISTO_COMPLETO","LISTO_SIN_BARCODE")))))</f>
        <v/>
      </c>
      <c r="AI233" s="17">
        <f>IF(NOT(OR(B233="EXISTENTE",COUNTA(G233,H233,I233,J233,K233,M233,N233,U233,V233,X233,Y233,Z233,AF233,AJ233)&gt;0)),"",TEXTJOIN(" | ",TRUE,IF(A233="","Falta ID staging",""),IF(COUNTIF($A$5:$A$445,A233)&gt;1,"ID staging duplicado",""),IF(G233="","Falta nombre",""),IF(LEN(G233)&gt;150,"Nombre &gt;150 caracteres",""),IF(H233="","Falta categoría",IF(COUNTIF(CategoriasLista,H233)=0,"Categoría inválida","")),IF(M233="","Falta precio compra",IF(OR(NOT(ISNUMBER(M233)),M233&lt;0),"Precio compra inválido","")),IF(N233="","Falta precio venta",IF(OR(NOT(ISNUMBER(N233)),N233&lt;=0,N233&lt;M233),"Precio venta inválido","")),IF(O233="","Falta stock mínimo",IF(OR(NOT(ISNUMBER(O233)),O233&lt;0,MOD(O233,1)&lt;&gt;0),"Stock mínimo inválido","")),IF(P233="","Falta unidad",IF(COUNTIF(UnidadesLista,P233)=0,"Unidad inválida","")),IF(AND(K233&lt;&gt;"",COUNTIF(ProveedoresLista,K233)=0),"Proveedor no catalogado",""),IF(X233="","Falta cantidad contada",IF(OR(NOT(ISNUMBER(X233)),X233&lt;0,ABS(X233*1000-ROUND(X233*1000,0))&gt;0.0000001),"Cantidad inválida",IF(AND(Q233="NO",MOD(X233,1)&lt;&gt;0),"Cantidad fraccionaria no permitida",""))),IF(AND(R233="SI",OR(NOT(ISNUMBER(S233)),S233&lt;1,MOD(S233,1)&lt;&gt;0)),"Empaque inválido",""),IF(OR(AND(AF233="",AG233="ESCANEADO"),AND(AF233&lt;&gt;"",AG233&lt;&gt;"ESCANEADO")),"Barcode/estado inconsistente",""),IF(AK233&lt;&gt;"",AK233,"")))</f>
        <v/>
      </c>
      <c r="AJ233" s="21" t="n"/>
      <c r="AK233" s="17">
        <f>IF(G233="","",IF(OR(COUNTIFS($G$5:$G$445,G233,$I$5:$I$445,I233,$J$5:$J$445,J233,$P$5:$P$445,P233)&gt;1,AND(AF233&lt;&gt;"",COUNTIF($AF$5:$AF$445,AF233)&gt;1)),"REVISAR_POSIBLE_DUPLICADO",""))</f>
        <v/>
      </c>
    </row>
    <row r="234">
      <c r="A234" s="17" t="inlineStr">
        <is>
          <t>d57eba52-4579-552c-a7d4-e85e118e91d5</t>
        </is>
      </c>
      <c r="B234" s="18" t="inlineStr">
        <is>
          <t>NUEVO</t>
        </is>
      </c>
      <c r="C234" s="18" t="inlineStr">
        <is>
          <t>ACTIVO</t>
        </is>
      </c>
      <c r="D234" s="18" t="n"/>
      <c r="E234" s="17" t="n"/>
      <c r="F234" s="17" t="n"/>
      <c r="G234" s="19" t="n"/>
      <c r="H234" s="19" t="n"/>
      <c r="I234" s="20" t="n"/>
      <c r="J234" s="20" t="n"/>
      <c r="K234" s="21" t="n"/>
      <c r="L234" s="18" t="n"/>
      <c r="M234" s="22" t="n"/>
      <c r="N234" s="22" t="n"/>
      <c r="O234" s="23" t="n">
        <v>10</v>
      </c>
      <c r="P234" s="24" t="inlineStr">
        <is>
          <t>UNIDAD</t>
        </is>
      </c>
      <c r="Q234" s="20" t="inlineStr">
        <is>
          <t>NO</t>
        </is>
      </c>
      <c r="R234" s="20" t="inlineStr">
        <is>
          <t>NO</t>
        </is>
      </c>
      <c r="S234" s="25" t="n">
        <v>1</v>
      </c>
      <c r="T234" s="20" t="inlineStr">
        <is>
          <t>NO</t>
        </is>
      </c>
      <c r="U234" s="20" t="n"/>
      <c r="V234" s="21" t="n"/>
      <c r="W234" s="26" t="n"/>
      <c r="X234" s="27" t="n"/>
      <c r="Y234" s="20" t="n"/>
      <c r="Z234" s="20" t="n"/>
      <c r="AA234" s="26">
        <f>IF(X234="","",X234-IF(W234="",0,W234))</f>
        <v/>
      </c>
      <c r="AB234" s="28">
        <f>IF(OR(X234="",M234=""),"",X234*M234)</f>
        <v/>
      </c>
      <c r="AC234" s="28">
        <f>IF(OR(X234="",N234=""),"",X234*N234)</f>
        <v/>
      </c>
      <c r="AD234" s="28">
        <f>IF(OR(M234="",N234=""),"",N234-M234)</f>
        <v/>
      </c>
      <c r="AE234" s="29">
        <f>IFERROR(IF(M234&gt;0,(N234-M234)/M234,""),"")</f>
        <v/>
      </c>
      <c r="AF234" s="30" t="n"/>
      <c r="AG234" s="30" t="inlineStr">
        <is>
          <t>PENDIENTE</t>
        </is>
      </c>
      <c r="AH234" s="18">
        <f>IF(NOT(OR(B234="EXISTENTE",COUNTA(G234,H234,I234,J234,K234,M234,N234,U234,V234,X234,Y234,Z234,AF234,AJ234)&gt;0)),"",IF(AK234&lt;&gt;"","REVISAR",IF(OR(G234="",H234="",M234="",N234="",O234="",P234="",X234=""),"INCOMPLETO",IF(AI234&lt;&gt;"","REVISAR",IF(AND(AF234&lt;&gt;"",AG234="ESCANEADO"),"LISTO_COMPLETO","LISTO_SIN_BARCODE")))))</f>
        <v/>
      </c>
      <c r="AI234" s="17">
        <f>IF(NOT(OR(B234="EXISTENTE",COUNTA(G234,H234,I234,J234,K234,M234,N234,U234,V234,X234,Y234,Z234,AF234,AJ234)&gt;0)),"",TEXTJOIN(" | ",TRUE,IF(A234="","Falta ID staging",""),IF(COUNTIF($A$5:$A$445,A234)&gt;1,"ID staging duplicado",""),IF(G234="","Falta nombre",""),IF(LEN(G234)&gt;150,"Nombre &gt;150 caracteres",""),IF(H234="","Falta categoría",IF(COUNTIF(CategoriasLista,H234)=0,"Categoría inválida","")),IF(M234="","Falta precio compra",IF(OR(NOT(ISNUMBER(M234)),M234&lt;0),"Precio compra inválido","")),IF(N234="","Falta precio venta",IF(OR(NOT(ISNUMBER(N234)),N234&lt;=0,N234&lt;M234),"Precio venta inválido","")),IF(O234="","Falta stock mínimo",IF(OR(NOT(ISNUMBER(O234)),O234&lt;0,MOD(O234,1)&lt;&gt;0),"Stock mínimo inválido","")),IF(P234="","Falta unidad",IF(COUNTIF(UnidadesLista,P234)=0,"Unidad inválida","")),IF(AND(K234&lt;&gt;"",COUNTIF(ProveedoresLista,K234)=0),"Proveedor no catalogado",""),IF(X234="","Falta cantidad contada",IF(OR(NOT(ISNUMBER(X234)),X234&lt;0,ABS(X234*1000-ROUND(X234*1000,0))&gt;0.0000001),"Cantidad inválida",IF(AND(Q234="NO",MOD(X234,1)&lt;&gt;0),"Cantidad fraccionaria no permitida",""))),IF(AND(R234="SI",OR(NOT(ISNUMBER(S234)),S234&lt;1,MOD(S234,1)&lt;&gt;0)),"Empaque inválido",""),IF(OR(AND(AF234="",AG234="ESCANEADO"),AND(AF234&lt;&gt;"",AG234&lt;&gt;"ESCANEADO")),"Barcode/estado inconsistente",""),IF(AK234&lt;&gt;"",AK234,"")))</f>
        <v/>
      </c>
      <c r="AJ234" s="21" t="n"/>
      <c r="AK234" s="17">
        <f>IF(G234="","",IF(OR(COUNTIFS($G$5:$G$445,G234,$I$5:$I$445,I234,$J$5:$J$445,J234,$P$5:$P$445,P234)&gt;1,AND(AF234&lt;&gt;"",COUNTIF($AF$5:$AF$445,AF234)&gt;1)),"REVISAR_POSIBLE_DUPLICADO",""))</f>
        <v/>
      </c>
    </row>
    <row r="235">
      <c r="A235" s="17" t="inlineStr">
        <is>
          <t>e2f46495-6f5a-5ba8-a888-2daeb29b78a3</t>
        </is>
      </c>
      <c r="B235" s="18" t="inlineStr">
        <is>
          <t>NUEVO</t>
        </is>
      </c>
      <c r="C235" s="18" t="inlineStr">
        <is>
          <t>ACTIVO</t>
        </is>
      </c>
      <c r="D235" s="18" t="n"/>
      <c r="E235" s="17" t="n"/>
      <c r="F235" s="17" t="n"/>
      <c r="G235" s="19" t="n"/>
      <c r="H235" s="19" t="n"/>
      <c r="I235" s="20" t="n"/>
      <c r="J235" s="20" t="n"/>
      <c r="K235" s="21" t="n"/>
      <c r="L235" s="18" t="n"/>
      <c r="M235" s="22" t="n"/>
      <c r="N235" s="22" t="n"/>
      <c r="O235" s="23" t="n">
        <v>10</v>
      </c>
      <c r="P235" s="24" t="inlineStr">
        <is>
          <t>UNIDAD</t>
        </is>
      </c>
      <c r="Q235" s="20" t="inlineStr">
        <is>
          <t>NO</t>
        </is>
      </c>
      <c r="R235" s="20" t="inlineStr">
        <is>
          <t>NO</t>
        </is>
      </c>
      <c r="S235" s="25" t="n">
        <v>1</v>
      </c>
      <c r="T235" s="20" t="inlineStr">
        <is>
          <t>NO</t>
        </is>
      </c>
      <c r="U235" s="20" t="n"/>
      <c r="V235" s="21" t="n"/>
      <c r="W235" s="26" t="n"/>
      <c r="X235" s="27" t="n"/>
      <c r="Y235" s="20" t="n"/>
      <c r="Z235" s="20" t="n"/>
      <c r="AA235" s="26">
        <f>IF(X235="","",X235-IF(W235="",0,W235))</f>
        <v/>
      </c>
      <c r="AB235" s="28">
        <f>IF(OR(X235="",M235=""),"",X235*M235)</f>
        <v/>
      </c>
      <c r="AC235" s="28">
        <f>IF(OR(X235="",N235=""),"",X235*N235)</f>
        <v/>
      </c>
      <c r="AD235" s="28">
        <f>IF(OR(M235="",N235=""),"",N235-M235)</f>
        <v/>
      </c>
      <c r="AE235" s="29">
        <f>IFERROR(IF(M235&gt;0,(N235-M235)/M235,""),"")</f>
        <v/>
      </c>
      <c r="AF235" s="30" t="n"/>
      <c r="AG235" s="30" t="inlineStr">
        <is>
          <t>PENDIENTE</t>
        </is>
      </c>
      <c r="AH235" s="18">
        <f>IF(NOT(OR(B235="EXISTENTE",COUNTA(G235,H235,I235,J235,K235,M235,N235,U235,V235,X235,Y235,Z235,AF235,AJ235)&gt;0)),"",IF(AK235&lt;&gt;"","REVISAR",IF(OR(G235="",H235="",M235="",N235="",O235="",P235="",X235=""),"INCOMPLETO",IF(AI235&lt;&gt;"","REVISAR",IF(AND(AF235&lt;&gt;"",AG235="ESCANEADO"),"LISTO_COMPLETO","LISTO_SIN_BARCODE")))))</f>
        <v/>
      </c>
      <c r="AI235" s="17">
        <f>IF(NOT(OR(B235="EXISTENTE",COUNTA(G235,H235,I235,J235,K235,M235,N235,U235,V235,X235,Y235,Z235,AF235,AJ235)&gt;0)),"",TEXTJOIN(" | ",TRUE,IF(A235="","Falta ID staging",""),IF(COUNTIF($A$5:$A$445,A235)&gt;1,"ID staging duplicado",""),IF(G235="","Falta nombre",""),IF(LEN(G235)&gt;150,"Nombre &gt;150 caracteres",""),IF(H235="","Falta categoría",IF(COUNTIF(CategoriasLista,H235)=0,"Categoría inválida","")),IF(M235="","Falta precio compra",IF(OR(NOT(ISNUMBER(M235)),M235&lt;0),"Precio compra inválido","")),IF(N235="","Falta precio venta",IF(OR(NOT(ISNUMBER(N235)),N235&lt;=0,N235&lt;M235),"Precio venta inválido","")),IF(O235="","Falta stock mínimo",IF(OR(NOT(ISNUMBER(O235)),O235&lt;0,MOD(O235,1)&lt;&gt;0),"Stock mínimo inválido","")),IF(P235="","Falta unidad",IF(COUNTIF(UnidadesLista,P235)=0,"Unidad inválida","")),IF(AND(K235&lt;&gt;"",COUNTIF(ProveedoresLista,K235)=0),"Proveedor no catalogado",""),IF(X235="","Falta cantidad contada",IF(OR(NOT(ISNUMBER(X235)),X235&lt;0,ABS(X235*1000-ROUND(X235*1000,0))&gt;0.0000001),"Cantidad inválida",IF(AND(Q235="NO",MOD(X235,1)&lt;&gt;0),"Cantidad fraccionaria no permitida",""))),IF(AND(R235="SI",OR(NOT(ISNUMBER(S235)),S235&lt;1,MOD(S235,1)&lt;&gt;0)),"Empaque inválido",""),IF(OR(AND(AF235="",AG235="ESCANEADO"),AND(AF235&lt;&gt;"",AG235&lt;&gt;"ESCANEADO")),"Barcode/estado inconsistente",""),IF(AK235&lt;&gt;"",AK235,"")))</f>
        <v/>
      </c>
      <c r="AJ235" s="21" t="n"/>
      <c r="AK235" s="17">
        <f>IF(G235="","",IF(OR(COUNTIFS($G$5:$G$445,G235,$I$5:$I$445,I235,$J$5:$J$445,J235,$P$5:$P$445,P235)&gt;1,AND(AF235&lt;&gt;"",COUNTIF($AF$5:$AF$445,AF235)&gt;1)),"REVISAR_POSIBLE_DUPLICADO",""))</f>
        <v/>
      </c>
    </row>
    <row r="236">
      <c r="A236" s="17" t="inlineStr">
        <is>
          <t>3512a2b7-e41e-5c8c-8b46-0a89dedf4ed2</t>
        </is>
      </c>
      <c r="B236" s="18" t="inlineStr">
        <is>
          <t>NUEVO</t>
        </is>
      </c>
      <c r="C236" s="18" t="inlineStr">
        <is>
          <t>ACTIVO</t>
        </is>
      </c>
      <c r="D236" s="18" t="n"/>
      <c r="E236" s="17" t="n"/>
      <c r="F236" s="17" t="n"/>
      <c r="G236" s="19" t="n"/>
      <c r="H236" s="19" t="n"/>
      <c r="I236" s="20" t="n"/>
      <c r="J236" s="20" t="n"/>
      <c r="K236" s="21" t="n"/>
      <c r="L236" s="18" t="n"/>
      <c r="M236" s="22" t="n"/>
      <c r="N236" s="22" t="n"/>
      <c r="O236" s="23" t="n">
        <v>10</v>
      </c>
      <c r="P236" s="24" t="inlineStr">
        <is>
          <t>UNIDAD</t>
        </is>
      </c>
      <c r="Q236" s="20" t="inlineStr">
        <is>
          <t>NO</t>
        </is>
      </c>
      <c r="R236" s="20" t="inlineStr">
        <is>
          <t>NO</t>
        </is>
      </c>
      <c r="S236" s="25" t="n">
        <v>1</v>
      </c>
      <c r="T236" s="20" t="inlineStr">
        <is>
          <t>NO</t>
        </is>
      </c>
      <c r="U236" s="20" t="n"/>
      <c r="V236" s="21" t="n"/>
      <c r="W236" s="26" t="n"/>
      <c r="X236" s="27" t="n"/>
      <c r="Y236" s="20" t="n"/>
      <c r="Z236" s="20" t="n"/>
      <c r="AA236" s="26">
        <f>IF(X236="","",X236-IF(W236="",0,W236))</f>
        <v/>
      </c>
      <c r="AB236" s="28">
        <f>IF(OR(X236="",M236=""),"",X236*M236)</f>
        <v/>
      </c>
      <c r="AC236" s="28">
        <f>IF(OR(X236="",N236=""),"",X236*N236)</f>
        <v/>
      </c>
      <c r="AD236" s="28">
        <f>IF(OR(M236="",N236=""),"",N236-M236)</f>
        <v/>
      </c>
      <c r="AE236" s="29">
        <f>IFERROR(IF(M236&gt;0,(N236-M236)/M236,""),"")</f>
        <v/>
      </c>
      <c r="AF236" s="30" t="n"/>
      <c r="AG236" s="30" t="inlineStr">
        <is>
          <t>PENDIENTE</t>
        </is>
      </c>
      <c r="AH236" s="18">
        <f>IF(NOT(OR(B236="EXISTENTE",COUNTA(G236,H236,I236,J236,K236,M236,N236,U236,V236,X236,Y236,Z236,AF236,AJ236)&gt;0)),"",IF(AK236&lt;&gt;"","REVISAR",IF(OR(G236="",H236="",M236="",N236="",O236="",P236="",X236=""),"INCOMPLETO",IF(AI236&lt;&gt;"","REVISAR",IF(AND(AF236&lt;&gt;"",AG236="ESCANEADO"),"LISTO_COMPLETO","LISTO_SIN_BARCODE")))))</f>
        <v/>
      </c>
      <c r="AI236" s="17">
        <f>IF(NOT(OR(B236="EXISTENTE",COUNTA(G236,H236,I236,J236,K236,M236,N236,U236,V236,X236,Y236,Z236,AF236,AJ236)&gt;0)),"",TEXTJOIN(" | ",TRUE,IF(A236="","Falta ID staging",""),IF(COUNTIF($A$5:$A$445,A236)&gt;1,"ID staging duplicado",""),IF(G236="","Falta nombre",""),IF(LEN(G236)&gt;150,"Nombre &gt;150 caracteres",""),IF(H236="","Falta categoría",IF(COUNTIF(CategoriasLista,H236)=0,"Categoría inválida","")),IF(M236="","Falta precio compra",IF(OR(NOT(ISNUMBER(M236)),M236&lt;0),"Precio compra inválido","")),IF(N236="","Falta precio venta",IF(OR(NOT(ISNUMBER(N236)),N236&lt;=0,N236&lt;M236),"Precio venta inválido","")),IF(O236="","Falta stock mínimo",IF(OR(NOT(ISNUMBER(O236)),O236&lt;0,MOD(O236,1)&lt;&gt;0),"Stock mínimo inválido","")),IF(P236="","Falta unidad",IF(COUNTIF(UnidadesLista,P236)=0,"Unidad inválida","")),IF(AND(K236&lt;&gt;"",COUNTIF(ProveedoresLista,K236)=0),"Proveedor no catalogado",""),IF(X236="","Falta cantidad contada",IF(OR(NOT(ISNUMBER(X236)),X236&lt;0,ABS(X236*1000-ROUND(X236*1000,0))&gt;0.0000001),"Cantidad inválida",IF(AND(Q236="NO",MOD(X236,1)&lt;&gt;0),"Cantidad fraccionaria no permitida",""))),IF(AND(R236="SI",OR(NOT(ISNUMBER(S236)),S236&lt;1,MOD(S236,1)&lt;&gt;0)),"Empaque inválido",""),IF(OR(AND(AF236="",AG236="ESCANEADO"),AND(AF236&lt;&gt;"",AG236&lt;&gt;"ESCANEADO")),"Barcode/estado inconsistente",""),IF(AK236&lt;&gt;"",AK236,"")))</f>
        <v/>
      </c>
      <c r="AJ236" s="21" t="n"/>
      <c r="AK236" s="17">
        <f>IF(G236="","",IF(OR(COUNTIFS($G$5:$G$445,G236,$I$5:$I$445,I236,$J$5:$J$445,J236,$P$5:$P$445,P236)&gt;1,AND(AF236&lt;&gt;"",COUNTIF($AF$5:$AF$445,AF236)&gt;1)),"REVISAR_POSIBLE_DUPLICADO",""))</f>
        <v/>
      </c>
    </row>
    <row r="237">
      <c r="A237" s="17" t="inlineStr">
        <is>
          <t>b733f52c-3995-5900-bc24-fb64cdb659a3</t>
        </is>
      </c>
      <c r="B237" s="18" t="inlineStr">
        <is>
          <t>NUEVO</t>
        </is>
      </c>
      <c r="C237" s="18" t="inlineStr">
        <is>
          <t>ACTIVO</t>
        </is>
      </c>
      <c r="D237" s="18" t="n"/>
      <c r="E237" s="17" t="n"/>
      <c r="F237" s="17" t="n"/>
      <c r="G237" s="19" t="n"/>
      <c r="H237" s="19" t="n"/>
      <c r="I237" s="20" t="n"/>
      <c r="J237" s="20" t="n"/>
      <c r="K237" s="21" t="n"/>
      <c r="L237" s="18" t="n"/>
      <c r="M237" s="22" t="n"/>
      <c r="N237" s="22" t="n"/>
      <c r="O237" s="23" t="n">
        <v>10</v>
      </c>
      <c r="P237" s="24" t="inlineStr">
        <is>
          <t>UNIDAD</t>
        </is>
      </c>
      <c r="Q237" s="20" t="inlineStr">
        <is>
          <t>NO</t>
        </is>
      </c>
      <c r="R237" s="20" t="inlineStr">
        <is>
          <t>NO</t>
        </is>
      </c>
      <c r="S237" s="25" t="n">
        <v>1</v>
      </c>
      <c r="T237" s="20" t="inlineStr">
        <is>
          <t>NO</t>
        </is>
      </c>
      <c r="U237" s="20" t="n"/>
      <c r="V237" s="21" t="n"/>
      <c r="W237" s="26" t="n"/>
      <c r="X237" s="27" t="n"/>
      <c r="Y237" s="20" t="n"/>
      <c r="Z237" s="20" t="n"/>
      <c r="AA237" s="26">
        <f>IF(X237="","",X237-IF(W237="",0,W237))</f>
        <v/>
      </c>
      <c r="AB237" s="28">
        <f>IF(OR(X237="",M237=""),"",X237*M237)</f>
        <v/>
      </c>
      <c r="AC237" s="28">
        <f>IF(OR(X237="",N237=""),"",X237*N237)</f>
        <v/>
      </c>
      <c r="AD237" s="28">
        <f>IF(OR(M237="",N237=""),"",N237-M237)</f>
        <v/>
      </c>
      <c r="AE237" s="29">
        <f>IFERROR(IF(M237&gt;0,(N237-M237)/M237,""),"")</f>
        <v/>
      </c>
      <c r="AF237" s="30" t="n"/>
      <c r="AG237" s="30" t="inlineStr">
        <is>
          <t>PENDIENTE</t>
        </is>
      </c>
      <c r="AH237" s="18">
        <f>IF(NOT(OR(B237="EXISTENTE",COUNTA(G237,H237,I237,J237,K237,M237,N237,U237,V237,X237,Y237,Z237,AF237,AJ237)&gt;0)),"",IF(AK237&lt;&gt;"","REVISAR",IF(OR(G237="",H237="",M237="",N237="",O237="",P237="",X237=""),"INCOMPLETO",IF(AI237&lt;&gt;"","REVISAR",IF(AND(AF237&lt;&gt;"",AG237="ESCANEADO"),"LISTO_COMPLETO","LISTO_SIN_BARCODE")))))</f>
        <v/>
      </c>
      <c r="AI237" s="17">
        <f>IF(NOT(OR(B237="EXISTENTE",COUNTA(G237,H237,I237,J237,K237,M237,N237,U237,V237,X237,Y237,Z237,AF237,AJ237)&gt;0)),"",TEXTJOIN(" | ",TRUE,IF(A237="","Falta ID staging",""),IF(COUNTIF($A$5:$A$445,A237)&gt;1,"ID staging duplicado",""),IF(G237="","Falta nombre",""),IF(LEN(G237)&gt;150,"Nombre &gt;150 caracteres",""),IF(H237="","Falta categoría",IF(COUNTIF(CategoriasLista,H237)=0,"Categoría inválida","")),IF(M237="","Falta precio compra",IF(OR(NOT(ISNUMBER(M237)),M237&lt;0),"Precio compra inválido","")),IF(N237="","Falta precio venta",IF(OR(NOT(ISNUMBER(N237)),N237&lt;=0,N237&lt;M237),"Precio venta inválido","")),IF(O237="","Falta stock mínimo",IF(OR(NOT(ISNUMBER(O237)),O237&lt;0,MOD(O237,1)&lt;&gt;0),"Stock mínimo inválido","")),IF(P237="","Falta unidad",IF(COUNTIF(UnidadesLista,P237)=0,"Unidad inválida","")),IF(AND(K237&lt;&gt;"",COUNTIF(ProveedoresLista,K237)=0),"Proveedor no catalogado",""),IF(X237="","Falta cantidad contada",IF(OR(NOT(ISNUMBER(X237)),X237&lt;0,ABS(X237*1000-ROUND(X237*1000,0))&gt;0.0000001),"Cantidad inválida",IF(AND(Q237="NO",MOD(X237,1)&lt;&gt;0),"Cantidad fraccionaria no permitida",""))),IF(AND(R237="SI",OR(NOT(ISNUMBER(S237)),S237&lt;1,MOD(S237,1)&lt;&gt;0)),"Empaque inválido",""),IF(OR(AND(AF237="",AG237="ESCANEADO"),AND(AF237&lt;&gt;"",AG237&lt;&gt;"ESCANEADO")),"Barcode/estado inconsistente",""),IF(AK237&lt;&gt;"",AK237,"")))</f>
        <v/>
      </c>
      <c r="AJ237" s="21" t="n"/>
      <c r="AK237" s="17">
        <f>IF(G237="","",IF(OR(COUNTIFS($G$5:$G$445,G237,$I$5:$I$445,I237,$J$5:$J$445,J237,$P$5:$P$445,P237)&gt;1,AND(AF237&lt;&gt;"",COUNTIF($AF$5:$AF$445,AF237)&gt;1)),"REVISAR_POSIBLE_DUPLICADO",""))</f>
        <v/>
      </c>
    </row>
    <row r="238">
      <c r="A238" s="17" t="inlineStr">
        <is>
          <t>31f09bd4-8416-548a-9afb-67884f272005</t>
        </is>
      </c>
      <c r="B238" s="18" t="inlineStr">
        <is>
          <t>NUEVO</t>
        </is>
      </c>
      <c r="C238" s="18" t="inlineStr">
        <is>
          <t>ACTIVO</t>
        </is>
      </c>
      <c r="D238" s="18" t="n"/>
      <c r="E238" s="17" t="n"/>
      <c r="F238" s="17" t="n"/>
      <c r="G238" s="19" t="n"/>
      <c r="H238" s="19" t="n"/>
      <c r="I238" s="20" t="n"/>
      <c r="J238" s="20" t="n"/>
      <c r="K238" s="21" t="n"/>
      <c r="L238" s="18" t="n"/>
      <c r="M238" s="22" t="n"/>
      <c r="N238" s="22" t="n"/>
      <c r="O238" s="23" t="n">
        <v>10</v>
      </c>
      <c r="P238" s="24" t="inlineStr">
        <is>
          <t>UNIDAD</t>
        </is>
      </c>
      <c r="Q238" s="20" t="inlineStr">
        <is>
          <t>NO</t>
        </is>
      </c>
      <c r="R238" s="20" t="inlineStr">
        <is>
          <t>NO</t>
        </is>
      </c>
      <c r="S238" s="25" t="n">
        <v>1</v>
      </c>
      <c r="T238" s="20" t="inlineStr">
        <is>
          <t>NO</t>
        </is>
      </c>
      <c r="U238" s="20" t="n"/>
      <c r="V238" s="21" t="n"/>
      <c r="W238" s="26" t="n"/>
      <c r="X238" s="27" t="n"/>
      <c r="Y238" s="20" t="n"/>
      <c r="Z238" s="20" t="n"/>
      <c r="AA238" s="26">
        <f>IF(X238="","",X238-IF(W238="",0,W238))</f>
        <v/>
      </c>
      <c r="AB238" s="28">
        <f>IF(OR(X238="",M238=""),"",X238*M238)</f>
        <v/>
      </c>
      <c r="AC238" s="28">
        <f>IF(OR(X238="",N238=""),"",X238*N238)</f>
        <v/>
      </c>
      <c r="AD238" s="28">
        <f>IF(OR(M238="",N238=""),"",N238-M238)</f>
        <v/>
      </c>
      <c r="AE238" s="29">
        <f>IFERROR(IF(M238&gt;0,(N238-M238)/M238,""),"")</f>
        <v/>
      </c>
      <c r="AF238" s="30" t="n"/>
      <c r="AG238" s="30" t="inlineStr">
        <is>
          <t>PENDIENTE</t>
        </is>
      </c>
      <c r="AH238" s="18">
        <f>IF(NOT(OR(B238="EXISTENTE",COUNTA(G238,H238,I238,J238,K238,M238,N238,U238,V238,X238,Y238,Z238,AF238,AJ238)&gt;0)),"",IF(AK238&lt;&gt;"","REVISAR",IF(OR(G238="",H238="",M238="",N238="",O238="",P238="",X238=""),"INCOMPLETO",IF(AI238&lt;&gt;"","REVISAR",IF(AND(AF238&lt;&gt;"",AG238="ESCANEADO"),"LISTO_COMPLETO","LISTO_SIN_BARCODE")))))</f>
        <v/>
      </c>
      <c r="AI238" s="17">
        <f>IF(NOT(OR(B238="EXISTENTE",COUNTA(G238,H238,I238,J238,K238,M238,N238,U238,V238,X238,Y238,Z238,AF238,AJ238)&gt;0)),"",TEXTJOIN(" | ",TRUE,IF(A238="","Falta ID staging",""),IF(COUNTIF($A$5:$A$445,A238)&gt;1,"ID staging duplicado",""),IF(G238="","Falta nombre",""),IF(LEN(G238)&gt;150,"Nombre &gt;150 caracteres",""),IF(H238="","Falta categoría",IF(COUNTIF(CategoriasLista,H238)=0,"Categoría inválida","")),IF(M238="","Falta precio compra",IF(OR(NOT(ISNUMBER(M238)),M238&lt;0),"Precio compra inválido","")),IF(N238="","Falta precio venta",IF(OR(NOT(ISNUMBER(N238)),N238&lt;=0,N238&lt;M238),"Precio venta inválido","")),IF(O238="","Falta stock mínimo",IF(OR(NOT(ISNUMBER(O238)),O238&lt;0,MOD(O238,1)&lt;&gt;0),"Stock mínimo inválido","")),IF(P238="","Falta unidad",IF(COUNTIF(UnidadesLista,P238)=0,"Unidad inválida","")),IF(AND(K238&lt;&gt;"",COUNTIF(ProveedoresLista,K238)=0),"Proveedor no catalogado",""),IF(X238="","Falta cantidad contada",IF(OR(NOT(ISNUMBER(X238)),X238&lt;0,ABS(X238*1000-ROUND(X238*1000,0))&gt;0.0000001),"Cantidad inválida",IF(AND(Q238="NO",MOD(X238,1)&lt;&gt;0),"Cantidad fraccionaria no permitida",""))),IF(AND(R238="SI",OR(NOT(ISNUMBER(S238)),S238&lt;1,MOD(S238,1)&lt;&gt;0)),"Empaque inválido",""),IF(OR(AND(AF238="",AG238="ESCANEADO"),AND(AF238&lt;&gt;"",AG238&lt;&gt;"ESCANEADO")),"Barcode/estado inconsistente",""),IF(AK238&lt;&gt;"",AK238,"")))</f>
        <v/>
      </c>
      <c r="AJ238" s="21" t="n"/>
      <c r="AK238" s="17">
        <f>IF(G238="","",IF(OR(COUNTIFS($G$5:$G$445,G238,$I$5:$I$445,I238,$J$5:$J$445,J238,$P$5:$P$445,P238)&gt;1,AND(AF238&lt;&gt;"",COUNTIF($AF$5:$AF$445,AF238)&gt;1)),"REVISAR_POSIBLE_DUPLICADO",""))</f>
        <v/>
      </c>
    </row>
    <row r="239">
      <c r="A239" s="17" t="inlineStr">
        <is>
          <t>8414310d-3ad4-5bdf-b09c-eaa1ad52219b</t>
        </is>
      </c>
      <c r="B239" s="18" t="inlineStr">
        <is>
          <t>NUEVO</t>
        </is>
      </c>
      <c r="C239" s="18" t="inlineStr">
        <is>
          <t>ACTIVO</t>
        </is>
      </c>
      <c r="D239" s="18" t="n"/>
      <c r="E239" s="17" t="n"/>
      <c r="F239" s="17" t="n"/>
      <c r="G239" s="19" t="n"/>
      <c r="H239" s="19" t="n"/>
      <c r="I239" s="20" t="n"/>
      <c r="J239" s="20" t="n"/>
      <c r="K239" s="21" t="n"/>
      <c r="L239" s="18" t="n"/>
      <c r="M239" s="22" t="n"/>
      <c r="N239" s="22" t="n"/>
      <c r="O239" s="23" t="n">
        <v>10</v>
      </c>
      <c r="P239" s="24" t="inlineStr">
        <is>
          <t>UNIDAD</t>
        </is>
      </c>
      <c r="Q239" s="20" t="inlineStr">
        <is>
          <t>NO</t>
        </is>
      </c>
      <c r="R239" s="20" t="inlineStr">
        <is>
          <t>NO</t>
        </is>
      </c>
      <c r="S239" s="25" t="n">
        <v>1</v>
      </c>
      <c r="T239" s="20" t="inlineStr">
        <is>
          <t>NO</t>
        </is>
      </c>
      <c r="U239" s="20" t="n"/>
      <c r="V239" s="21" t="n"/>
      <c r="W239" s="26" t="n"/>
      <c r="X239" s="27" t="n"/>
      <c r="Y239" s="20" t="n"/>
      <c r="Z239" s="20" t="n"/>
      <c r="AA239" s="26">
        <f>IF(X239="","",X239-IF(W239="",0,W239))</f>
        <v/>
      </c>
      <c r="AB239" s="28">
        <f>IF(OR(X239="",M239=""),"",X239*M239)</f>
        <v/>
      </c>
      <c r="AC239" s="28">
        <f>IF(OR(X239="",N239=""),"",X239*N239)</f>
        <v/>
      </c>
      <c r="AD239" s="28">
        <f>IF(OR(M239="",N239=""),"",N239-M239)</f>
        <v/>
      </c>
      <c r="AE239" s="29">
        <f>IFERROR(IF(M239&gt;0,(N239-M239)/M239,""),"")</f>
        <v/>
      </c>
      <c r="AF239" s="30" t="n"/>
      <c r="AG239" s="30" t="inlineStr">
        <is>
          <t>PENDIENTE</t>
        </is>
      </c>
      <c r="AH239" s="18">
        <f>IF(NOT(OR(B239="EXISTENTE",COUNTA(G239,H239,I239,J239,K239,M239,N239,U239,V239,X239,Y239,Z239,AF239,AJ239)&gt;0)),"",IF(AK239&lt;&gt;"","REVISAR",IF(OR(G239="",H239="",M239="",N239="",O239="",P239="",X239=""),"INCOMPLETO",IF(AI239&lt;&gt;"","REVISAR",IF(AND(AF239&lt;&gt;"",AG239="ESCANEADO"),"LISTO_COMPLETO","LISTO_SIN_BARCODE")))))</f>
        <v/>
      </c>
      <c r="AI239" s="17">
        <f>IF(NOT(OR(B239="EXISTENTE",COUNTA(G239,H239,I239,J239,K239,M239,N239,U239,V239,X239,Y239,Z239,AF239,AJ239)&gt;0)),"",TEXTJOIN(" | ",TRUE,IF(A239="","Falta ID staging",""),IF(COUNTIF($A$5:$A$445,A239)&gt;1,"ID staging duplicado",""),IF(G239="","Falta nombre",""),IF(LEN(G239)&gt;150,"Nombre &gt;150 caracteres",""),IF(H239="","Falta categoría",IF(COUNTIF(CategoriasLista,H239)=0,"Categoría inválida","")),IF(M239="","Falta precio compra",IF(OR(NOT(ISNUMBER(M239)),M239&lt;0),"Precio compra inválido","")),IF(N239="","Falta precio venta",IF(OR(NOT(ISNUMBER(N239)),N239&lt;=0,N239&lt;M239),"Precio venta inválido","")),IF(O239="","Falta stock mínimo",IF(OR(NOT(ISNUMBER(O239)),O239&lt;0,MOD(O239,1)&lt;&gt;0),"Stock mínimo inválido","")),IF(P239="","Falta unidad",IF(COUNTIF(UnidadesLista,P239)=0,"Unidad inválida","")),IF(AND(K239&lt;&gt;"",COUNTIF(ProveedoresLista,K239)=0),"Proveedor no catalogado",""),IF(X239="","Falta cantidad contada",IF(OR(NOT(ISNUMBER(X239)),X239&lt;0,ABS(X239*1000-ROUND(X239*1000,0))&gt;0.0000001),"Cantidad inválida",IF(AND(Q239="NO",MOD(X239,1)&lt;&gt;0),"Cantidad fraccionaria no permitida",""))),IF(AND(R239="SI",OR(NOT(ISNUMBER(S239)),S239&lt;1,MOD(S239,1)&lt;&gt;0)),"Empaque inválido",""),IF(OR(AND(AF239="",AG239="ESCANEADO"),AND(AF239&lt;&gt;"",AG239&lt;&gt;"ESCANEADO")),"Barcode/estado inconsistente",""),IF(AK239&lt;&gt;"",AK239,"")))</f>
        <v/>
      </c>
      <c r="AJ239" s="21" t="n"/>
      <c r="AK239" s="17">
        <f>IF(G239="","",IF(OR(COUNTIFS($G$5:$G$445,G239,$I$5:$I$445,I239,$J$5:$J$445,J239,$P$5:$P$445,P239)&gt;1,AND(AF239&lt;&gt;"",COUNTIF($AF$5:$AF$445,AF239)&gt;1)),"REVISAR_POSIBLE_DUPLICADO",""))</f>
        <v/>
      </c>
    </row>
    <row r="240">
      <c r="A240" s="17" t="inlineStr">
        <is>
          <t>6ad2933e-c012-5d7a-8fbe-5d856d4aa95c</t>
        </is>
      </c>
      <c r="B240" s="18" t="inlineStr">
        <is>
          <t>NUEVO</t>
        </is>
      </c>
      <c r="C240" s="18" t="inlineStr">
        <is>
          <t>ACTIVO</t>
        </is>
      </c>
      <c r="D240" s="18" t="n"/>
      <c r="E240" s="17" t="n"/>
      <c r="F240" s="17" t="n"/>
      <c r="G240" s="19" t="n"/>
      <c r="H240" s="19" t="n"/>
      <c r="I240" s="20" t="n"/>
      <c r="J240" s="20" t="n"/>
      <c r="K240" s="21" t="n"/>
      <c r="L240" s="18" t="n"/>
      <c r="M240" s="22" t="n"/>
      <c r="N240" s="22" t="n"/>
      <c r="O240" s="23" t="n">
        <v>10</v>
      </c>
      <c r="P240" s="24" t="inlineStr">
        <is>
          <t>UNIDAD</t>
        </is>
      </c>
      <c r="Q240" s="20" t="inlineStr">
        <is>
          <t>NO</t>
        </is>
      </c>
      <c r="R240" s="20" t="inlineStr">
        <is>
          <t>NO</t>
        </is>
      </c>
      <c r="S240" s="25" t="n">
        <v>1</v>
      </c>
      <c r="T240" s="20" t="inlineStr">
        <is>
          <t>NO</t>
        </is>
      </c>
      <c r="U240" s="20" t="n"/>
      <c r="V240" s="21" t="n"/>
      <c r="W240" s="26" t="n"/>
      <c r="X240" s="27" t="n"/>
      <c r="Y240" s="20" t="n"/>
      <c r="Z240" s="20" t="n"/>
      <c r="AA240" s="26">
        <f>IF(X240="","",X240-IF(W240="",0,W240))</f>
        <v/>
      </c>
      <c r="AB240" s="28">
        <f>IF(OR(X240="",M240=""),"",X240*M240)</f>
        <v/>
      </c>
      <c r="AC240" s="28">
        <f>IF(OR(X240="",N240=""),"",X240*N240)</f>
        <v/>
      </c>
      <c r="AD240" s="28">
        <f>IF(OR(M240="",N240=""),"",N240-M240)</f>
        <v/>
      </c>
      <c r="AE240" s="29">
        <f>IFERROR(IF(M240&gt;0,(N240-M240)/M240,""),"")</f>
        <v/>
      </c>
      <c r="AF240" s="30" t="n"/>
      <c r="AG240" s="30" t="inlineStr">
        <is>
          <t>PENDIENTE</t>
        </is>
      </c>
      <c r="AH240" s="18">
        <f>IF(NOT(OR(B240="EXISTENTE",COUNTA(G240,H240,I240,J240,K240,M240,N240,U240,V240,X240,Y240,Z240,AF240,AJ240)&gt;0)),"",IF(AK240&lt;&gt;"","REVISAR",IF(OR(G240="",H240="",M240="",N240="",O240="",P240="",X240=""),"INCOMPLETO",IF(AI240&lt;&gt;"","REVISAR",IF(AND(AF240&lt;&gt;"",AG240="ESCANEADO"),"LISTO_COMPLETO","LISTO_SIN_BARCODE")))))</f>
        <v/>
      </c>
      <c r="AI240" s="17">
        <f>IF(NOT(OR(B240="EXISTENTE",COUNTA(G240,H240,I240,J240,K240,M240,N240,U240,V240,X240,Y240,Z240,AF240,AJ240)&gt;0)),"",TEXTJOIN(" | ",TRUE,IF(A240="","Falta ID staging",""),IF(COUNTIF($A$5:$A$445,A240)&gt;1,"ID staging duplicado",""),IF(G240="","Falta nombre",""),IF(LEN(G240)&gt;150,"Nombre &gt;150 caracteres",""),IF(H240="","Falta categoría",IF(COUNTIF(CategoriasLista,H240)=0,"Categoría inválida","")),IF(M240="","Falta precio compra",IF(OR(NOT(ISNUMBER(M240)),M240&lt;0),"Precio compra inválido","")),IF(N240="","Falta precio venta",IF(OR(NOT(ISNUMBER(N240)),N240&lt;=0,N240&lt;M240),"Precio venta inválido","")),IF(O240="","Falta stock mínimo",IF(OR(NOT(ISNUMBER(O240)),O240&lt;0,MOD(O240,1)&lt;&gt;0),"Stock mínimo inválido","")),IF(P240="","Falta unidad",IF(COUNTIF(UnidadesLista,P240)=0,"Unidad inválida","")),IF(AND(K240&lt;&gt;"",COUNTIF(ProveedoresLista,K240)=0),"Proveedor no catalogado",""),IF(X240="","Falta cantidad contada",IF(OR(NOT(ISNUMBER(X240)),X240&lt;0,ABS(X240*1000-ROUND(X240*1000,0))&gt;0.0000001),"Cantidad inválida",IF(AND(Q240="NO",MOD(X240,1)&lt;&gt;0),"Cantidad fraccionaria no permitida",""))),IF(AND(R240="SI",OR(NOT(ISNUMBER(S240)),S240&lt;1,MOD(S240,1)&lt;&gt;0)),"Empaque inválido",""),IF(OR(AND(AF240="",AG240="ESCANEADO"),AND(AF240&lt;&gt;"",AG240&lt;&gt;"ESCANEADO")),"Barcode/estado inconsistente",""),IF(AK240&lt;&gt;"",AK240,"")))</f>
        <v/>
      </c>
      <c r="AJ240" s="21" t="n"/>
      <c r="AK240" s="17">
        <f>IF(G240="","",IF(OR(COUNTIFS($G$5:$G$445,G240,$I$5:$I$445,I240,$J$5:$J$445,J240,$P$5:$P$445,P240)&gt;1,AND(AF240&lt;&gt;"",COUNTIF($AF$5:$AF$445,AF240)&gt;1)),"REVISAR_POSIBLE_DUPLICADO",""))</f>
        <v/>
      </c>
    </row>
    <row r="241">
      <c r="A241" s="17" t="inlineStr">
        <is>
          <t>cf0d1693-097e-5a5c-bb6c-5f5fc15f8f5a</t>
        </is>
      </c>
      <c r="B241" s="18" t="inlineStr">
        <is>
          <t>NUEVO</t>
        </is>
      </c>
      <c r="C241" s="18" t="inlineStr">
        <is>
          <t>ACTIVO</t>
        </is>
      </c>
      <c r="D241" s="18" t="n"/>
      <c r="E241" s="17" t="n"/>
      <c r="F241" s="17" t="n"/>
      <c r="G241" s="19" t="n"/>
      <c r="H241" s="19" t="n"/>
      <c r="I241" s="20" t="n"/>
      <c r="J241" s="20" t="n"/>
      <c r="K241" s="21" t="n"/>
      <c r="L241" s="18" t="n"/>
      <c r="M241" s="22" t="n"/>
      <c r="N241" s="22" t="n"/>
      <c r="O241" s="23" t="n">
        <v>10</v>
      </c>
      <c r="P241" s="24" t="inlineStr">
        <is>
          <t>UNIDAD</t>
        </is>
      </c>
      <c r="Q241" s="20" t="inlineStr">
        <is>
          <t>NO</t>
        </is>
      </c>
      <c r="R241" s="20" t="inlineStr">
        <is>
          <t>NO</t>
        </is>
      </c>
      <c r="S241" s="25" t="n">
        <v>1</v>
      </c>
      <c r="T241" s="20" t="inlineStr">
        <is>
          <t>NO</t>
        </is>
      </c>
      <c r="U241" s="20" t="n"/>
      <c r="V241" s="21" t="n"/>
      <c r="W241" s="26" t="n"/>
      <c r="X241" s="27" t="n"/>
      <c r="Y241" s="20" t="n"/>
      <c r="Z241" s="20" t="n"/>
      <c r="AA241" s="26">
        <f>IF(X241="","",X241-IF(W241="",0,W241))</f>
        <v/>
      </c>
      <c r="AB241" s="28">
        <f>IF(OR(X241="",M241=""),"",X241*M241)</f>
        <v/>
      </c>
      <c r="AC241" s="28">
        <f>IF(OR(X241="",N241=""),"",X241*N241)</f>
        <v/>
      </c>
      <c r="AD241" s="28">
        <f>IF(OR(M241="",N241=""),"",N241-M241)</f>
        <v/>
      </c>
      <c r="AE241" s="29">
        <f>IFERROR(IF(M241&gt;0,(N241-M241)/M241,""),"")</f>
        <v/>
      </c>
      <c r="AF241" s="30" t="n"/>
      <c r="AG241" s="30" t="inlineStr">
        <is>
          <t>PENDIENTE</t>
        </is>
      </c>
      <c r="AH241" s="18">
        <f>IF(NOT(OR(B241="EXISTENTE",COUNTA(G241,H241,I241,J241,K241,M241,N241,U241,V241,X241,Y241,Z241,AF241,AJ241)&gt;0)),"",IF(AK241&lt;&gt;"","REVISAR",IF(OR(G241="",H241="",M241="",N241="",O241="",P241="",X241=""),"INCOMPLETO",IF(AI241&lt;&gt;"","REVISAR",IF(AND(AF241&lt;&gt;"",AG241="ESCANEADO"),"LISTO_COMPLETO","LISTO_SIN_BARCODE")))))</f>
        <v/>
      </c>
      <c r="AI241" s="17">
        <f>IF(NOT(OR(B241="EXISTENTE",COUNTA(G241,H241,I241,J241,K241,M241,N241,U241,V241,X241,Y241,Z241,AF241,AJ241)&gt;0)),"",TEXTJOIN(" | ",TRUE,IF(A241="","Falta ID staging",""),IF(COUNTIF($A$5:$A$445,A241)&gt;1,"ID staging duplicado",""),IF(G241="","Falta nombre",""),IF(LEN(G241)&gt;150,"Nombre &gt;150 caracteres",""),IF(H241="","Falta categoría",IF(COUNTIF(CategoriasLista,H241)=0,"Categoría inválida","")),IF(M241="","Falta precio compra",IF(OR(NOT(ISNUMBER(M241)),M241&lt;0),"Precio compra inválido","")),IF(N241="","Falta precio venta",IF(OR(NOT(ISNUMBER(N241)),N241&lt;=0,N241&lt;M241),"Precio venta inválido","")),IF(O241="","Falta stock mínimo",IF(OR(NOT(ISNUMBER(O241)),O241&lt;0,MOD(O241,1)&lt;&gt;0),"Stock mínimo inválido","")),IF(P241="","Falta unidad",IF(COUNTIF(UnidadesLista,P241)=0,"Unidad inválida","")),IF(AND(K241&lt;&gt;"",COUNTIF(ProveedoresLista,K241)=0),"Proveedor no catalogado",""),IF(X241="","Falta cantidad contada",IF(OR(NOT(ISNUMBER(X241)),X241&lt;0,ABS(X241*1000-ROUND(X241*1000,0))&gt;0.0000001),"Cantidad inválida",IF(AND(Q241="NO",MOD(X241,1)&lt;&gt;0),"Cantidad fraccionaria no permitida",""))),IF(AND(R241="SI",OR(NOT(ISNUMBER(S241)),S241&lt;1,MOD(S241,1)&lt;&gt;0)),"Empaque inválido",""),IF(OR(AND(AF241="",AG241="ESCANEADO"),AND(AF241&lt;&gt;"",AG241&lt;&gt;"ESCANEADO")),"Barcode/estado inconsistente",""),IF(AK241&lt;&gt;"",AK241,"")))</f>
        <v/>
      </c>
      <c r="AJ241" s="21" t="n"/>
      <c r="AK241" s="17">
        <f>IF(G241="","",IF(OR(COUNTIFS($G$5:$G$445,G241,$I$5:$I$445,I241,$J$5:$J$445,J241,$P$5:$P$445,P241)&gt;1,AND(AF241&lt;&gt;"",COUNTIF($AF$5:$AF$445,AF241)&gt;1)),"REVISAR_POSIBLE_DUPLICADO",""))</f>
        <v/>
      </c>
    </row>
    <row r="242">
      <c r="A242" s="17" t="inlineStr">
        <is>
          <t>685a4a45-5e4b-5ae8-a10d-1ca994455fda</t>
        </is>
      </c>
      <c r="B242" s="18" t="inlineStr">
        <is>
          <t>NUEVO</t>
        </is>
      </c>
      <c r="C242" s="18" t="inlineStr">
        <is>
          <t>ACTIVO</t>
        </is>
      </c>
      <c r="D242" s="18" t="n"/>
      <c r="E242" s="17" t="n"/>
      <c r="F242" s="17" t="n"/>
      <c r="G242" s="19" t="n"/>
      <c r="H242" s="19" t="n"/>
      <c r="I242" s="20" t="n"/>
      <c r="J242" s="20" t="n"/>
      <c r="K242" s="21" t="n"/>
      <c r="L242" s="18" t="n"/>
      <c r="M242" s="22" t="n"/>
      <c r="N242" s="22" t="n"/>
      <c r="O242" s="23" t="n">
        <v>10</v>
      </c>
      <c r="P242" s="24" t="inlineStr">
        <is>
          <t>UNIDAD</t>
        </is>
      </c>
      <c r="Q242" s="20" t="inlineStr">
        <is>
          <t>NO</t>
        </is>
      </c>
      <c r="R242" s="20" t="inlineStr">
        <is>
          <t>NO</t>
        </is>
      </c>
      <c r="S242" s="25" t="n">
        <v>1</v>
      </c>
      <c r="T242" s="20" t="inlineStr">
        <is>
          <t>NO</t>
        </is>
      </c>
      <c r="U242" s="20" t="n"/>
      <c r="V242" s="21" t="n"/>
      <c r="W242" s="26" t="n"/>
      <c r="X242" s="27" t="n"/>
      <c r="Y242" s="20" t="n"/>
      <c r="Z242" s="20" t="n"/>
      <c r="AA242" s="26">
        <f>IF(X242="","",X242-IF(W242="",0,W242))</f>
        <v/>
      </c>
      <c r="AB242" s="28">
        <f>IF(OR(X242="",M242=""),"",X242*M242)</f>
        <v/>
      </c>
      <c r="AC242" s="28">
        <f>IF(OR(X242="",N242=""),"",X242*N242)</f>
        <v/>
      </c>
      <c r="AD242" s="28">
        <f>IF(OR(M242="",N242=""),"",N242-M242)</f>
        <v/>
      </c>
      <c r="AE242" s="29">
        <f>IFERROR(IF(M242&gt;0,(N242-M242)/M242,""),"")</f>
        <v/>
      </c>
      <c r="AF242" s="30" t="n"/>
      <c r="AG242" s="30" t="inlineStr">
        <is>
          <t>PENDIENTE</t>
        </is>
      </c>
      <c r="AH242" s="18">
        <f>IF(NOT(OR(B242="EXISTENTE",COUNTA(G242,H242,I242,J242,K242,M242,N242,U242,V242,X242,Y242,Z242,AF242,AJ242)&gt;0)),"",IF(AK242&lt;&gt;"","REVISAR",IF(OR(G242="",H242="",M242="",N242="",O242="",P242="",X242=""),"INCOMPLETO",IF(AI242&lt;&gt;"","REVISAR",IF(AND(AF242&lt;&gt;"",AG242="ESCANEADO"),"LISTO_COMPLETO","LISTO_SIN_BARCODE")))))</f>
        <v/>
      </c>
      <c r="AI242" s="17">
        <f>IF(NOT(OR(B242="EXISTENTE",COUNTA(G242,H242,I242,J242,K242,M242,N242,U242,V242,X242,Y242,Z242,AF242,AJ242)&gt;0)),"",TEXTJOIN(" | ",TRUE,IF(A242="","Falta ID staging",""),IF(COUNTIF($A$5:$A$445,A242)&gt;1,"ID staging duplicado",""),IF(G242="","Falta nombre",""),IF(LEN(G242)&gt;150,"Nombre &gt;150 caracteres",""),IF(H242="","Falta categoría",IF(COUNTIF(CategoriasLista,H242)=0,"Categoría inválida","")),IF(M242="","Falta precio compra",IF(OR(NOT(ISNUMBER(M242)),M242&lt;0),"Precio compra inválido","")),IF(N242="","Falta precio venta",IF(OR(NOT(ISNUMBER(N242)),N242&lt;=0,N242&lt;M242),"Precio venta inválido","")),IF(O242="","Falta stock mínimo",IF(OR(NOT(ISNUMBER(O242)),O242&lt;0,MOD(O242,1)&lt;&gt;0),"Stock mínimo inválido","")),IF(P242="","Falta unidad",IF(COUNTIF(UnidadesLista,P242)=0,"Unidad inválida","")),IF(AND(K242&lt;&gt;"",COUNTIF(ProveedoresLista,K242)=0),"Proveedor no catalogado",""),IF(X242="","Falta cantidad contada",IF(OR(NOT(ISNUMBER(X242)),X242&lt;0,ABS(X242*1000-ROUND(X242*1000,0))&gt;0.0000001),"Cantidad inválida",IF(AND(Q242="NO",MOD(X242,1)&lt;&gt;0),"Cantidad fraccionaria no permitida",""))),IF(AND(R242="SI",OR(NOT(ISNUMBER(S242)),S242&lt;1,MOD(S242,1)&lt;&gt;0)),"Empaque inválido",""),IF(OR(AND(AF242="",AG242="ESCANEADO"),AND(AF242&lt;&gt;"",AG242&lt;&gt;"ESCANEADO")),"Barcode/estado inconsistente",""),IF(AK242&lt;&gt;"",AK242,"")))</f>
        <v/>
      </c>
      <c r="AJ242" s="21" t="n"/>
      <c r="AK242" s="17">
        <f>IF(G242="","",IF(OR(COUNTIFS($G$5:$G$445,G242,$I$5:$I$445,I242,$J$5:$J$445,J242,$P$5:$P$445,P242)&gt;1,AND(AF242&lt;&gt;"",COUNTIF($AF$5:$AF$445,AF242)&gt;1)),"REVISAR_POSIBLE_DUPLICADO",""))</f>
        <v/>
      </c>
    </row>
    <row r="243">
      <c r="A243" s="17" t="inlineStr">
        <is>
          <t>59f32725-7dfb-5f86-bf0c-c09aff104d10</t>
        </is>
      </c>
      <c r="B243" s="18" t="inlineStr">
        <is>
          <t>NUEVO</t>
        </is>
      </c>
      <c r="C243" s="18" t="inlineStr">
        <is>
          <t>ACTIVO</t>
        </is>
      </c>
      <c r="D243" s="18" t="n"/>
      <c r="E243" s="17" t="n"/>
      <c r="F243" s="17" t="n"/>
      <c r="G243" s="19" t="n"/>
      <c r="H243" s="19" t="n"/>
      <c r="I243" s="20" t="n"/>
      <c r="J243" s="20" t="n"/>
      <c r="K243" s="21" t="n"/>
      <c r="L243" s="18" t="n"/>
      <c r="M243" s="22" t="n"/>
      <c r="N243" s="22" t="n"/>
      <c r="O243" s="23" t="n">
        <v>10</v>
      </c>
      <c r="P243" s="24" t="inlineStr">
        <is>
          <t>UNIDAD</t>
        </is>
      </c>
      <c r="Q243" s="20" t="inlineStr">
        <is>
          <t>NO</t>
        </is>
      </c>
      <c r="R243" s="20" t="inlineStr">
        <is>
          <t>NO</t>
        </is>
      </c>
      <c r="S243" s="25" t="n">
        <v>1</v>
      </c>
      <c r="T243" s="20" t="inlineStr">
        <is>
          <t>NO</t>
        </is>
      </c>
      <c r="U243" s="20" t="n"/>
      <c r="V243" s="21" t="n"/>
      <c r="W243" s="26" t="n"/>
      <c r="X243" s="27" t="n"/>
      <c r="Y243" s="20" t="n"/>
      <c r="Z243" s="20" t="n"/>
      <c r="AA243" s="26">
        <f>IF(X243="","",X243-IF(W243="",0,W243))</f>
        <v/>
      </c>
      <c r="AB243" s="28">
        <f>IF(OR(X243="",M243=""),"",X243*M243)</f>
        <v/>
      </c>
      <c r="AC243" s="28">
        <f>IF(OR(X243="",N243=""),"",X243*N243)</f>
        <v/>
      </c>
      <c r="AD243" s="28">
        <f>IF(OR(M243="",N243=""),"",N243-M243)</f>
        <v/>
      </c>
      <c r="AE243" s="29">
        <f>IFERROR(IF(M243&gt;0,(N243-M243)/M243,""),"")</f>
        <v/>
      </c>
      <c r="AF243" s="30" t="n"/>
      <c r="AG243" s="30" t="inlineStr">
        <is>
          <t>PENDIENTE</t>
        </is>
      </c>
      <c r="AH243" s="18">
        <f>IF(NOT(OR(B243="EXISTENTE",COUNTA(G243,H243,I243,J243,K243,M243,N243,U243,V243,X243,Y243,Z243,AF243,AJ243)&gt;0)),"",IF(AK243&lt;&gt;"","REVISAR",IF(OR(G243="",H243="",M243="",N243="",O243="",P243="",X243=""),"INCOMPLETO",IF(AI243&lt;&gt;"","REVISAR",IF(AND(AF243&lt;&gt;"",AG243="ESCANEADO"),"LISTO_COMPLETO","LISTO_SIN_BARCODE")))))</f>
        <v/>
      </c>
      <c r="AI243" s="17">
        <f>IF(NOT(OR(B243="EXISTENTE",COUNTA(G243,H243,I243,J243,K243,M243,N243,U243,V243,X243,Y243,Z243,AF243,AJ243)&gt;0)),"",TEXTJOIN(" | ",TRUE,IF(A243="","Falta ID staging",""),IF(COUNTIF($A$5:$A$445,A243)&gt;1,"ID staging duplicado",""),IF(G243="","Falta nombre",""),IF(LEN(G243)&gt;150,"Nombre &gt;150 caracteres",""),IF(H243="","Falta categoría",IF(COUNTIF(CategoriasLista,H243)=0,"Categoría inválida","")),IF(M243="","Falta precio compra",IF(OR(NOT(ISNUMBER(M243)),M243&lt;0),"Precio compra inválido","")),IF(N243="","Falta precio venta",IF(OR(NOT(ISNUMBER(N243)),N243&lt;=0,N243&lt;M243),"Precio venta inválido","")),IF(O243="","Falta stock mínimo",IF(OR(NOT(ISNUMBER(O243)),O243&lt;0,MOD(O243,1)&lt;&gt;0),"Stock mínimo inválido","")),IF(P243="","Falta unidad",IF(COUNTIF(UnidadesLista,P243)=0,"Unidad inválida","")),IF(AND(K243&lt;&gt;"",COUNTIF(ProveedoresLista,K243)=0),"Proveedor no catalogado",""),IF(X243="","Falta cantidad contada",IF(OR(NOT(ISNUMBER(X243)),X243&lt;0,ABS(X243*1000-ROUND(X243*1000,0))&gt;0.0000001),"Cantidad inválida",IF(AND(Q243="NO",MOD(X243,1)&lt;&gt;0),"Cantidad fraccionaria no permitida",""))),IF(AND(R243="SI",OR(NOT(ISNUMBER(S243)),S243&lt;1,MOD(S243,1)&lt;&gt;0)),"Empaque inválido",""),IF(OR(AND(AF243="",AG243="ESCANEADO"),AND(AF243&lt;&gt;"",AG243&lt;&gt;"ESCANEADO")),"Barcode/estado inconsistente",""),IF(AK243&lt;&gt;"",AK243,"")))</f>
        <v/>
      </c>
      <c r="AJ243" s="21" t="n"/>
      <c r="AK243" s="17">
        <f>IF(G243="","",IF(OR(COUNTIFS($G$5:$G$445,G243,$I$5:$I$445,I243,$J$5:$J$445,J243,$P$5:$P$445,P243)&gt;1,AND(AF243&lt;&gt;"",COUNTIF($AF$5:$AF$445,AF243)&gt;1)),"REVISAR_POSIBLE_DUPLICADO",""))</f>
        <v/>
      </c>
    </row>
    <row r="244">
      <c r="A244" s="17" t="inlineStr">
        <is>
          <t>962bb8c6-0010-5df5-82e5-2b256ea5c1d1</t>
        </is>
      </c>
      <c r="B244" s="18" t="inlineStr">
        <is>
          <t>NUEVO</t>
        </is>
      </c>
      <c r="C244" s="18" t="inlineStr">
        <is>
          <t>ACTIVO</t>
        </is>
      </c>
      <c r="D244" s="18" t="n"/>
      <c r="E244" s="17" t="n"/>
      <c r="F244" s="17" t="n"/>
      <c r="G244" s="19" t="n"/>
      <c r="H244" s="19" t="n"/>
      <c r="I244" s="20" t="n"/>
      <c r="J244" s="20" t="n"/>
      <c r="K244" s="21" t="n"/>
      <c r="L244" s="18" t="n"/>
      <c r="M244" s="22" t="n"/>
      <c r="N244" s="22" t="n"/>
      <c r="O244" s="23" t="n">
        <v>10</v>
      </c>
      <c r="P244" s="24" t="inlineStr">
        <is>
          <t>UNIDAD</t>
        </is>
      </c>
      <c r="Q244" s="20" t="inlineStr">
        <is>
          <t>NO</t>
        </is>
      </c>
      <c r="R244" s="20" t="inlineStr">
        <is>
          <t>NO</t>
        </is>
      </c>
      <c r="S244" s="25" t="n">
        <v>1</v>
      </c>
      <c r="T244" s="20" t="inlineStr">
        <is>
          <t>NO</t>
        </is>
      </c>
      <c r="U244" s="20" t="n"/>
      <c r="V244" s="21" t="n"/>
      <c r="W244" s="26" t="n"/>
      <c r="X244" s="27" t="n"/>
      <c r="Y244" s="20" t="n"/>
      <c r="Z244" s="20" t="n"/>
      <c r="AA244" s="26">
        <f>IF(X244="","",X244-IF(W244="",0,W244))</f>
        <v/>
      </c>
      <c r="AB244" s="28">
        <f>IF(OR(X244="",M244=""),"",X244*M244)</f>
        <v/>
      </c>
      <c r="AC244" s="28">
        <f>IF(OR(X244="",N244=""),"",X244*N244)</f>
        <v/>
      </c>
      <c r="AD244" s="28">
        <f>IF(OR(M244="",N244=""),"",N244-M244)</f>
        <v/>
      </c>
      <c r="AE244" s="29">
        <f>IFERROR(IF(M244&gt;0,(N244-M244)/M244,""),"")</f>
        <v/>
      </c>
      <c r="AF244" s="30" t="n"/>
      <c r="AG244" s="30" t="inlineStr">
        <is>
          <t>PENDIENTE</t>
        </is>
      </c>
      <c r="AH244" s="18">
        <f>IF(NOT(OR(B244="EXISTENTE",COUNTA(G244,H244,I244,J244,K244,M244,N244,U244,V244,X244,Y244,Z244,AF244,AJ244)&gt;0)),"",IF(AK244&lt;&gt;"","REVISAR",IF(OR(G244="",H244="",M244="",N244="",O244="",P244="",X244=""),"INCOMPLETO",IF(AI244&lt;&gt;"","REVISAR",IF(AND(AF244&lt;&gt;"",AG244="ESCANEADO"),"LISTO_COMPLETO","LISTO_SIN_BARCODE")))))</f>
        <v/>
      </c>
      <c r="AI244" s="17">
        <f>IF(NOT(OR(B244="EXISTENTE",COUNTA(G244,H244,I244,J244,K244,M244,N244,U244,V244,X244,Y244,Z244,AF244,AJ244)&gt;0)),"",TEXTJOIN(" | ",TRUE,IF(A244="","Falta ID staging",""),IF(COUNTIF($A$5:$A$445,A244)&gt;1,"ID staging duplicado",""),IF(G244="","Falta nombre",""),IF(LEN(G244)&gt;150,"Nombre &gt;150 caracteres",""),IF(H244="","Falta categoría",IF(COUNTIF(CategoriasLista,H244)=0,"Categoría inválida","")),IF(M244="","Falta precio compra",IF(OR(NOT(ISNUMBER(M244)),M244&lt;0),"Precio compra inválido","")),IF(N244="","Falta precio venta",IF(OR(NOT(ISNUMBER(N244)),N244&lt;=0,N244&lt;M244),"Precio venta inválido","")),IF(O244="","Falta stock mínimo",IF(OR(NOT(ISNUMBER(O244)),O244&lt;0,MOD(O244,1)&lt;&gt;0),"Stock mínimo inválido","")),IF(P244="","Falta unidad",IF(COUNTIF(UnidadesLista,P244)=0,"Unidad inválida","")),IF(AND(K244&lt;&gt;"",COUNTIF(ProveedoresLista,K244)=0),"Proveedor no catalogado",""),IF(X244="","Falta cantidad contada",IF(OR(NOT(ISNUMBER(X244)),X244&lt;0,ABS(X244*1000-ROUND(X244*1000,0))&gt;0.0000001),"Cantidad inválida",IF(AND(Q244="NO",MOD(X244,1)&lt;&gt;0),"Cantidad fraccionaria no permitida",""))),IF(AND(R244="SI",OR(NOT(ISNUMBER(S244)),S244&lt;1,MOD(S244,1)&lt;&gt;0)),"Empaque inválido",""),IF(OR(AND(AF244="",AG244="ESCANEADO"),AND(AF244&lt;&gt;"",AG244&lt;&gt;"ESCANEADO")),"Barcode/estado inconsistente",""),IF(AK244&lt;&gt;"",AK244,"")))</f>
        <v/>
      </c>
      <c r="AJ244" s="21" t="n"/>
      <c r="AK244" s="17">
        <f>IF(G244="","",IF(OR(COUNTIFS($G$5:$G$445,G244,$I$5:$I$445,I244,$J$5:$J$445,J244,$P$5:$P$445,P244)&gt;1,AND(AF244&lt;&gt;"",COUNTIF($AF$5:$AF$445,AF244)&gt;1)),"REVISAR_POSIBLE_DUPLICADO",""))</f>
        <v/>
      </c>
    </row>
    <row r="245">
      <c r="A245" s="17" t="inlineStr">
        <is>
          <t>219527eb-f8b3-5653-9984-d2dbdc430918</t>
        </is>
      </c>
      <c r="B245" s="18" t="inlineStr">
        <is>
          <t>NUEVO</t>
        </is>
      </c>
      <c r="C245" s="18" t="inlineStr">
        <is>
          <t>ACTIVO</t>
        </is>
      </c>
      <c r="D245" s="18" t="n"/>
      <c r="E245" s="17" t="n"/>
      <c r="F245" s="17" t="n"/>
      <c r="G245" s="19" t="n"/>
      <c r="H245" s="19" t="n"/>
      <c r="I245" s="20" t="n"/>
      <c r="J245" s="20" t="n"/>
      <c r="K245" s="21" t="n"/>
      <c r="L245" s="18" t="n"/>
      <c r="M245" s="22" t="n"/>
      <c r="N245" s="22" t="n"/>
      <c r="O245" s="23" t="n">
        <v>10</v>
      </c>
      <c r="P245" s="24" t="inlineStr">
        <is>
          <t>UNIDAD</t>
        </is>
      </c>
      <c r="Q245" s="20" t="inlineStr">
        <is>
          <t>NO</t>
        </is>
      </c>
      <c r="R245" s="20" t="inlineStr">
        <is>
          <t>NO</t>
        </is>
      </c>
      <c r="S245" s="25" t="n">
        <v>1</v>
      </c>
      <c r="T245" s="20" t="inlineStr">
        <is>
          <t>NO</t>
        </is>
      </c>
      <c r="U245" s="20" t="n"/>
      <c r="V245" s="21" t="n"/>
      <c r="W245" s="26" t="n"/>
      <c r="X245" s="27" t="n"/>
      <c r="Y245" s="20" t="n"/>
      <c r="Z245" s="20" t="n"/>
      <c r="AA245" s="26">
        <f>IF(X245="","",X245-IF(W245="",0,W245))</f>
        <v/>
      </c>
      <c r="AB245" s="28">
        <f>IF(OR(X245="",M245=""),"",X245*M245)</f>
        <v/>
      </c>
      <c r="AC245" s="28">
        <f>IF(OR(X245="",N245=""),"",X245*N245)</f>
        <v/>
      </c>
      <c r="AD245" s="28">
        <f>IF(OR(M245="",N245=""),"",N245-M245)</f>
        <v/>
      </c>
      <c r="AE245" s="29">
        <f>IFERROR(IF(M245&gt;0,(N245-M245)/M245,""),"")</f>
        <v/>
      </c>
      <c r="AF245" s="30" t="n"/>
      <c r="AG245" s="30" t="inlineStr">
        <is>
          <t>PENDIENTE</t>
        </is>
      </c>
      <c r="AH245" s="18">
        <f>IF(NOT(OR(B245="EXISTENTE",COUNTA(G245,H245,I245,J245,K245,M245,N245,U245,V245,X245,Y245,Z245,AF245,AJ245)&gt;0)),"",IF(AK245&lt;&gt;"","REVISAR",IF(OR(G245="",H245="",M245="",N245="",O245="",P245="",X245=""),"INCOMPLETO",IF(AI245&lt;&gt;"","REVISAR",IF(AND(AF245&lt;&gt;"",AG245="ESCANEADO"),"LISTO_COMPLETO","LISTO_SIN_BARCODE")))))</f>
        <v/>
      </c>
      <c r="AI245" s="17">
        <f>IF(NOT(OR(B245="EXISTENTE",COUNTA(G245,H245,I245,J245,K245,M245,N245,U245,V245,X245,Y245,Z245,AF245,AJ245)&gt;0)),"",TEXTJOIN(" | ",TRUE,IF(A245="","Falta ID staging",""),IF(COUNTIF($A$5:$A$445,A245)&gt;1,"ID staging duplicado",""),IF(G245="","Falta nombre",""),IF(LEN(G245)&gt;150,"Nombre &gt;150 caracteres",""),IF(H245="","Falta categoría",IF(COUNTIF(CategoriasLista,H245)=0,"Categoría inválida","")),IF(M245="","Falta precio compra",IF(OR(NOT(ISNUMBER(M245)),M245&lt;0),"Precio compra inválido","")),IF(N245="","Falta precio venta",IF(OR(NOT(ISNUMBER(N245)),N245&lt;=0,N245&lt;M245),"Precio venta inválido","")),IF(O245="","Falta stock mínimo",IF(OR(NOT(ISNUMBER(O245)),O245&lt;0,MOD(O245,1)&lt;&gt;0),"Stock mínimo inválido","")),IF(P245="","Falta unidad",IF(COUNTIF(UnidadesLista,P245)=0,"Unidad inválida","")),IF(AND(K245&lt;&gt;"",COUNTIF(ProveedoresLista,K245)=0),"Proveedor no catalogado",""),IF(X245="","Falta cantidad contada",IF(OR(NOT(ISNUMBER(X245)),X245&lt;0,ABS(X245*1000-ROUND(X245*1000,0))&gt;0.0000001),"Cantidad inválida",IF(AND(Q245="NO",MOD(X245,1)&lt;&gt;0),"Cantidad fraccionaria no permitida",""))),IF(AND(R245="SI",OR(NOT(ISNUMBER(S245)),S245&lt;1,MOD(S245,1)&lt;&gt;0)),"Empaque inválido",""),IF(OR(AND(AF245="",AG245="ESCANEADO"),AND(AF245&lt;&gt;"",AG245&lt;&gt;"ESCANEADO")),"Barcode/estado inconsistente",""),IF(AK245&lt;&gt;"",AK245,"")))</f>
        <v/>
      </c>
      <c r="AJ245" s="21" t="n"/>
      <c r="AK245" s="17">
        <f>IF(G245="","",IF(OR(COUNTIFS($G$5:$G$445,G245,$I$5:$I$445,I245,$J$5:$J$445,J245,$P$5:$P$445,P245)&gt;1,AND(AF245&lt;&gt;"",COUNTIF($AF$5:$AF$445,AF245)&gt;1)),"REVISAR_POSIBLE_DUPLICADO",""))</f>
        <v/>
      </c>
    </row>
    <row r="246">
      <c r="A246" s="17" t="inlineStr">
        <is>
          <t>6efe94d3-9a6c-55d1-93a8-1fac132e9300</t>
        </is>
      </c>
      <c r="B246" s="18" t="inlineStr">
        <is>
          <t>NUEVO</t>
        </is>
      </c>
      <c r="C246" s="18" t="inlineStr">
        <is>
          <t>ACTIVO</t>
        </is>
      </c>
      <c r="D246" s="18" t="n"/>
      <c r="E246" s="17" t="n"/>
      <c r="F246" s="17" t="n"/>
      <c r="G246" s="19" t="n"/>
      <c r="H246" s="19" t="n"/>
      <c r="I246" s="20" t="n"/>
      <c r="J246" s="20" t="n"/>
      <c r="K246" s="21" t="n"/>
      <c r="L246" s="18" t="n"/>
      <c r="M246" s="22" t="n"/>
      <c r="N246" s="22" t="n"/>
      <c r="O246" s="23" t="n">
        <v>10</v>
      </c>
      <c r="P246" s="24" t="inlineStr">
        <is>
          <t>UNIDAD</t>
        </is>
      </c>
      <c r="Q246" s="20" t="inlineStr">
        <is>
          <t>NO</t>
        </is>
      </c>
      <c r="R246" s="20" t="inlineStr">
        <is>
          <t>NO</t>
        </is>
      </c>
      <c r="S246" s="25" t="n">
        <v>1</v>
      </c>
      <c r="T246" s="20" t="inlineStr">
        <is>
          <t>NO</t>
        </is>
      </c>
      <c r="U246" s="20" t="n"/>
      <c r="V246" s="21" t="n"/>
      <c r="W246" s="26" t="n"/>
      <c r="X246" s="27" t="n"/>
      <c r="Y246" s="20" t="n"/>
      <c r="Z246" s="20" t="n"/>
      <c r="AA246" s="26">
        <f>IF(X246="","",X246-IF(W246="",0,W246))</f>
        <v/>
      </c>
      <c r="AB246" s="28">
        <f>IF(OR(X246="",M246=""),"",X246*M246)</f>
        <v/>
      </c>
      <c r="AC246" s="28">
        <f>IF(OR(X246="",N246=""),"",X246*N246)</f>
        <v/>
      </c>
      <c r="AD246" s="28">
        <f>IF(OR(M246="",N246=""),"",N246-M246)</f>
        <v/>
      </c>
      <c r="AE246" s="29">
        <f>IFERROR(IF(M246&gt;0,(N246-M246)/M246,""),"")</f>
        <v/>
      </c>
      <c r="AF246" s="30" t="n"/>
      <c r="AG246" s="30" t="inlineStr">
        <is>
          <t>PENDIENTE</t>
        </is>
      </c>
      <c r="AH246" s="18">
        <f>IF(NOT(OR(B246="EXISTENTE",COUNTA(G246,H246,I246,J246,K246,M246,N246,U246,V246,X246,Y246,Z246,AF246,AJ246)&gt;0)),"",IF(AK246&lt;&gt;"","REVISAR",IF(OR(G246="",H246="",M246="",N246="",O246="",P246="",X246=""),"INCOMPLETO",IF(AI246&lt;&gt;"","REVISAR",IF(AND(AF246&lt;&gt;"",AG246="ESCANEADO"),"LISTO_COMPLETO","LISTO_SIN_BARCODE")))))</f>
        <v/>
      </c>
      <c r="AI246" s="17">
        <f>IF(NOT(OR(B246="EXISTENTE",COUNTA(G246,H246,I246,J246,K246,M246,N246,U246,V246,X246,Y246,Z246,AF246,AJ246)&gt;0)),"",TEXTJOIN(" | ",TRUE,IF(A246="","Falta ID staging",""),IF(COUNTIF($A$5:$A$445,A246)&gt;1,"ID staging duplicado",""),IF(G246="","Falta nombre",""),IF(LEN(G246)&gt;150,"Nombre &gt;150 caracteres",""),IF(H246="","Falta categoría",IF(COUNTIF(CategoriasLista,H246)=0,"Categoría inválida","")),IF(M246="","Falta precio compra",IF(OR(NOT(ISNUMBER(M246)),M246&lt;0),"Precio compra inválido","")),IF(N246="","Falta precio venta",IF(OR(NOT(ISNUMBER(N246)),N246&lt;=0,N246&lt;M246),"Precio venta inválido","")),IF(O246="","Falta stock mínimo",IF(OR(NOT(ISNUMBER(O246)),O246&lt;0,MOD(O246,1)&lt;&gt;0),"Stock mínimo inválido","")),IF(P246="","Falta unidad",IF(COUNTIF(UnidadesLista,P246)=0,"Unidad inválida","")),IF(AND(K246&lt;&gt;"",COUNTIF(ProveedoresLista,K246)=0),"Proveedor no catalogado",""),IF(X246="","Falta cantidad contada",IF(OR(NOT(ISNUMBER(X246)),X246&lt;0,ABS(X246*1000-ROUND(X246*1000,0))&gt;0.0000001),"Cantidad inválida",IF(AND(Q246="NO",MOD(X246,1)&lt;&gt;0),"Cantidad fraccionaria no permitida",""))),IF(AND(R246="SI",OR(NOT(ISNUMBER(S246)),S246&lt;1,MOD(S246,1)&lt;&gt;0)),"Empaque inválido",""),IF(OR(AND(AF246="",AG246="ESCANEADO"),AND(AF246&lt;&gt;"",AG246&lt;&gt;"ESCANEADO")),"Barcode/estado inconsistente",""),IF(AK246&lt;&gt;"",AK246,"")))</f>
        <v/>
      </c>
      <c r="AJ246" s="21" t="n"/>
      <c r="AK246" s="17">
        <f>IF(G246="","",IF(OR(COUNTIFS($G$5:$G$445,G246,$I$5:$I$445,I246,$J$5:$J$445,J246,$P$5:$P$445,P246)&gt;1,AND(AF246&lt;&gt;"",COUNTIF($AF$5:$AF$445,AF246)&gt;1)),"REVISAR_POSIBLE_DUPLICADO",""))</f>
        <v/>
      </c>
    </row>
    <row r="247">
      <c r="A247" s="17" t="inlineStr">
        <is>
          <t>79d98fcd-44e1-5916-be24-9d13e8aeaadb</t>
        </is>
      </c>
      <c r="B247" s="18" t="inlineStr">
        <is>
          <t>NUEVO</t>
        </is>
      </c>
      <c r="C247" s="18" t="inlineStr">
        <is>
          <t>ACTIVO</t>
        </is>
      </c>
      <c r="D247" s="18" t="n"/>
      <c r="E247" s="17" t="n"/>
      <c r="F247" s="17" t="n"/>
      <c r="G247" s="19" t="n"/>
      <c r="H247" s="19" t="n"/>
      <c r="I247" s="20" t="n"/>
      <c r="J247" s="20" t="n"/>
      <c r="K247" s="21" t="n"/>
      <c r="L247" s="18" t="n"/>
      <c r="M247" s="22" t="n"/>
      <c r="N247" s="22" t="n"/>
      <c r="O247" s="23" t="n">
        <v>10</v>
      </c>
      <c r="P247" s="24" t="inlineStr">
        <is>
          <t>UNIDAD</t>
        </is>
      </c>
      <c r="Q247" s="20" t="inlineStr">
        <is>
          <t>NO</t>
        </is>
      </c>
      <c r="R247" s="20" t="inlineStr">
        <is>
          <t>NO</t>
        </is>
      </c>
      <c r="S247" s="25" t="n">
        <v>1</v>
      </c>
      <c r="T247" s="20" t="inlineStr">
        <is>
          <t>NO</t>
        </is>
      </c>
      <c r="U247" s="20" t="n"/>
      <c r="V247" s="21" t="n"/>
      <c r="W247" s="26" t="n"/>
      <c r="X247" s="27" t="n"/>
      <c r="Y247" s="20" t="n"/>
      <c r="Z247" s="20" t="n"/>
      <c r="AA247" s="26">
        <f>IF(X247="","",X247-IF(W247="",0,W247))</f>
        <v/>
      </c>
      <c r="AB247" s="28">
        <f>IF(OR(X247="",M247=""),"",X247*M247)</f>
        <v/>
      </c>
      <c r="AC247" s="28">
        <f>IF(OR(X247="",N247=""),"",X247*N247)</f>
        <v/>
      </c>
      <c r="AD247" s="28">
        <f>IF(OR(M247="",N247=""),"",N247-M247)</f>
        <v/>
      </c>
      <c r="AE247" s="29">
        <f>IFERROR(IF(M247&gt;0,(N247-M247)/M247,""),"")</f>
        <v/>
      </c>
      <c r="AF247" s="30" t="n"/>
      <c r="AG247" s="30" t="inlineStr">
        <is>
          <t>PENDIENTE</t>
        </is>
      </c>
      <c r="AH247" s="18">
        <f>IF(NOT(OR(B247="EXISTENTE",COUNTA(G247,H247,I247,J247,K247,M247,N247,U247,V247,X247,Y247,Z247,AF247,AJ247)&gt;0)),"",IF(AK247&lt;&gt;"","REVISAR",IF(OR(G247="",H247="",M247="",N247="",O247="",P247="",X247=""),"INCOMPLETO",IF(AI247&lt;&gt;"","REVISAR",IF(AND(AF247&lt;&gt;"",AG247="ESCANEADO"),"LISTO_COMPLETO","LISTO_SIN_BARCODE")))))</f>
        <v/>
      </c>
      <c r="AI247" s="17">
        <f>IF(NOT(OR(B247="EXISTENTE",COUNTA(G247,H247,I247,J247,K247,M247,N247,U247,V247,X247,Y247,Z247,AF247,AJ247)&gt;0)),"",TEXTJOIN(" | ",TRUE,IF(A247="","Falta ID staging",""),IF(COUNTIF($A$5:$A$445,A247)&gt;1,"ID staging duplicado",""),IF(G247="","Falta nombre",""),IF(LEN(G247)&gt;150,"Nombre &gt;150 caracteres",""),IF(H247="","Falta categoría",IF(COUNTIF(CategoriasLista,H247)=0,"Categoría inválida","")),IF(M247="","Falta precio compra",IF(OR(NOT(ISNUMBER(M247)),M247&lt;0),"Precio compra inválido","")),IF(N247="","Falta precio venta",IF(OR(NOT(ISNUMBER(N247)),N247&lt;=0,N247&lt;M247),"Precio venta inválido","")),IF(O247="","Falta stock mínimo",IF(OR(NOT(ISNUMBER(O247)),O247&lt;0,MOD(O247,1)&lt;&gt;0),"Stock mínimo inválido","")),IF(P247="","Falta unidad",IF(COUNTIF(UnidadesLista,P247)=0,"Unidad inválida","")),IF(AND(K247&lt;&gt;"",COUNTIF(ProveedoresLista,K247)=0),"Proveedor no catalogado",""),IF(X247="","Falta cantidad contada",IF(OR(NOT(ISNUMBER(X247)),X247&lt;0,ABS(X247*1000-ROUND(X247*1000,0))&gt;0.0000001),"Cantidad inválida",IF(AND(Q247="NO",MOD(X247,1)&lt;&gt;0),"Cantidad fraccionaria no permitida",""))),IF(AND(R247="SI",OR(NOT(ISNUMBER(S247)),S247&lt;1,MOD(S247,1)&lt;&gt;0)),"Empaque inválido",""),IF(OR(AND(AF247="",AG247="ESCANEADO"),AND(AF247&lt;&gt;"",AG247&lt;&gt;"ESCANEADO")),"Barcode/estado inconsistente",""),IF(AK247&lt;&gt;"",AK247,"")))</f>
        <v/>
      </c>
      <c r="AJ247" s="21" t="n"/>
      <c r="AK247" s="17">
        <f>IF(G247="","",IF(OR(COUNTIFS($G$5:$G$445,G247,$I$5:$I$445,I247,$J$5:$J$445,J247,$P$5:$P$445,P247)&gt;1,AND(AF247&lt;&gt;"",COUNTIF($AF$5:$AF$445,AF247)&gt;1)),"REVISAR_POSIBLE_DUPLICADO",""))</f>
        <v/>
      </c>
    </row>
    <row r="248">
      <c r="A248" s="17" t="inlineStr">
        <is>
          <t>022b4a24-1305-5151-9cbd-aefc09c749b0</t>
        </is>
      </c>
      <c r="B248" s="18" t="inlineStr">
        <is>
          <t>NUEVO</t>
        </is>
      </c>
      <c r="C248" s="18" t="inlineStr">
        <is>
          <t>ACTIVO</t>
        </is>
      </c>
      <c r="D248" s="18" t="n"/>
      <c r="E248" s="17" t="n"/>
      <c r="F248" s="17" t="n"/>
      <c r="G248" s="19" t="n"/>
      <c r="H248" s="19" t="n"/>
      <c r="I248" s="20" t="n"/>
      <c r="J248" s="20" t="n"/>
      <c r="K248" s="21" t="n"/>
      <c r="L248" s="18" t="n"/>
      <c r="M248" s="22" t="n"/>
      <c r="N248" s="22" t="n"/>
      <c r="O248" s="23" t="n">
        <v>10</v>
      </c>
      <c r="P248" s="24" t="inlineStr">
        <is>
          <t>UNIDAD</t>
        </is>
      </c>
      <c r="Q248" s="20" t="inlineStr">
        <is>
          <t>NO</t>
        </is>
      </c>
      <c r="R248" s="20" t="inlineStr">
        <is>
          <t>NO</t>
        </is>
      </c>
      <c r="S248" s="25" t="n">
        <v>1</v>
      </c>
      <c r="T248" s="20" t="inlineStr">
        <is>
          <t>NO</t>
        </is>
      </c>
      <c r="U248" s="20" t="n"/>
      <c r="V248" s="21" t="n"/>
      <c r="W248" s="26" t="n"/>
      <c r="X248" s="27" t="n"/>
      <c r="Y248" s="20" t="n"/>
      <c r="Z248" s="20" t="n"/>
      <c r="AA248" s="26">
        <f>IF(X248="","",X248-IF(W248="",0,W248))</f>
        <v/>
      </c>
      <c r="AB248" s="28">
        <f>IF(OR(X248="",M248=""),"",X248*M248)</f>
        <v/>
      </c>
      <c r="AC248" s="28">
        <f>IF(OR(X248="",N248=""),"",X248*N248)</f>
        <v/>
      </c>
      <c r="AD248" s="28">
        <f>IF(OR(M248="",N248=""),"",N248-M248)</f>
        <v/>
      </c>
      <c r="AE248" s="29">
        <f>IFERROR(IF(M248&gt;0,(N248-M248)/M248,""),"")</f>
        <v/>
      </c>
      <c r="AF248" s="30" t="n"/>
      <c r="AG248" s="30" t="inlineStr">
        <is>
          <t>PENDIENTE</t>
        </is>
      </c>
      <c r="AH248" s="18">
        <f>IF(NOT(OR(B248="EXISTENTE",COUNTA(G248,H248,I248,J248,K248,M248,N248,U248,V248,X248,Y248,Z248,AF248,AJ248)&gt;0)),"",IF(AK248&lt;&gt;"","REVISAR",IF(OR(G248="",H248="",M248="",N248="",O248="",P248="",X248=""),"INCOMPLETO",IF(AI248&lt;&gt;"","REVISAR",IF(AND(AF248&lt;&gt;"",AG248="ESCANEADO"),"LISTO_COMPLETO","LISTO_SIN_BARCODE")))))</f>
        <v/>
      </c>
      <c r="AI248" s="17">
        <f>IF(NOT(OR(B248="EXISTENTE",COUNTA(G248,H248,I248,J248,K248,M248,N248,U248,V248,X248,Y248,Z248,AF248,AJ248)&gt;0)),"",TEXTJOIN(" | ",TRUE,IF(A248="","Falta ID staging",""),IF(COUNTIF($A$5:$A$445,A248)&gt;1,"ID staging duplicado",""),IF(G248="","Falta nombre",""),IF(LEN(G248)&gt;150,"Nombre &gt;150 caracteres",""),IF(H248="","Falta categoría",IF(COUNTIF(CategoriasLista,H248)=0,"Categoría inválida","")),IF(M248="","Falta precio compra",IF(OR(NOT(ISNUMBER(M248)),M248&lt;0),"Precio compra inválido","")),IF(N248="","Falta precio venta",IF(OR(NOT(ISNUMBER(N248)),N248&lt;=0,N248&lt;M248),"Precio venta inválido","")),IF(O248="","Falta stock mínimo",IF(OR(NOT(ISNUMBER(O248)),O248&lt;0,MOD(O248,1)&lt;&gt;0),"Stock mínimo inválido","")),IF(P248="","Falta unidad",IF(COUNTIF(UnidadesLista,P248)=0,"Unidad inválida","")),IF(AND(K248&lt;&gt;"",COUNTIF(ProveedoresLista,K248)=0),"Proveedor no catalogado",""),IF(X248="","Falta cantidad contada",IF(OR(NOT(ISNUMBER(X248)),X248&lt;0,ABS(X248*1000-ROUND(X248*1000,0))&gt;0.0000001),"Cantidad inválida",IF(AND(Q248="NO",MOD(X248,1)&lt;&gt;0),"Cantidad fraccionaria no permitida",""))),IF(AND(R248="SI",OR(NOT(ISNUMBER(S248)),S248&lt;1,MOD(S248,1)&lt;&gt;0)),"Empaque inválido",""),IF(OR(AND(AF248="",AG248="ESCANEADO"),AND(AF248&lt;&gt;"",AG248&lt;&gt;"ESCANEADO")),"Barcode/estado inconsistente",""),IF(AK248&lt;&gt;"",AK248,"")))</f>
        <v/>
      </c>
      <c r="AJ248" s="21" t="n"/>
      <c r="AK248" s="17">
        <f>IF(G248="","",IF(OR(COUNTIFS($G$5:$G$445,G248,$I$5:$I$445,I248,$J$5:$J$445,J248,$P$5:$P$445,P248)&gt;1,AND(AF248&lt;&gt;"",COUNTIF($AF$5:$AF$445,AF248)&gt;1)),"REVISAR_POSIBLE_DUPLICADO",""))</f>
        <v/>
      </c>
    </row>
    <row r="249">
      <c r="A249" s="17" t="inlineStr">
        <is>
          <t>01ee9250-5f22-5d20-b221-ca4408f029e3</t>
        </is>
      </c>
      <c r="B249" s="18" t="inlineStr">
        <is>
          <t>NUEVO</t>
        </is>
      </c>
      <c r="C249" s="18" t="inlineStr">
        <is>
          <t>ACTIVO</t>
        </is>
      </c>
      <c r="D249" s="18" t="n"/>
      <c r="E249" s="17" t="n"/>
      <c r="F249" s="17" t="n"/>
      <c r="G249" s="19" t="n"/>
      <c r="H249" s="19" t="n"/>
      <c r="I249" s="20" t="n"/>
      <c r="J249" s="20" t="n"/>
      <c r="K249" s="21" t="n"/>
      <c r="L249" s="18" t="n"/>
      <c r="M249" s="22" t="n"/>
      <c r="N249" s="22" t="n"/>
      <c r="O249" s="23" t="n">
        <v>10</v>
      </c>
      <c r="P249" s="24" t="inlineStr">
        <is>
          <t>UNIDAD</t>
        </is>
      </c>
      <c r="Q249" s="20" t="inlineStr">
        <is>
          <t>NO</t>
        </is>
      </c>
      <c r="R249" s="20" t="inlineStr">
        <is>
          <t>NO</t>
        </is>
      </c>
      <c r="S249" s="25" t="n">
        <v>1</v>
      </c>
      <c r="T249" s="20" t="inlineStr">
        <is>
          <t>NO</t>
        </is>
      </c>
      <c r="U249" s="20" t="n"/>
      <c r="V249" s="21" t="n"/>
      <c r="W249" s="26" t="n"/>
      <c r="X249" s="27" t="n"/>
      <c r="Y249" s="20" t="n"/>
      <c r="Z249" s="20" t="n"/>
      <c r="AA249" s="26">
        <f>IF(X249="","",X249-IF(W249="",0,W249))</f>
        <v/>
      </c>
      <c r="AB249" s="28">
        <f>IF(OR(X249="",M249=""),"",X249*M249)</f>
        <v/>
      </c>
      <c r="AC249" s="28">
        <f>IF(OR(X249="",N249=""),"",X249*N249)</f>
        <v/>
      </c>
      <c r="AD249" s="28">
        <f>IF(OR(M249="",N249=""),"",N249-M249)</f>
        <v/>
      </c>
      <c r="AE249" s="29">
        <f>IFERROR(IF(M249&gt;0,(N249-M249)/M249,""),"")</f>
        <v/>
      </c>
      <c r="AF249" s="30" t="n"/>
      <c r="AG249" s="30" t="inlineStr">
        <is>
          <t>PENDIENTE</t>
        </is>
      </c>
      <c r="AH249" s="18">
        <f>IF(NOT(OR(B249="EXISTENTE",COUNTA(G249,H249,I249,J249,K249,M249,N249,U249,V249,X249,Y249,Z249,AF249,AJ249)&gt;0)),"",IF(AK249&lt;&gt;"","REVISAR",IF(OR(G249="",H249="",M249="",N249="",O249="",P249="",X249=""),"INCOMPLETO",IF(AI249&lt;&gt;"","REVISAR",IF(AND(AF249&lt;&gt;"",AG249="ESCANEADO"),"LISTO_COMPLETO","LISTO_SIN_BARCODE")))))</f>
        <v/>
      </c>
      <c r="AI249" s="17">
        <f>IF(NOT(OR(B249="EXISTENTE",COUNTA(G249,H249,I249,J249,K249,M249,N249,U249,V249,X249,Y249,Z249,AF249,AJ249)&gt;0)),"",TEXTJOIN(" | ",TRUE,IF(A249="","Falta ID staging",""),IF(COUNTIF($A$5:$A$445,A249)&gt;1,"ID staging duplicado",""),IF(G249="","Falta nombre",""),IF(LEN(G249)&gt;150,"Nombre &gt;150 caracteres",""),IF(H249="","Falta categoría",IF(COUNTIF(CategoriasLista,H249)=0,"Categoría inválida","")),IF(M249="","Falta precio compra",IF(OR(NOT(ISNUMBER(M249)),M249&lt;0),"Precio compra inválido","")),IF(N249="","Falta precio venta",IF(OR(NOT(ISNUMBER(N249)),N249&lt;=0,N249&lt;M249),"Precio venta inválido","")),IF(O249="","Falta stock mínimo",IF(OR(NOT(ISNUMBER(O249)),O249&lt;0,MOD(O249,1)&lt;&gt;0),"Stock mínimo inválido","")),IF(P249="","Falta unidad",IF(COUNTIF(UnidadesLista,P249)=0,"Unidad inválida","")),IF(AND(K249&lt;&gt;"",COUNTIF(ProveedoresLista,K249)=0),"Proveedor no catalogado",""),IF(X249="","Falta cantidad contada",IF(OR(NOT(ISNUMBER(X249)),X249&lt;0,ABS(X249*1000-ROUND(X249*1000,0))&gt;0.0000001),"Cantidad inválida",IF(AND(Q249="NO",MOD(X249,1)&lt;&gt;0),"Cantidad fraccionaria no permitida",""))),IF(AND(R249="SI",OR(NOT(ISNUMBER(S249)),S249&lt;1,MOD(S249,1)&lt;&gt;0)),"Empaque inválido",""),IF(OR(AND(AF249="",AG249="ESCANEADO"),AND(AF249&lt;&gt;"",AG249&lt;&gt;"ESCANEADO")),"Barcode/estado inconsistente",""),IF(AK249&lt;&gt;"",AK249,"")))</f>
        <v/>
      </c>
      <c r="AJ249" s="21" t="n"/>
      <c r="AK249" s="17">
        <f>IF(G249="","",IF(OR(COUNTIFS($G$5:$G$445,G249,$I$5:$I$445,I249,$J$5:$J$445,J249,$P$5:$P$445,P249)&gt;1,AND(AF249&lt;&gt;"",COUNTIF($AF$5:$AF$445,AF249)&gt;1)),"REVISAR_POSIBLE_DUPLICADO",""))</f>
        <v/>
      </c>
    </row>
    <row r="250">
      <c r="A250" s="17" t="inlineStr">
        <is>
          <t>a4fc5e3e-6072-56d9-ad9e-1b2636b9baf5</t>
        </is>
      </c>
      <c r="B250" s="18" t="inlineStr">
        <is>
          <t>NUEVO</t>
        </is>
      </c>
      <c r="C250" s="18" t="inlineStr">
        <is>
          <t>ACTIVO</t>
        </is>
      </c>
      <c r="D250" s="18" t="n"/>
      <c r="E250" s="17" t="n"/>
      <c r="F250" s="17" t="n"/>
      <c r="G250" s="19" t="n"/>
      <c r="H250" s="19" t="n"/>
      <c r="I250" s="20" t="n"/>
      <c r="J250" s="20" t="n"/>
      <c r="K250" s="21" t="n"/>
      <c r="L250" s="18" t="n"/>
      <c r="M250" s="22" t="n"/>
      <c r="N250" s="22" t="n"/>
      <c r="O250" s="23" t="n">
        <v>10</v>
      </c>
      <c r="P250" s="24" t="inlineStr">
        <is>
          <t>UNIDAD</t>
        </is>
      </c>
      <c r="Q250" s="20" t="inlineStr">
        <is>
          <t>NO</t>
        </is>
      </c>
      <c r="R250" s="20" t="inlineStr">
        <is>
          <t>NO</t>
        </is>
      </c>
      <c r="S250" s="25" t="n">
        <v>1</v>
      </c>
      <c r="T250" s="20" t="inlineStr">
        <is>
          <t>NO</t>
        </is>
      </c>
      <c r="U250" s="20" t="n"/>
      <c r="V250" s="21" t="n"/>
      <c r="W250" s="26" t="n"/>
      <c r="X250" s="27" t="n"/>
      <c r="Y250" s="20" t="n"/>
      <c r="Z250" s="20" t="n"/>
      <c r="AA250" s="26">
        <f>IF(X250="","",X250-IF(W250="",0,W250))</f>
        <v/>
      </c>
      <c r="AB250" s="28">
        <f>IF(OR(X250="",M250=""),"",X250*M250)</f>
        <v/>
      </c>
      <c r="AC250" s="28">
        <f>IF(OR(X250="",N250=""),"",X250*N250)</f>
        <v/>
      </c>
      <c r="AD250" s="28">
        <f>IF(OR(M250="",N250=""),"",N250-M250)</f>
        <v/>
      </c>
      <c r="AE250" s="29">
        <f>IFERROR(IF(M250&gt;0,(N250-M250)/M250,""),"")</f>
        <v/>
      </c>
      <c r="AF250" s="30" t="n"/>
      <c r="AG250" s="30" t="inlineStr">
        <is>
          <t>PENDIENTE</t>
        </is>
      </c>
      <c r="AH250" s="18">
        <f>IF(NOT(OR(B250="EXISTENTE",COUNTA(G250,H250,I250,J250,K250,M250,N250,U250,V250,X250,Y250,Z250,AF250,AJ250)&gt;0)),"",IF(AK250&lt;&gt;"","REVISAR",IF(OR(G250="",H250="",M250="",N250="",O250="",P250="",X250=""),"INCOMPLETO",IF(AI250&lt;&gt;"","REVISAR",IF(AND(AF250&lt;&gt;"",AG250="ESCANEADO"),"LISTO_COMPLETO","LISTO_SIN_BARCODE")))))</f>
        <v/>
      </c>
      <c r="AI250" s="17">
        <f>IF(NOT(OR(B250="EXISTENTE",COUNTA(G250,H250,I250,J250,K250,M250,N250,U250,V250,X250,Y250,Z250,AF250,AJ250)&gt;0)),"",TEXTJOIN(" | ",TRUE,IF(A250="","Falta ID staging",""),IF(COUNTIF($A$5:$A$445,A250)&gt;1,"ID staging duplicado",""),IF(G250="","Falta nombre",""),IF(LEN(G250)&gt;150,"Nombre &gt;150 caracteres",""),IF(H250="","Falta categoría",IF(COUNTIF(CategoriasLista,H250)=0,"Categoría inválida","")),IF(M250="","Falta precio compra",IF(OR(NOT(ISNUMBER(M250)),M250&lt;0),"Precio compra inválido","")),IF(N250="","Falta precio venta",IF(OR(NOT(ISNUMBER(N250)),N250&lt;=0,N250&lt;M250),"Precio venta inválido","")),IF(O250="","Falta stock mínimo",IF(OR(NOT(ISNUMBER(O250)),O250&lt;0,MOD(O250,1)&lt;&gt;0),"Stock mínimo inválido","")),IF(P250="","Falta unidad",IF(COUNTIF(UnidadesLista,P250)=0,"Unidad inválida","")),IF(AND(K250&lt;&gt;"",COUNTIF(ProveedoresLista,K250)=0),"Proveedor no catalogado",""),IF(X250="","Falta cantidad contada",IF(OR(NOT(ISNUMBER(X250)),X250&lt;0,ABS(X250*1000-ROUND(X250*1000,0))&gt;0.0000001),"Cantidad inválida",IF(AND(Q250="NO",MOD(X250,1)&lt;&gt;0),"Cantidad fraccionaria no permitida",""))),IF(AND(R250="SI",OR(NOT(ISNUMBER(S250)),S250&lt;1,MOD(S250,1)&lt;&gt;0)),"Empaque inválido",""),IF(OR(AND(AF250="",AG250="ESCANEADO"),AND(AF250&lt;&gt;"",AG250&lt;&gt;"ESCANEADO")),"Barcode/estado inconsistente",""),IF(AK250&lt;&gt;"",AK250,"")))</f>
        <v/>
      </c>
      <c r="AJ250" s="21" t="n"/>
      <c r="AK250" s="17">
        <f>IF(G250="","",IF(OR(COUNTIFS($G$5:$G$445,G250,$I$5:$I$445,I250,$J$5:$J$445,J250,$P$5:$P$445,P250)&gt;1,AND(AF250&lt;&gt;"",COUNTIF($AF$5:$AF$445,AF250)&gt;1)),"REVISAR_POSIBLE_DUPLICADO",""))</f>
        <v/>
      </c>
    </row>
    <row r="251">
      <c r="A251" s="17" t="inlineStr">
        <is>
          <t>f4c81f72-6675-549d-a0b5-86b048d23ea1</t>
        </is>
      </c>
      <c r="B251" s="18" t="inlineStr">
        <is>
          <t>NUEVO</t>
        </is>
      </c>
      <c r="C251" s="18" t="inlineStr">
        <is>
          <t>ACTIVO</t>
        </is>
      </c>
      <c r="D251" s="18" t="n"/>
      <c r="E251" s="17" t="n"/>
      <c r="F251" s="17" t="n"/>
      <c r="G251" s="19" t="n"/>
      <c r="H251" s="19" t="n"/>
      <c r="I251" s="20" t="n"/>
      <c r="J251" s="20" t="n"/>
      <c r="K251" s="21" t="n"/>
      <c r="L251" s="18" t="n"/>
      <c r="M251" s="22" t="n"/>
      <c r="N251" s="22" t="n"/>
      <c r="O251" s="23" t="n">
        <v>10</v>
      </c>
      <c r="P251" s="24" t="inlineStr">
        <is>
          <t>UNIDAD</t>
        </is>
      </c>
      <c r="Q251" s="20" t="inlineStr">
        <is>
          <t>NO</t>
        </is>
      </c>
      <c r="R251" s="20" t="inlineStr">
        <is>
          <t>NO</t>
        </is>
      </c>
      <c r="S251" s="25" t="n">
        <v>1</v>
      </c>
      <c r="T251" s="20" t="inlineStr">
        <is>
          <t>NO</t>
        </is>
      </c>
      <c r="U251" s="20" t="n"/>
      <c r="V251" s="21" t="n"/>
      <c r="W251" s="26" t="n"/>
      <c r="X251" s="27" t="n"/>
      <c r="Y251" s="20" t="n"/>
      <c r="Z251" s="20" t="n"/>
      <c r="AA251" s="26">
        <f>IF(X251="","",X251-IF(W251="",0,W251))</f>
        <v/>
      </c>
      <c r="AB251" s="28">
        <f>IF(OR(X251="",M251=""),"",X251*M251)</f>
        <v/>
      </c>
      <c r="AC251" s="28">
        <f>IF(OR(X251="",N251=""),"",X251*N251)</f>
        <v/>
      </c>
      <c r="AD251" s="28">
        <f>IF(OR(M251="",N251=""),"",N251-M251)</f>
        <v/>
      </c>
      <c r="AE251" s="29">
        <f>IFERROR(IF(M251&gt;0,(N251-M251)/M251,""),"")</f>
        <v/>
      </c>
      <c r="AF251" s="30" t="n"/>
      <c r="AG251" s="30" t="inlineStr">
        <is>
          <t>PENDIENTE</t>
        </is>
      </c>
      <c r="AH251" s="18">
        <f>IF(NOT(OR(B251="EXISTENTE",COUNTA(G251,H251,I251,J251,K251,M251,N251,U251,V251,X251,Y251,Z251,AF251,AJ251)&gt;0)),"",IF(AK251&lt;&gt;"","REVISAR",IF(OR(G251="",H251="",M251="",N251="",O251="",P251="",X251=""),"INCOMPLETO",IF(AI251&lt;&gt;"","REVISAR",IF(AND(AF251&lt;&gt;"",AG251="ESCANEADO"),"LISTO_COMPLETO","LISTO_SIN_BARCODE")))))</f>
        <v/>
      </c>
      <c r="AI251" s="17">
        <f>IF(NOT(OR(B251="EXISTENTE",COUNTA(G251,H251,I251,J251,K251,M251,N251,U251,V251,X251,Y251,Z251,AF251,AJ251)&gt;0)),"",TEXTJOIN(" | ",TRUE,IF(A251="","Falta ID staging",""),IF(COUNTIF($A$5:$A$445,A251)&gt;1,"ID staging duplicado",""),IF(G251="","Falta nombre",""),IF(LEN(G251)&gt;150,"Nombre &gt;150 caracteres",""),IF(H251="","Falta categoría",IF(COUNTIF(CategoriasLista,H251)=0,"Categoría inválida","")),IF(M251="","Falta precio compra",IF(OR(NOT(ISNUMBER(M251)),M251&lt;0),"Precio compra inválido","")),IF(N251="","Falta precio venta",IF(OR(NOT(ISNUMBER(N251)),N251&lt;=0,N251&lt;M251),"Precio venta inválido","")),IF(O251="","Falta stock mínimo",IF(OR(NOT(ISNUMBER(O251)),O251&lt;0,MOD(O251,1)&lt;&gt;0),"Stock mínimo inválido","")),IF(P251="","Falta unidad",IF(COUNTIF(UnidadesLista,P251)=0,"Unidad inválida","")),IF(AND(K251&lt;&gt;"",COUNTIF(ProveedoresLista,K251)=0),"Proveedor no catalogado",""),IF(X251="","Falta cantidad contada",IF(OR(NOT(ISNUMBER(X251)),X251&lt;0,ABS(X251*1000-ROUND(X251*1000,0))&gt;0.0000001),"Cantidad inválida",IF(AND(Q251="NO",MOD(X251,1)&lt;&gt;0),"Cantidad fraccionaria no permitida",""))),IF(AND(R251="SI",OR(NOT(ISNUMBER(S251)),S251&lt;1,MOD(S251,1)&lt;&gt;0)),"Empaque inválido",""),IF(OR(AND(AF251="",AG251="ESCANEADO"),AND(AF251&lt;&gt;"",AG251&lt;&gt;"ESCANEADO")),"Barcode/estado inconsistente",""),IF(AK251&lt;&gt;"",AK251,"")))</f>
        <v/>
      </c>
      <c r="AJ251" s="21" t="n"/>
      <c r="AK251" s="17">
        <f>IF(G251="","",IF(OR(COUNTIFS($G$5:$G$445,G251,$I$5:$I$445,I251,$J$5:$J$445,J251,$P$5:$P$445,P251)&gt;1,AND(AF251&lt;&gt;"",COUNTIF($AF$5:$AF$445,AF251)&gt;1)),"REVISAR_POSIBLE_DUPLICADO",""))</f>
        <v/>
      </c>
    </row>
    <row r="252">
      <c r="A252" s="17" t="inlineStr">
        <is>
          <t>ac0d03f1-37b8-5863-b0be-32fa8e9dfed0</t>
        </is>
      </c>
      <c r="B252" s="18" t="inlineStr">
        <is>
          <t>NUEVO</t>
        </is>
      </c>
      <c r="C252" s="18" t="inlineStr">
        <is>
          <t>ACTIVO</t>
        </is>
      </c>
      <c r="D252" s="18" t="n"/>
      <c r="E252" s="17" t="n"/>
      <c r="F252" s="17" t="n"/>
      <c r="G252" s="19" t="n"/>
      <c r="H252" s="19" t="n"/>
      <c r="I252" s="20" t="n"/>
      <c r="J252" s="20" t="n"/>
      <c r="K252" s="21" t="n"/>
      <c r="L252" s="18" t="n"/>
      <c r="M252" s="22" t="n"/>
      <c r="N252" s="22" t="n"/>
      <c r="O252" s="23" t="n">
        <v>10</v>
      </c>
      <c r="P252" s="24" t="inlineStr">
        <is>
          <t>UNIDAD</t>
        </is>
      </c>
      <c r="Q252" s="20" t="inlineStr">
        <is>
          <t>NO</t>
        </is>
      </c>
      <c r="R252" s="20" t="inlineStr">
        <is>
          <t>NO</t>
        </is>
      </c>
      <c r="S252" s="25" t="n">
        <v>1</v>
      </c>
      <c r="T252" s="20" t="inlineStr">
        <is>
          <t>NO</t>
        </is>
      </c>
      <c r="U252" s="20" t="n"/>
      <c r="V252" s="21" t="n"/>
      <c r="W252" s="26" t="n"/>
      <c r="X252" s="27" t="n"/>
      <c r="Y252" s="20" t="n"/>
      <c r="Z252" s="20" t="n"/>
      <c r="AA252" s="26">
        <f>IF(X252="","",X252-IF(W252="",0,W252))</f>
        <v/>
      </c>
      <c r="AB252" s="28">
        <f>IF(OR(X252="",M252=""),"",X252*M252)</f>
        <v/>
      </c>
      <c r="AC252" s="28">
        <f>IF(OR(X252="",N252=""),"",X252*N252)</f>
        <v/>
      </c>
      <c r="AD252" s="28">
        <f>IF(OR(M252="",N252=""),"",N252-M252)</f>
        <v/>
      </c>
      <c r="AE252" s="29">
        <f>IFERROR(IF(M252&gt;0,(N252-M252)/M252,""),"")</f>
        <v/>
      </c>
      <c r="AF252" s="30" t="n"/>
      <c r="AG252" s="30" t="inlineStr">
        <is>
          <t>PENDIENTE</t>
        </is>
      </c>
      <c r="AH252" s="18">
        <f>IF(NOT(OR(B252="EXISTENTE",COUNTA(G252,H252,I252,J252,K252,M252,N252,U252,V252,X252,Y252,Z252,AF252,AJ252)&gt;0)),"",IF(AK252&lt;&gt;"","REVISAR",IF(OR(G252="",H252="",M252="",N252="",O252="",P252="",X252=""),"INCOMPLETO",IF(AI252&lt;&gt;"","REVISAR",IF(AND(AF252&lt;&gt;"",AG252="ESCANEADO"),"LISTO_COMPLETO","LISTO_SIN_BARCODE")))))</f>
        <v/>
      </c>
      <c r="AI252" s="17">
        <f>IF(NOT(OR(B252="EXISTENTE",COUNTA(G252,H252,I252,J252,K252,M252,N252,U252,V252,X252,Y252,Z252,AF252,AJ252)&gt;0)),"",TEXTJOIN(" | ",TRUE,IF(A252="","Falta ID staging",""),IF(COUNTIF($A$5:$A$445,A252)&gt;1,"ID staging duplicado",""),IF(G252="","Falta nombre",""),IF(LEN(G252)&gt;150,"Nombre &gt;150 caracteres",""),IF(H252="","Falta categoría",IF(COUNTIF(CategoriasLista,H252)=0,"Categoría inválida","")),IF(M252="","Falta precio compra",IF(OR(NOT(ISNUMBER(M252)),M252&lt;0),"Precio compra inválido","")),IF(N252="","Falta precio venta",IF(OR(NOT(ISNUMBER(N252)),N252&lt;=0,N252&lt;M252),"Precio venta inválido","")),IF(O252="","Falta stock mínimo",IF(OR(NOT(ISNUMBER(O252)),O252&lt;0,MOD(O252,1)&lt;&gt;0),"Stock mínimo inválido","")),IF(P252="","Falta unidad",IF(COUNTIF(UnidadesLista,P252)=0,"Unidad inválida","")),IF(AND(K252&lt;&gt;"",COUNTIF(ProveedoresLista,K252)=0),"Proveedor no catalogado",""),IF(X252="","Falta cantidad contada",IF(OR(NOT(ISNUMBER(X252)),X252&lt;0,ABS(X252*1000-ROUND(X252*1000,0))&gt;0.0000001),"Cantidad inválida",IF(AND(Q252="NO",MOD(X252,1)&lt;&gt;0),"Cantidad fraccionaria no permitida",""))),IF(AND(R252="SI",OR(NOT(ISNUMBER(S252)),S252&lt;1,MOD(S252,1)&lt;&gt;0)),"Empaque inválido",""),IF(OR(AND(AF252="",AG252="ESCANEADO"),AND(AF252&lt;&gt;"",AG252&lt;&gt;"ESCANEADO")),"Barcode/estado inconsistente",""),IF(AK252&lt;&gt;"",AK252,"")))</f>
        <v/>
      </c>
      <c r="AJ252" s="21" t="n"/>
      <c r="AK252" s="17">
        <f>IF(G252="","",IF(OR(COUNTIFS($G$5:$G$445,G252,$I$5:$I$445,I252,$J$5:$J$445,J252,$P$5:$P$445,P252)&gt;1,AND(AF252&lt;&gt;"",COUNTIF($AF$5:$AF$445,AF252)&gt;1)),"REVISAR_POSIBLE_DUPLICADO",""))</f>
        <v/>
      </c>
    </row>
    <row r="253">
      <c r="A253" s="17" t="inlineStr">
        <is>
          <t>14a6f087-2859-54dc-8efb-17123537ed03</t>
        </is>
      </c>
      <c r="B253" s="18" t="inlineStr">
        <is>
          <t>NUEVO</t>
        </is>
      </c>
      <c r="C253" s="18" t="inlineStr">
        <is>
          <t>ACTIVO</t>
        </is>
      </c>
      <c r="D253" s="18" t="n"/>
      <c r="E253" s="17" t="n"/>
      <c r="F253" s="17" t="n"/>
      <c r="G253" s="19" t="n"/>
      <c r="H253" s="19" t="n"/>
      <c r="I253" s="20" t="n"/>
      <c r="J253" s="20" t="n"/>
      <c r="K253" s="21" t="n"/>
      <c r="L253" s="18" t="n"/>
      <c r="M253" s="22" t="n"/>
      <c r="N253" s="22" t="n"/>
      <c r="O253" s="23" t="n">
        <v>10</v>
      </c>
      <c r="P253" s="24" t="inlineStr">
        <is>
          <t>UNIDAD</t>
        </is>
      </c>
      <c r="Q253" s="20" t="inlineStr">
        <is>
          <t>NO</t>
        </is>
      </c>
      <c r="R253" s="20" t="inlineStr">
        <is>
          <t>NO</t>
        </is>
      </c>
      <c r="S253" s="25" t="n">
        <v>1</v>
      </c>
      <c r="T253" s="20" t="inlineStr">
        <is>
          <t>NO</t>
        </is>
      </c>
      <c r="U253" s="20" t="n"/>
      <c r="V253" s="21" t="n"/>
      <c r="W253" s="26" t="n"/>
      <c r="X253" s="27" t="n"/>
      <c r="Y253" s="20" t="n"/>
      <c r="Z253" s="20" t="n"/>
      <c r="AA253" s="26">
        <f>IF(X253="","",X253-IF(W253="",0,W253))</f>
        <v/>
      </c>
      <c r="AB253" s="28">
        <f>IF(OR(X253="",M253=""),"",X253*M253)</f>
        <v/>
      </c>
      <c r="AC253" s="28">
        <f>IF(OR(X253="",N253=""),"",X253*N253)</f>
        <v/>
      </c>
      <c r="AD253" s="28">
        <f>IF(OR(M253="",N253=""),"",N253-M253)</f>
        <v/>
      </c>
      <c r="AE253" s="29">
        <f>IFERROR(IF(M253&gt;0,(N253-M253)/M253,""),"")</f>
        <v/>
      </c>
      <c r="AF253" s="30" t="n"/>
      <c r="AG253" s="30" t="inlineStr">
        <is>
          <t>PENDIENTE</t>
        </is>
      </c>
      <c r="AH253" s="18">
        <f>IF(NOT(OR(B253="EXISTENTE",COUNTA(G253,H253,I253,J253,K253,M253,N253,U253,V253,X253,Y253,Z253,AF253,AJ253)&gt;0)),"",IF(AK253&lt;&gt;"","REVISAR",IF(OR(G253="",H253="",M253="",N253="",O253="",P253="",X253=""),"INCOMPLETO",IF(AI253&lt;&gt;"","REVISAR",IF(AND(AF253&lt;&gt;"",AG253="ESCANEADO"),"LISTO_COMPLETO","LISTO_SIN_BARCODE")))))</f>
        <v/>
      </c>
      <c r="AI253" s="17">
        <f>IF(NOT(OR(B253="EXISTENTE",COUNTA(G253,H253,I253,J253,K253,M253,N253,U253,V253,X253,Y253,Z253,AF253,AJ253)&gt;0)),"",TEXTJOIN(" | ",TRUE,IF(A253="","Falta ID staging",""),IF(COUNTIF($A$5:$A$445,A253)&gt;1,"ID staging duplicado",""),IF(G253="","Falta nombre",""),IF(LEN(G253)&gt;150,"Nombre &gt;150 caracteres",""),IF(H253="","Falta categoría",IF(COUNTIF(CategoriasLista,H253)=0,"Categoría inválida","")),IF(M253="","Falta precio compra",IF(OR(NOT(ISNUMBER(M253)),M253&lt;0),"Precio compra inválido","")),IF(N253="","Falta precio venta",IF(OR(NOT(ISNUMBER(N253)),N253&lt;=0,N253&lt;M253),"Precio venta inválido","")),IF(O253="","Falta stock mínimo",IF(OR(NOT(ISNUMBER(O253)),O253&lt;0,MOD(O253,1)&lt;&gt;0),"Stock mínimo inválido","")),IF(P253="","Falta unidad",IF(COUNTIF(UnidadesLista,P253)=0,"Unidad inválida","")),IF(AND(K253&lt;&gt;"",COUNTIF(ProveedoresLista,K253)=0),"Proveedor no catalogado",""),IF(X253="","Falta cantidad contada",IF(OR(NOT(ISNUMBER(X253)),X253&lt;0,ABS(X253*1000-ROUND(X253*1000,0))&gt;0.0000001),"Cantidad inválida",IF(AND(Q253="NO",MOD(X253,1)&lt;&gt;0),"Cantidad fraccionaria no permitida",""))),IF(AND(R253="SI",OR(NOT(ISNUMBER(S253)),S253&lt;1,MOD(S253,1)&lt;&gt;0)),"Empaque inválido",""),IF(OR(AND(AF253="",AG253="ESCANEADO"),AND(AF253&lt;&gt;"",AG253&lt;&gt;"ESCANEADO")),"Barcode/estado inconsistente",""),IF(AK253&lt;&gt;"",AK253,"")))</f>
        <v/>
      </c>
      <c r="AJ253" s="21" t="n"/>
      <c r="AK253" s="17">
        <f>IF(G253="","",IF(OR(COUNTIFS($G$5:$G$445,G253,$I$5:$I$445,I253,$J$5:$J$445,J253,$P$5:$P$445,P253)&gt;1,AND(AF253&lt;&gt;"",COUNTIF($AF$5:$AF$445,AF253)&gt;1)),"REVISAR_POSIBLE_DUPLICADO",""))</f>
        <v/>
      </c>
    </row>
    <row r="254">
      <c r="A254" s="17" t="inlineStr">
        <is>
          <t>08b0f1a2-5c90-57aa-8b8a-0cd409a53b8c</t>
        </is>
      </c>
      <c r="B254" s="18" t="inlineStr">
        <is>
          <t>NUEVO</t>
        </is>
      </c>
      <c r="C254" s="18" t="inlineStr">
        <is>
          <t>ACTIVO</t>
        </is>
      </c>
      <c r="D254" s="18" t="n"/>
      <c r="E254" s="17" t="n"/>
      <c r="F254" s="17" t="n"/>
      <c r="G254" s="19" t="n"/>
      <c r="H254" s="19" t="n"/>
      <c r="I254" s="20" t="n"/>
      <c r="J254" s="20" t="n"/>
      <c r="K254" s="21" t="n"/>
      <c r="L254" s="18" t="n"/>
      <c r="M254" s="22" t="n"/>
      <c r="N254" s="22" t="n"/>
      <c r="O254" s="23" t="n">
        <v>10</v>
      </c>
      <c r="P254" s="24" t="inlineStr">
        <is>
          <t>UNIDAD</t>
        </is>
      </c>
      <c r="Q254" s="20" t="inlineStr">
        <is>
          <t>NO</t>
        </is>
      </c>
      <c r="R254" s="20" t="inlineStr">
        <is>
          <t>NO</t>
        </is>
      </c>
      <c r="S254" s="25" t="n">
        <v>1</v>
      </c>
      <c r="T254" s="20" t="inlineStr">
        <is>
          <t>NO</t>
        </is>
      </c>
      <c r="U254" s="20" t="n"/>
      <c r="V254" s="21" t="n"/>
      <c r="W254" s="26" t="n"/>
      <c r="X254" s="27" t="n"/>
      <c r="Y254" s="20" t="n"/>
      <c r="Z254" s="20" t="n"/>
      <c r="AA254" s="26">
        <f>IF(X254="","",X254-IF(W254="",0,W254))</f>
        <v/>
      </c>
      <c r="AB254" s="28">
        <f>IF(OR(X254="",M254=""),"",X254*M254)</f>
        <v/>
      </c>
      <c r="AC254" s="28">
        <f>IF(OR(X254="",N254=""),"",X254*N254)</f>
        <v/>
      </c>
      <c r="AD254" s="28">
        <f>IF(OR(M254="",N254=""),"",N254-M254)</f>
        <v/>
      </c>
      <c r="AE254" s="29">
        <f>IFERROR(IF(M254&gt;0,(N254-M254)/M254,""),"")</f>
        <v/>
      </c>
      <c r="AF254" s="30" t="n"/>
      <c r="AG254" s="30" t="inlineStr">
        <is>
          <t>PENDIENTE</t>
        </is>
      </c>
      <c r="AH254" s="18">
        <f>IF(NOT(OR(B254="EXISTENTE",COUNTA(G254,H254,I254,J254,K254,M254,N254,U254,V254,X254,Y254,Z254,AF254,AJ254)&gt;0)),"",IF(AK254&lt;&gt;"","REVISAR",IF(OR(G254="",H254="",M254="",N254="",O254="",P254="",X254=""),"INCOMPLETO",IF(AI254&lt;&gt;"","REVISAR",IF(AND(AF254&lt;&gt;"",AG254="ESCANEADO"),"LISTO_COMPLETO","LISTO_SIN_BARCODE")))))</f>
        <v/>
      </c>
      <c r="AI254" s="17">
        <f>IF(NOT(OR(B254="EXISTENTE",COUNTA(G254,H254,I254,J254,K254,M254,N254,U254,V254,X254,Y254,Z254,AF254,AJ254)&gt;0)),"",TEXTJOIN(" | ",TRUE,IF(A254="","Falta ID staging",""),IF(COUNTIF($A$5:$A$445,A254)&gt;1,"ID staging duplicado",""),IF(G254="","Falta nombre",""),IF(LEN(G254)&gt;150,"Nombre &gt;150 caracteres",""),IF(H254="","Falta categoría",IF(COUNTIF(CategoriasLista,H254)=0,"Categoría inválida","")),IF(M254="","Falta precio compra",IF(OR(NOT(ISNUMBER(M254)),M254&lt;0),"Precio compra inválido","")),IF(N254="","Falta precio venta",IF(OR(NOT(ISNUMBER(N254)),N254&lt;=0,N254&lt;M254),"Precio venta inválido","")),IF(O254="","Falta stock mínimo",IF(OR(NOT(ISNUMBER(O254)),O254&lt;0,MOD(O254,1)&lt;&gt;0),"Stock mínimo inválido","")),IF(P254="","Falta unidad",IF(COUNTIF(UnidadesLista,P254)=0,"Unidad inválida","")),IF(AND(K254&lt;&gt;"",COUNTIF(ProveedoresLista,K254)=0),"Proveedor no catalogado",""),IF(X254="","Falta cantidad contada",IF(OR(NOT(ISNUMBER(X254)),X254&lt;0,ABS(X254*1000-ROUND(X254*1000,0))&gt;0.0000001),"Cantidad inválida",IF(AND(Q254="NO",MOD(X254,1)&lt;&gt;0),"Cantidad fraccionaria no permitida",""))),IF(AND(R254="SI",OR(NOT(ISNUMBER(S254)),S254&lt;1,MOD(S254,1)&lt;&gt;0)),"Empaque inválido",""),IF(OR(AND(AF254="",AG254="ESCANEADO"),AND(AF254&lt;&gt;"",AG254&lt;&gt;"ESCANEADO")),"Barcode/estado inconsistente",""),IF(AK254&lt;&gt;"",AK254,"")))</f>
        <v/>
      </c>
      <c r="AJ254" s="21" t="n"/>
      <c r="AK254" s="17">
        <f>IF(G254="","",IF(OR(COUNTIFS($G$5:$G$445,G254,$I$5:$I$445,I254,$J$5:$J$445,J254,$P$5:$P$445,P254)&gt;1,AND(AF254&lt;&gt;"",COUNTIF($AF$5:$AF$445,AF254)&gt;1)),"REVISAR_POSIBLE_DUPLICADO",""))</f>
        <v/>
      </c>
    </row>
    <row r="255">
      <c r="A255" s="17" t="inlineStr">
        <is>
          <t>28cfe042-8b06-5714-aad3-79d196e258be</t>
        </is>
      </c>
      <c r="B255" s="18" t="inlineStr">
        <is>
          <t>NUEVO</t>
        </is>
      </c>
      <c r="C255" s="18" t="inlineStr">
        <is>
          <t>ACTIVO</t>
        </is>
      </c>
      <c r="D255" s="18" t="n"/>
      <c r="E255" s="17" t="n"/>
      <c r="F255" s="17" t="n"/>
      <c r="G255" s="19" t="n"/>
      <c r="H255" s="19" t="n"/>
      <c r="I255" s="20" t="n"/>
      <c r="J255" s="20" t="n"/>
      <c r="K255" s="21" t="n"/>
      <c r="L255" s="18" t="n"/>
      <c r="M255" s="22" t="n"/>
      <c r="N255" s="22" t="n"/>
      <c r="O255" s="23" t="n">
        <v>10</v>
      </c>
      <c r="P255" s="24" t="inlineStr">
        <is>
          <t>UNIDAD</t>
        </is>
      </c>
      <c r="Q255" s="20" t="inlineStr">
        <is>
          <t>NO</t>
        </is>
      </c>
      <c r="R255" s="20" t="inlineStr">
        <is>
          <t>NO</t>
        </is>
      </c>
      <c r="S255" s="25" t="n">
        <v>1</v>
      </c>
      <c r="T255" s="20" t="inlineStr">
        <is>
          <t>NO</t>
        </is>
      </c>
      <c r="U255" s="20" t="n"/>
      <c r="V255" s="21" t="n"/>
      <c r="W255" s="26" t="n"/>
      <c r="X255" s="27" t="n"/>
      <c r="Y255" s="20" t="n"/>
      <c r="Z255" s="20" t="n"/>
      <c r="AA255" s="26">
        <f>IF(X255="","",X255-IF(W255="",0,W255))</f>
        <v/>
      </c>
      <c r="AB255" s="28">
        <f>IF(OR(X255="",M255=""),"",X255*M255)</f>
        <v/>
      </c>
      <c r="AC255" s="28">
        <f>IF(OR(X255="",N255=""),"",X255*N255)</f>
        <v/>
      </c>
      <c r="AD255" s="28">
        <f>IF(OR(M255="",N255=""),"",N255-M255)</f>
        <v/>
      </c>
      <c r="AE255" s="29">
        <f>IFERROR(IF(M255&gt;0,(N255-M255)/M255,""),"")</f>
        <v/>
      </c>
      <c r="AF255" s="30" t="n"/>
      <c r="AG255" s="30" t="inlineStr">
        <is>
          <t>PENDIENTE</t>
        </is>
      </c>
      <c r="AH255" s="18">
        <f>IF(NOT(OR(B255="EXISTENTE",COUNTA(G255,H255,I255,J255,K255,M255,N255,U255,V255,X255,Y255,Z255,AF255,AJ255)&gt;0)),"",IF(AK255&lt;&gt;"","REVISAR",IF(OR(G255="",H255="",M255="",N255="",O255="",P255="",X255=""),"INCOMPLETO",IF(AI255&lt;&gt;"","REVISAR",IF(AND(AF255&lt;&gt;"",AG255="ESCANEADO"),"LISTO_COMPLETO","LISTO_SIN_BARCODE")))))</f>
        <v/>
      </c>
      <c r="AI255" s="17">
        <f>IF(NOT(OR(B255="EXISTENTE",COUNTA(G255,H255,I255,J255,K255,M255,N255,U255,V255,X255,Y255,Z255,AF255,AJ255)&gt;0)),"",TEXTJOIN(" | ",TRUE,IF(A255="","Falta ID staging",""),IF(COUNTIF($A$5:$A$445,A255)&gt;1,"ID staging duplicado",""),IF(G255="","Falta nombre",""),IF(LEN(G255)&gt;150,"Nombre &gt;150 caracteres",""),IF(H255="","Falta categoría",IF(COUNTIF(CategoriasLista,H255)=0,"Categoría inválida","")),IF(M255="","Falta precio compra",IF(OR(NOT(ISNUMBER(M255)),M255&lt;0),"Precio compra inválido","")),IF(N255="","Falta precio venta",IF(OR(NOT(ISNUMBER(N255)),N255&lt;=0,N255&lt;M255),"Precio venta inválido","")),IF(O255="","Falta stock mínimo",IF(OR(NOT(ISNUMBER(O255)),O255&lt;0,MOD(O255,1)&lt;&gt;0),"Stock mínimo inválido","")),IF(P255="","Falta unidad",IF(COUNTIF(UnidadesLista,P255)=0,"Unidad inválida","")),IF(AND(K255&lt;&gt;"",COUNTIF(ProveedoresLista,K255)=0),"Proveedor no catalogado",""),IF(X255="","Falta cantidad contada",IF(OR(NOT(ISNUMBER(X255)),X255&lt;0,ABS(X255*1000-ROUND(X255*1000,0))&gt;0.0000001),"Cantidad inválida",IF(AND(Q255="NO",MOD(X255,1)&lt;&gt;0),"Cantidad fraccionaria no permitida",""))),IF(AND(R255="SI",OR(NOT(ISNUMBER(S255)),S255&lt;1,MOD(S255,1)&lt;&gt;0)),"Empaque inválido",""),IF(OR(AND(AF255="",AG255="ESCANEADO"),AND(AF255&lt;&gt;"",AG255&lt;&gt;"ESCANEADO")),"Barcode/estado inconsistente",""),IF(AK255&lt;&gt;"",AK255,"")))</f>
        <v/>
      </c>
      <c r="AJ255" s="21" t="n"/>
      <c r="AK255" s="17">
        <f>IF(G255="","",IF(OR(COUNTIFS($G$5:$G$445,G255,$I$5:$I$445,I255,$J$5:$J$445,J255,$P$5:$P$445,P255)&gt;1,AND(AF255&lt;&gt;"",COUNTIF($AF$5:$AF$445,AF255)&gt;1)),"REVISAR_POSIBLE_DUPLICADO",""))</f>
        <v/>
      </c>
    </row>
    <row r="256">
      <c r="A256" s="17" t="inlineStr">
        <is>
          <t>26ac82b8-3d9d-55d8-b5ab-6f1632009520</t>
        </is>
      </c>
      <c r="B256" s="18" t="inlineStr">
        <is>
          <t>NUEVO</t>
        </is>
      </c>
      <c r="C256" s="18" t="inlineStr">
        <is>
          <t>ACTIVO</t>
        </is>
      </c>
      <c r="D256" s="18" t="n"/>
      <c r="E256" s="17" t="n"/>
      <c r="F256" s="17" t="n"/>
      <c r="G256" s="19" t="n"/>
      <c r="H256" s="19" t="n"/>
      <c r="I256" s="20" t="n"/>
      <c r="J256" s="20" t="n"/>
      <c r="K256" s="21" t="n"/>
      <c r="L256" s="18" t="n"/>
      <c r="M256" s="22" t="n"/>
      <c r="N256" s="22" t="n"/>
      <c r="O256" s="23" t="n">
        <v>10</v>
      </c>
      <c r="P256" s="24" t="inlineStr">
        <is>
          <t>UNIDAD</t>
        </is>
      </c>
      <c r="Q256" s="20" t="inlineStr">
        <is>
          <t>NO</t>
        </is>
      </c>
      <c r="R256" s="20" t="inlineStr">
        <is>
          <t>NO</t>
        </is>
      </c>
      <c r="S256" s="25" t="n">
        <v>1</v>
      </c>
      <c r="T256" s="20" t="inlineStr">
        <is>
          <t>NO</t>
        </is>
      </c>
      <c r="U256" s="20" t="n"/>
      <c r="V256" s="21" t="n"/>
      <c r="W256" s="26" t="n"/>
      <c r="X256" s="27" t="n"/>
      <c r="Y256" s="20" t="n"/>
      <c r="Z256" s="20" t="n"/>
      <c r="AA256" s="26">
        <f>IF(X256="","",X256-IF(W256="",0,W256))</f>
        <v/>
      </c>
      <c r="AB256" s="28">
        <f>IF(OR(X256="",M256=""),"",X256*M256)</f>
        <v/>
      </c>
      <c r="AC256" s="28">
        <f>IF(OR(X256="",N256=""),"",X256*N256)</f>
        <v/>
      </c>
      <c r="AD256" s="28">
        <f>IF(OR(M256="",N256=""),"",N256-M256)</f>
        <v/>
      </c>
      <c r="AE256" s="29">
        <f>IFERROR(IF(M256&gt;0,(N256-M256)/M256,""),"")</f>
        <v/>
      </c>
      <c r="AF256" s="30" t="n"/>
      <c r="AG256" s="30" t="inlineStr">
        <is>
          <t>PENDIENTE</t>
        </is>
      </c>
      <c r="AH256" s="18">
        <f>IF(NOT(OR(B256="EXISTENTE",COUNTA(G256,H256,I256,J256,K256,M256,N256,U256,V256,X256,Y256,Z256,AF256,AJ256)&gt;0)),"",IF(AK256&lt;&gt;"","REVISAR",IF(OR(G256="",H256="",M256="",N256="",O256="",P256="",X256=""),"INCOMPLETO",IF(AI256&lt;&gt;"","REVISAR",IF(AND(AF256&lt;&gt;"",AG256="ESCANEADO"),"LISTO_COMPLETO","LISTO_SIN_BARCODE")))))</f>
        <v/>
      </c>
      <c r="AI256" s="17">
        <f>IF(NOT(OR(B256="EXISTENTE",COUNTA(G256,H256,I256,J256,K256,M256,N256,U256,V256,X256,Y256,Z256,AF256,AJ256)&gt;0)),"",TEXTJOIN(" | ",TRUE,IF(A256="","Falta ID staging",""),IF(COUNTIF($A$5:$A$445,A256)&gt;1,"ID staging duplicado",""),IF(G256="","Falta nombre",""),IF(LEN(G256)&gt;150,"Nombre &gt;150 caracteres",""),IF(H256="","Falta categoría",IF(COUNTIF(CategoriasLista,H256)=0,"Categoría inválida","")),IF(M256="","Falta precio compra",IF(OR(NOT(ISNUMBER(M256)),M256&lt;0),"Precio compra inválido","")),IF(N256="","Falta precio venta",IF(OR(NOT(ISNUMBER(N256)),N256&lt;=0,N256&lt;M256),"Precio venta inválido","")),IF(O256="","Falta stock mínimo",IF(OR(NOT(ISNUMBER(O256)),O256&lt;0,MOD(O256,1)&lt;&gt;0),"Stock mínimo inválido","")),IF(P256="","Falta unidad",IF(COUNTIF(UnidadesLista,P256)=0,"Unidad inválida","")),IF(AND(K256&lt;&gt;"",COUNTIF(ProveedoresLista,K256)=0),"Proveedor no catalogado",""),IF(X256="","Falta cantidad contada",IF(OR(NOT(ISNUMBER(X256)),X256&lt;0,ABS(X256*1000-ROUND(X256*1000,0))&gt;0.0000001),"Cantidad inválida",IF(AND(Q256="NO",MOD(X256,1)&lt;&gt;0),"Cantidad fraccionaria no permitida",""))),IF(AND(R256="SI",OR(NOT(ISNUMBER(S256)),S256&lt;1,MOD(S256,1)&lt;&gt;0)),"Empaque inválido",""),IF(OR(AND(AF256="",AG256="ESCANEADO"),AND(AF256&lt;&gt;"",AG256&lt;&gt;"ESCANEADO")),"Barcode/estado inconsistente",""),IF(AK256&lt;&gt;"",AK256,"")))</f>
        <v/>
      </c>
      <c r="AJ256" s="21" t="n"/>
      <c r="AK256" s="17">
        <f>IF(G256="","",IF(OR(COUNTIFS($G$5:$G$445,G256,$I$5:$I$445,I256,$J$5:$J$445,J256,$P$5:$P$445,P256)&gt;1,AND(AF256&lt;&gt;"",COUNTIF($AF$5:$AF$445,AF256)&gt;1)),"REVISAR_POSIBLE_DUPLICADO",""))</f>
        <v/>
      </c>
    </row>
    <row r="257">
      <c r="A257" s="17" t="inlineStr">
        <is>
          <t>b0cc41fd-94b6-5012-b1f2-2830ce258341</t>
        </is>
      </c>
      <c r="B257" s="18" t="inlineStr">
        <is>
          <t>NUEVO</t>
        </is>
      </c>
      <c r="C257" s="18" t="inlineStr">
        <is>
          <t>ACTIVO</t>
        </is>
      </c>
      <c r="D257" s="18" t="n"/>
      <c r="E257" s="17" t="n"/>
      <c r="F257" s="17" t="n"/>
      <c r="G257" s="19" t="n"/>
      <c r="H257" s="19" t="n"/>
      <c r="I257" s="20" t="n"/>
      <c r="J257" s="20" t="n"/>
      <c r="K257" s="21" t="n"/>
      <c r="L257" s="18" t="n"/>
      <c r="M257" s="22" t="n"/>
      <c r="N257" s="22" t="n"/>
      <c r="O257" s="23" t="n">
        <v>10</v>
      </c>
      <c r="P257" s="24" t="inlineStr">
        <is>
          <t>UNIDAD</t>
        </is>
      </c>
      <c r="Q257" s="20" t="inlineStr">
        <is>
          <t>NO</t>
        </is>
      </c>
      <c r="R257" s="20" t="inlineStr">
        <is>
          <t>NO</t>
        </is>
      </c>
      <c r="S257" s="25" t="n">
        <v>1</v>
      </c>
      <c r="T257" s="20" t="inlineStr">
        <is>
          <t>NO</t>
        </is>
      </c>
      <c r="U257" s="20" t="n"/>
      <c r="V257" s="21" t="n"/>
      <c r="W257" s="26" t="n"/>
      <c r="X257" s="27" t="n"/>
      <c r="Y257" s="20" t="n"/>
      <c r="Z257" s="20" t="n"/>
      <c r="AA257" s="26">
        <f>IF(X257="","",X257-IF(W257="",0,W257))</f>
        <v/>
      </c>
      <c r="AB257" s="28">
        <f>IF(OR(X257="",M257=""),"",X257*M257)</f>
        <v/>
      </c>
      <c r="AC257" s="28">
        <f>IF(OR(X257="",N257=""),"",X257*N257)</f>
        <v/>
      </c>
      <c r="AD257" s="28">
        <f>IF(OR(M257="",N257=""),"",N257-M257)</f>
        <v/>
      </c>
      <c r="AE257" s="29">
        <f>IFERROR(IF(M257&gt;0,(N257-M257)/M257,""),"")</f>
        <v/>
      </c>
      <c r="AF257" s="30" t="n"/>
      <c r="AG257" s="30" t="inlineStr">
        <is>
          <t>PENDIENTE</t>
        </is>
      </c>
      <c r="AH257" s="18">
        <f>IF(NOT(OR(B257="EXISTENTE",COUNTA(G257,H257,I257,J257,K257,M257,N257,U257,V257,X257,Y257,Z257,AF257,AJ257)&gt;0)),"",IF(AK257&lt;&gt;"","REVISAR",IF(OR(G257="",H257="",M257="",N257="",O257="",P257="",X257=""),"INCOMPLETO",IF(AI257&lt;&gt;"","REVISAR",IF(AND(AF257&lt;&gt;"",AG257="ESCANEADO"),"LISTO_COMPLETO","LISTO_SIN_BARCODE")))))</f>
        <v/>
      </c>
      <c r="AI257" s="17">
        <f>IF(NOT(OR(B257="EXISTENTE",COUNTA(G257,H257,I257,J257,K257,M257,N257,U257,V257,X257,Y257,Z257,AF257,AJ257)&gt;0)),"",TEXTJOIN(" | ",TRUE,IF(A257="","Falta ID staging",""),IF(COUNTIF($A$5:$A$445,A257)&gt;1,"ID staging duplicado",""),IF(G257="","Falta nombre",""),IF(LEN(G257)&gt;150,"Nombre &gt;150 caracteres",""),IF(H257="","Falta categoría",IF(COUNTIF(CategoriasLista,H257)=0,"Categoría inválida","")),IF(M257="","Falta precio compra",IF(OR(NOT(ISNUMBER(M257)),M257&lt;0),"Precio compra inválido","")),IF(N257="","Falta precio venta",IF(OR(NOT(ISNUMBER(N257)),N257&lt;=0,N257&lt;M257),"Precio venta inválido","")),IF(O257="","Falta stock mínimo",IF(OR(NOT(ISNUMBER(O257)),O257&lt;0,MOD(O257,1)&lt;&gt;0),"Stock mínimo inválido","")),IF(P257="","Falta unidad",IF(COUNTIF(UnidadesLista,P257)=0,"Unidad inválida","")),IF(AND(K257&lt;&gt;"",COUNTIF(ProveedoresLista,K257)=0),"Proveedor no catalogado",""),IF(X257="","Falta cantidad contada",IF(OR(NOT(ISNUMBER(X257)),X257&lt;0,ABS(X257*1000-ROUND(X257*1000,0))&gt;0.0000001),"Cantidad inválida",IF(AND(Q257="NO",MOD(X257,1)&lt;&gt;0),"Cantidad fraccionaria no permitida",""))),IF(AND(R257="SI",OR(NOT(ISNUMBER(S257)),S257&lt;1,MOD(S257,1)&lt;&gt;0)),"Empaque inválido",""),IF(OR(AND(AF257="",AG257="ESCANEADO"),AND(AF257&lt;&gt;"",AG257&lt;&gt;"ESCANEADO")),"Barcode/estado inconsistente",""),IF(AK257&lt;&gt;"",AK257,"")))</f>
        <v/>
      </c>
      <c r="AJ257" s="21" t="n"/>
      <c r="AK257" s="17">
        <f>IF(G257="","",IF(OR(COUNTIFS($G$5:$G$445,G257,$I$5:$I$445,I257,$J$5:$J$445,J257,$P$5:$P$445,P257)&gt;1,AND(AF257&lt;&gt;"",COUNTIF($AF$5:$AF$445,AF257)&gt;1)),"REVISAR_POSIBLE_DUPLICADO",""))</f>
        <v/>
      </c>
    </row>
    <row r="258">
      <c r="A258" s="17" t="inlineStr">
        <is>
          <t>34723901-3fdc-5e77-8beb-c8eb5057845e</t>
        </is>
      </c>
      <c r="B258" s="18" t="inlineStr">
        <is>
          <t>NUEVO</t>
        </is>
      </c>
      <c r="C258" s="18" t="inlineStr">
        <is>
          <t>ACTIVO</t>
        </is>
      </c>
      <c r="D258" s="18" t="n"/>
      <c r="E258" s="17" t="n"/>
      <c r="F258" s="17" t="n"/>
      <c r="G258" s="19" t="n"/>
      <c r="H258" s="19" t="n"/>
      <c r="I258" s="20" t="n"/>
      <c r="J258" s="20" t="n"/>
      <c r="K258" s="21" t="n"/>
      <c r="L258" s="18" t="n"/>
      <c r="M258" s="22" t="n"/>
      <c r="N258" s="22" t="n"/>
      <c r="O258" s="23" t="n">
        <v>10</v>
      </c>
      <c r="P258" s="24" t="inlineStr">
        <is>
          <t>UNIDAD</t>
        </is>
      </c>
      <c r="Q258" s="20" t="inlineStr">
        <is>
          <t>NO</t>
        </is>
      </c>
      <c r="R258" s="20" t="inlineStr">
        <is>
          <t>NO</t>
        </is>
      </c>
      <c r="S258" s="25" t="n">
        <v>1</v>
      </c>
      <c r="T258" s="20" t="inlineStr">
        <is>
          <t>NO</t>
        </is>
      </c>
      <c r="U258" s="20" t="n"/>
      <c r="V258" s="21" t="n"/>
      <c r="W258" s="26" t="n"/>
      <c r="X258" s="27" t="n"/>
      <c r="Y258" s="20" t="n"/>
      <c r="Z258" s="20" t="n"/>
      <c r="AA258" s="26">
        <f>IF(X258="","",X258-IF(W258="",0,W258))</f>
        <v/>
      </c>
      <c r="AB258" s="28">
        <f>IF(OR(X258="",M258=""),"",X258*M258)</f>
        <v/>
      </c>
      <c r="AC258" s="28">
        <f>IF(OR(X258="",N258=""),"",X258*N258)</f>
        <v/>
      </c>
      <c r="AD258" s="28">
        <f>IF(OR(M258="",N258=""),"",N258-M258)</f>
        <v/>
      </c>
      <c r="AE258" s="29">
        <f>IFERROR(IF(M258&gt;0,(N258-M258)/M258,""),"")</f>
        <v/>
      </c>
      <c r="AF258" s="30" t="n"/>
      <c r="AG258" s="30" t="inlineStr">
        <is>
          <t>PENDIENTE</t>
        </is>
      </c>
      <c r="AH258" s="18">
        <f>IF(NOT(OR(B258="EXISTENTE",COUNTA(G258,H258,I258,J258,K258,M258,N258,U258,V258,X258,Y258,Z258,AF258,AJ258)&gt;0)),"",IF(AK258&lt;&gt;"","REVISAR",IF(OR(G258="",H258="",M258="",N258="",O258="",P258="",X258=""),"INCOMPLETO",IF(AI258&lt;&gt;"","REVISAR",IF(AND(AF258&lt;&gt;"",AG258="ESCANEADO"),"LISTO_COMPLETO","LISTO_SIN_BARCODE")))))</f>
        <v/>
      </c>
      <c r="AI258" s="17">
        <f>IF(NOT(OR(B258="EXISTENTE",COUNTA(G258,H258,I258,J258,K258,M258,N258,U258,V258,X258,Y258,Z258,AF258,AJ258)&gt;0)),"",TEXTJOIN(" | ",TRUE,IF(A258="","Falta ID staging",""),IF(COUNTIF($A$5:$A$445,A258)&gt;1,"ID staging duplicado",""),IF(G258="","Falta nombre",""),IF(LEN(G258)&gt;150,"Nombre &gt;150 caracteres",""),IF(H258="","Falta categoría",IF(COUNTIF(CategoriasLista,H258)=0,"Categoría inválida","")),IF(M258="","Falta precio compra",IF(OR(NOT(ISNUMBER(M258)),M258&lt;0),"Precio compra inválido","")),IF(N258="","Falta precio venta",IF(OR(NOT(ISNUMBER(N258)),N258&lt;=0,N258&lt;M258),"Precio venta inválido","")),IF(O258="","Falta stock mínimo",IF(OR(NOT(ISNUMBER(O258)),O258&lt;0,MOD(O258,1)&lt;&gt;0),"Stock mínimo inválido","")),IF(P258="","Falta unidad",IF(COUNTIF(UnidadesLista,P258)=0,"Unidad inválida","")),IF(AND(K258&lt;&gt;"",COUNTIF(ProveedoresLista,K258)=0),"Proveedor no catalogado",""),IF(X258="","Falta cantidad contada",IF(OR(NOT(ISNUMBER(X258)),X258&lt;0,ABS(X258*1000-ROUND(X258*1000,0))&gt;0.0000001),"Cantidad inválida",IF(AND(Q258="NO",MOD(X258,1)&lt;&gt;0),"Cantidad fraccionaria no permitida",""))),IF(AND(R258="SI",OR(NOT(ISNUMBER(S258)),S258&lt;1,MOD(S258,1)&lt;&gt;0)),"Empaque inválido",""),IF(OR(AND(AF258="",AG258="ESCANEADO"),AND(AF258&lt;&gt;"",AG258&lt;&gt;"ESCANEADO")),"Barcode/estado inconsistente",""),IF(AK258&lt;&gt;"",AK258,"")))</f>
        <v/>
      </c>
      <c r="AJ258" s="21" t="n"/>
      <c r="AK258" s="17">
        <f>IF(G258="","",IF(OR(COUNTIFS($G$5:$G$445,G258,$I$5:$I$445,I258,$J$5:$J$445,J258,$P$5:$P$445,P258)&gt;1,AND(AF258&lt;&gt;"",COUNTIF($AF$5:$AF$445,AF258)&gt;1)),"REVISAR_POSIBLE_DUPLICADO",""))</f>
        <v/>
      </c>
    </row>
    <row r="259">
      <c r="A259" s="17" t="inlineStr">
        <is>
          <t>2cb9254d-555e-572f-9560-a1cefd3376f3</t>
        </is>
      </c>
      <c r="B259" s="18" t="inlineStr">
        <is>
          <t>NUEVO</t>
        </is>
      </c>
      <c r="C259" s="18" t="inlineStr">
        <is>
          <t>ACTIVO</t>
        </is>
      </c>
      <c r="D259" s="18" t="n"/>
      <c r="E259" s="17" t="n"/>
      <c r="F259" s="17" t="n"/>
      <c r="G259" s="19" t="n"/>
      <c r="H259" s="19" t="n"/>
      <c r="I259" s="20" t="n"/>
      <c r="J259" s="20" t="n"/>
      <c r="K259" s="21" t="n"/>
      <c r="L259" s="18" t="n"/>
      <c r="M259" s="22" t="n"/>
      <c r="N259" s="22" t="n"/>
      <c r="O259" s="23" t="n">
        <v>10</v>
      </c>
      <c r="P259" s="24" t="inlineStr">
        <is>
          <t>UNIDAD</t>
        </is>
      </c>
      <c r="Q259" s="20" t="inlineStr">
        <is>
          <t>NO</t>
        </is>
      </c>
      <c r="R259" s="20" t="inlineStr">
        <is>
          <t>NO</t>
        </is>
      </c>
      <c r="S259" s="25" t="n">
        <v>1</v>
      </c>
      <c r="T259" s="20" t="inlineStr">
        <is>
          <t>NO</t>
        </is>
      </c>
      <c r="U259" s="20" t="n"/>
      <c r="V259" s="21" t="n"/>
      <c r="W259" s="26" t="n"/>
      <c r="X259" s="27" t="n"/>
      <c r="Y259" s="20" t="n"/>
      <c r="Z259" s="20" t="n"/>
      <c r="AA259" s="26">
        <f>IF(X259="","",X259-IF(W259="",0,W259))</f>
        <v/>
      </c>
      <c r="AB259" s="28">
        <f>IF(OR(X259="",M259=""),"",X259*M259)</f>
        <v/>
      </c>
      <c r="AC259" s="28">
        <f>IF(OR(X259="",N259=""),"",X259*N259)</f>
        <v/>
      </c>
      <c r="AD259" s="28">
        <f>IF(OR(M259="",N259=""),"",N259-M259)</f>
        <v/>
      </c>
      <c r="AE259" s="29">
        <f>IFERROR(IF(M259&gt;0,(N259-M259)/M259,""),"")</f>
        <v/>
      </c>
      <c r="AF259" s="30" t="n"/>
      <c r="AG259" s="30" t="inlineStr">
        <is>
          <t>PENDIENTE</t>
        </is>
      </c>
      <c r="AH259" s="18">
        <f>IF(NOT(OR(B259="EXISTENTE",COUNTA(G259,H259,I259,J259,K259,M259,N259,U259,V259,X259,Y259,Z259,AF259,AJ259)&gt;0)),"",IF(AK259&lt;&gt;"","REVISAR",IF(OR(G259="",H259="",M259="",N259="",O259="",P259="",X259=""),"INCOMPLETO",IF(AI259&lt;&gt;"","REVISAR",IF(AND(AF259&lt;&gt;"",AG259="ESCANEADO"),"LISTO_COMPLETO","LISTO_SIN_BARCODE")))))</f>
        <v/>
      </c>
      <c r="AI259" s="17">
        <f>IF(NOT(OR(B259="EXISTENTE",COUNTA(G259,H259,I259,J259,K259,M259,N259,U259,V259,X259,Y259,Z259,AF259,AJ259)&gt;0)),"",TEXTJOIN(" | ",TRUE,IF(A259="","Falta ID staging",""),IF(COUNTIF($A$5:$A$445,A259)&gt;1,"ID staging duplicado",""),IF(G259="","Falta nombre",""),IF(LEN(G259)&gt;150,"Nombre &gt;150 caracteres",""),IF(H259="","Falta categoría",IF(COUNTIF(CategoriasLista,H259)=0,"Categoría inválida","")),IF(M259="","Falta precio compra",IF(OR(NOT(ISNUMBER(M259)),M259&lt;0),"Precio compra inválido","")),IF(N259="","Falta precio venta",IF(OR(NOT(ISNUMBER(N259)),N259&lt;=0,N259&lt;M259),"Precio venta inválido","")),IF(O259="","Falta stock mínimo",IF(OR(NOT(ISNUMBER(O259)),O259&lt;0,MOD(O259,1)&lt;&gt;0),"Stock mínimo inválido","")),IF(P259="","Falta unidad",IF(COUNTIF(UnidadesLista,P259)=0,"Unidad inválida","")),IF(AND(K259&lt;&gt;"",COUNTIF(ProveedoresLista,K259)=0),"Proveedor no catalogado",""),IF(X259="","Falta cantidad contada",IF(OR(NOT(ISNUMBER(X259)),X259&lt;0,ABS(X259*1000-ROUND(X259*1000,0))&gt;0.0000001),"Cantidad inválida",IF(AND(Q259="NO",MOD(X259,1)&lt;&gt;0),"Cantidad fraccionaria no permitida",""))),IF(AND(R259="SI",OR(NOT(ISNUMBER(S259)),S259&lt;1,MOD(S259,1)&lt;&gt;0)),"Empaque inválido",""),IF(OR(AND(AF259="",AG259="ESCANEADO"),AND(AF259&lt;&gt;"",AG259&lt;&gt;"ESCANEADO")),"Barcode/estado inconsistente",""),IF(AK259&lt;&gt;"",AK259,"")))</f>
        <v/>
      </c>
      <c r="AJ259" s="21" t="n"/>
      <c r="AK259" s="17">
        <f>IF(G259="","",IF(OR(COUNTIFS($G$5:$G$445,G259,$I$5:$I$445,I259,$J$5:$J$445,J259,$P$5:$P$445,P259)&gt;1,AND(AF259&lt;&gt;"",COUNTIF($AF$5:$AF$445,AF259)&gt;1)),"REVISAR_POSIBLE_DUPLICADO",""))</f>
        <v/>
      </c>
    </row>
    <row r="260">
      <c r="A260" s="17" t="inlineStr">
        <is>
          <t>c6bfdf66-3c67-5ae7-aecf-e7e0f6ac004d</t>
        </is>
      </c>
      <c r="B260" s="18" t="inlineStr">
        <is>
          <t>NUEVO</t>
        </is>
      </c>
      <c r="C260" s="18" t="inlineStr">
        <is>
          <t>ACTIVO</t>
        </is>
      </c>
      <c r="D260" s="18" t="n"/>
      <c r="E260" s="17" t="n"/>
      <c r="F260" s="17" t="n"/>
      <c r="G260" s="19" t="n"/>
      <c r="H260" s="19" t="n"/>
      <c r="I260" s="20" t="n"/>
      <c r="J260" s="20" t="n"/>
      <c r="K260" s="21" t="n"/>
      <c r="L260" s="18" t="n"/>
      <c r="M260" s="22" t="n"/>
      <c r="N260" s="22" t="n"/>
      <c r="O260" s="23" t="n">
        <v>10</v>
      </c>
      <c r="P260" s="24" t="inlineStr">
        <is>
          <t>UNIDAD</t>
        </is>
      </c>
      <c r="Q260" s="20" t="inlineStr">
        <is>
          <t>NO</t>
        </is>
      </c>
      <c r="R260" s="20" t="inlineStr">
        <is>
          <t>NO</t>
        </is>
      </c>
      <c r="S260" s="25" t="n">
        <v>1</v>
      </c>
      <c r="T260" s="20" t="inlineStr">
        <is>
          <t>NO</t>
        </is>
      </c>
      <c r="U260" s="20" t="n"/>
      <c r="V260" s="21" t="n"/>
      <c r="W260" s="26" t="n"/>
      <c r="X260" s="27" t="n"/>
      <c r="Y260" s="20" t="n"/>
      <c r="Z260" s="20" t="n"/>
      <c r="AA260" s="26">
        <f>IF(X260="","",X260-IF(W260="",0,W260))</f>
        <v/>
      </c>
      <c r="AB260" s="28">
        <f>IF(OR(X260="",M260=""),"",X260*M260)</f>
        <v/>
      </c>
      <c r="AC260" s="28">
        <f>IF(OR(X260="",N260=""),"",X260*N260)</f>
        <v/>
      </c>
      <c r="AD260" s="28">
        <f>IF(OR(M260="",N260=""),"",N260-M260)</f>
        <v/>
      </c>
      <c r="AE260" s="29">
        <f>IFERROR(IF(M260&gt;0,(N260-M260)/M260,""),"")</f>
        <v/>
      </c>
      <c r="AF260" s="30" t="n"/>
      <c r="AG260" s="30" t="inlineStr">
        <is>
          <t>PENDIENTE</t>
        </is>
      </c>
      <c r="AH260" s="18">
        <f>IF(NOT(OR(B260="EXISTENTE",COUNTA(G260,H260,I260,J260,K260,M260,N260,U260,V260,X260,Y260,Z260,AF260,AJ260)&gt;0)),"",IF(AK260&lt;&gt;"","REVISAR",IF(OR(G260="",H260="",M260="",N260="",O260="",P260="",X260=""),"INCOMPLETO",IF(AI260&lt;&gt;"","REVISAR",IF(AND(AF260&lt;&gt;"",AG260="ESCANEADO"),"LISTO_COMPLETO","LISTO_SIN_BARCODE")))))</f>
        <v/>
      </c>
      <c r="AI260" s="17">
        <f>IF(NOT(OR(B260="EXISTENTE",COUNTA(G260,H260,I260,J260,K260,M260,N260,U260,V260,X260,Y260,Z260,AF260,AJ260)&gt;0)),"",TEXTJOIN(" | ",TRUE,IF(A260="","Falta ID staging",""),IF(COUNTIF($A$5:$A$445,A260)&gt;1,"ID staging duplicado",""),IF(G260="","Falta nombre",""),IF(LEN(G260)&gt;150,"Nombre &gt;150 caracteres",""),IF(H260="","Falta categoría",IF(COUNTIF(CategoriasLista,H260)=0,"Categoría inválida","")),IF(M260="","Falta precio compra",IF(OR(NOT(ISNUMBER(M260)),M260&lt;0),"Precio compra inválido","")),IF(N260="","Falta precio venta",IF(OR(NOT(ISNUMBER(N260)),N260&lt;=0,N260&lt;M260),"Precio venta inválido","")),IF(O260="","Falta stock mínimo",IF(OR(NOT(ISNUMBER(O260)),O260&lt;0,MOD(O260,1)&lt;&gt;0),"Stock mínimo inválido","")),IF(P260="","Falta unidad",IF(COUNTIF(UnidadesLista,P260)=0,"Unidad inválida","")),IF(AND(K260&lt;&gt;"",COUNTIF(ProveedoresLista,K260)=0),"Proveedor no catalogado",""),IF(X260="","Falta cantidad contada",IF(OR(NOT(ISNUMBER(X260)),X260&lt;0,ABS(X260*1000-ROUND(X260*1000,0))&gt;0.0000001),"Cantidad inválida",IF(AND(Q260="NO",MOD(X260,1)&lt;&gt;0),"Cantidad fraccionaria no permitida",""))),IF(AND(R260="SI",OR(NOT(ISNUMBER(S260)),S260&lt;1,MOD(S260,1)&lt;&gt;0)),"Empaque inválido",""),IF(OR(AND(AF260="",AG260="ESCANEADO"),AND(AF260&lt;&gt;"",AG260&lt;&gt;"ESCANEADO")),"Barcode/estado inconsistente",""),IF(AK260&lt;&gt;"",AK260,"")))</f>
        <v/>
      </c>
      <c r="AJ260" s="21" t="n"/>
      <c r="AK260" s="17">
        <f>IF(G260="","",IF(OR(COUNTIFS($G$5:$G$445,G260,$I$5:$I$445,I260,$J$5:$J$445,J260,$P$5:$P$445,P260)&gt;1,AND(AF260&lt;&gt;"",COUNTIF($AF$5:$AF$445,AF260)&gt;1)),"REVISAR_POSIBLE_DUPLICADO",""))</f>
        <v/>
      </c>
    </row>
    <row r="261">
      <c r="A261" s="17" t="inlineStr">
        <is>
          <t>7f18f71a-5d1f-5c44-b067-d1a205463372</t>
        </is>
      </c>
      <c r="B261" s="18" t="inlineStr">
        <is>
          <t>NUEVO</t>
        </is>
      </c>
      <c r="C261" s="18" t="inlineStr">
        <is>
          <t>ACTIVO</t>
        </is>
      </c>
      <c r="D261" s="18" t="n"/>
      <c r="E261" s="17" t="n"/>
      <c r="F261" s="17" t="n"/>
      <c r="G261" s="19" t="n"/>
      <c r="H261" s="19" t="n"/>
      <c r="I261" s="20" t="n"/>
      <c r="J261" s="20" t="n"/>
      <c r="K261" s="21" t="n"/>
      <c r="L261" s="18" t="n"/>
      <c r="M261" s="22" t="n"/>
      <c r="N261" s="22" t="n"/>
      <c r="O261" s="23" t="n">
        <v>10</v>
      </c>
      <c r="P261" s="24" t="inlineStr">
        <is>
          <t>UNIDAD</t>
        </is>
      </c>
      <c r="Q261" s="20" t="inlineStr">
        <is>
          <t>NO</t>
        </is>
      </c>
      <c r="R261" s="20" t="inlineStr">
        <is>
          <t>NO</t>
        </is>
      </c>
      <c r="S261" s="25" t="n">
        <v>1</v>
      </c>
      <c r="T261" s="20" t="inlineStr">
        <is>
          <t>NO</t>
        </is>
      </c>
      <c r="U261" s="20" t="n"/>
      <c r="V261" s="21" t="n"/>
      <c r="W261" s="26" t="n"/>
      <c r="X261" s="27" t="n"/>
      <c r="Y261" s="20" t="n"/>
      <c r="Z261" s="20" t="n"/>
      <c r="AA261" s="26">
        <f>IF(X261="","",X261-IF(W261="",0,W261))</f>
        <v/>
      </c>
      <c r="AB261" s="28">
        <f>IF(OR(X261="",M261=""),"",X261*M261)</f>
        <v/>
      </c>
      <c r="AC261" s="28">
        <f>IF(OR(X261="",N261=""),"",X261*N261)</f>
        <v/>
      </c>
      <c r="AD261" s="28">
        <f>IF(OR(M261="",N261=""),"",N261-M261)</f>
        <v/>
      </c>
      <c r="AE261" s="29">
        <f>IFERROR(IF(M261&gt;0,(N261-M261)/M261,""),"")</f>
        <v/>
      </c>
      <c r="AF261" s="30" t="n"/>
      <c r="AG261" s="30" t="inlineStr">
        <is>
          <t>PENDIENTE</t>
        </is>
      </c>
      <c r="AH261" s="18">
        <f>IF(NOT(OR(B261="EXISTENTE",COUNTA(G261,H261,I261,J261,K261,M261,N261,U261,V261,X261,Y261,Z261,AF261,AJ261)&gt;0)),"",IF(AK261&lt;&gt;"","REVISAR",IF(OR(G261="",H261="",M261="",N261="",O261="",P261="",X261=""),"INCOMPLETO",IF(AI261&lt;&gt;"","REVISAR",IF(AND(AF261&lt;&gt;"",AG261="ESCANEADO"),"LISTO_COMPLETO","LISTO_SIN_BARCODE")))))</f>
        <v/>
      </c>
      <c r="AI261" s="17">
        <f>IF(NOT(OR(B261="EXISTENTE",COUNTA(G261,H261,I261,J261,K261,M261,N261,U261,V261,X261,Y261,Z261,AF261,AJ261)&gt;0)),"",TEXTJOIN(" | ",TRUE,IF(A261="","Falta ID staging",""),IF(COUNTIF($A$5:$A$445,A261)&gt;1,"ID staging duplicado",""),IF(G261="","Falta nombre",""),IF(LEN(G261)&gt;150,"Nombre &gt;150 caracteres",""),IF(H261="","Falta categoría",IF(COUNTIF(CategoriasLista,H261)=0,"Categoría inválida","")),IF(M261="","Falta precio compra",IF(OR(NOT(ISNUMBER(M261)),M261&lt;0),"Precio compra inválido","")),IF(N261="","Falta precio venta",IF(OR(NOT(ISNUMBER(N261)),N261&lt;=0,N261&lt;M261),"Precio venta inválido","")),IF(O261="","Falta stock mínimo",IF(OR(NOT(ISNUMBER(O261)),O261&lt;0,MOD(O261,1)&lt;&gt;0),"Stock mínimo inválido","")),IF(P261="","Falta unidad",IF(COUNTIF(UnidadesLista,P261)=0,"Unidad inválida","")),IF(AND(K261&lt;&gt;"",COUNTIF(ProveedoresLista,K261)=0),"Proveedor no catalogado",""),IF(X261="","Falta cantidad contada",IF(OR(NOT(ISNUMBER(X261)),X261&lt;0,ABS(X261*1000-ROUND(X261*1000,0))&gt;0.0000001),"Cantidad inválida",IF(AND(Q261="NO",MOD(X261,1)&lt;&gt;0),"Cantidad fraccionaria no permitida",""))),IF(AND(R261="SI",OR(NOT(ISNUMBER(S261)),S261&lt;1,MOD(S261,1)&lt;&gt;0)),"Empaque inválido",""),IF(OR(AND(AF261="",AG261="ESCANEADO"),AND(AF261&lt;&gt;"",AG261&lt;&gt;"ESCANEADO")),"Barcode/estado inconsistente",""),IF(AK261&lt;&gt;"",AK261,"")))</f>
        <v/>
      </c>
      <c r="AJ261" s="21" t="n"/>
      <c r="AK261" s="17">
        <f>IF(G261="","",IF(OR(COUNTIFS($G$5:$G$445,G261,$I$5:$I$445,I261,$J$5:$J$445,J261,$P$5:$P$445,P261)&gt;1,AND(AF261&lt;&gt;"",COUNTIF($AF$5:$AF$445,AF261)&gt;1)),"REVISAR_POSIBLE_DUPLICADO",""))</f>
        <v/>
      </c>
    </row>
    <row r="262">
      <c r="A262" s="17" t="inlineStr">
        <is>
          <t>d8c31872-4843-540d-b059-5720ef3f3861</t>
        </is>
      </c>
      <c r="B262" s="18" t="inlineStr">
        <is>
          <t>NUEVO</t>
        </is>
      </c>
      <c r="C262" s="18" t="inlineStr">
        <is>
          <t>ACTIVO</t>
        </is>
      </c>
      <c r="D262" s="18" t="n"/>
      <c r="E262" s="17" t="n"/>
      <c r="F262" s="17" t="n"/>
      <c r="G262" s="19" t="n"/>
      <c r="H262" s="19" t="n"/>
      <c r="I262" s="20" t="n"/>
      <c r="J262" s="20" t="n"/>
      <c r="K262" s="21" t="n"/>
      <c r="L262" s="18" t="n"/>
      <c r="M262" s="22" t="n"/>
      <c r="N262" s="22" t="n"/>
      <c r="O262" s="23" t="n">
        <v>10</v>
      </c>
      <c r="P262" s="24" t="inlineStr">
        <is>
          <t>UNIDAD</t>
        </is>
      </c>
      <c r="Q262" s="20" t="inlineStr">
        <is>
          <t>NO</t>
        </is>
      </c>
      <c r="R262" s="20" t="inlineStr">
        <is>
          <t>NO</t>
        </is>
      </c>
      <c r="S262" s="25" t="n">
        <v>1</v>
      </c>
      <c r="T262" s="20" t="inlineStr">
        <is>
          <t>NO</t>
        </is>
      </c>
      <c r="U262" s="20" t="n"/>
      <c r="V262" s="21" t="n"/>
      <c r="W262" s="26" t="n"/>
      <c r="X262" s="27" t="n"/>
      <c r="Y262" s="20" t="n"/>
      <c r="Z262" s="20" t="n"/>
      <c r="AA262" s="26">
        <f>IF(X262="","",X262-IF(W262="",0,W262))</f>
        <v/>
      </c>
      <c r="AB262" s="28">
        <f>IF(OR(X262="",M262=""),"",X262*M262)</f>
        <v/>
      </c>
      <c r="AC262" s="28">
        <f>IF(OR(X262="",N262=""),"",X262*N262)</f>
        <v/>
      </c>
      <c r="AD262" s="28">
        <f>IF(OR(M262="",N262=""),"",N262-M262)</f>
        <v/>
      </c>
      <c r="AE262" s="29">
        <f>IFERROR(IF(M262&gt;0,(N262-M262)/M262,""),"")</f>
        <v/>
      </c>
      <c r="AF262" s="30" t="n"/>
      <c r="AG262" s="30" t="inlineStr">
        <is>
          <t>PENDIENTE</t>
        </is>
      </c>
      <c r="AH262" s="18">
        <f>IF(NOT(OR(B262="EXISTENTE",COUNTA(G262,H262,I262,J262,K262,M262,N262,U262,V262,X262,Y262,Z262,AF262,AJ262)&gt;0)),"",IF(AK262&lt;&gt;"","REVISAR",IF(OR(G262="",H262="",M262="",N262="",O262="",P262="",X262=""),"INCOMPLETO",IF(AI262&lt;&gt;"","REVISAR",IF(AND(AF262&lt;&gt;"",AG262="ESCANEADO"),"LISTO_COMPLETO","LISTO_SIN_BARCODE")))))</f>
        <v/>
      </c>
      <c r="AI262" s="17">
        <f>IF(NOT(OR(B262="EXISTENTE",COUNTA(G262,H262,I262,J262,K262,M262,N262,U262,V262,X262,Y262,Z262,AF262,AJ262)&gt;0)),"",TEXTJOIN(" | ",TRUE,IF(A262="","Falta ID staging",""),IF(COUNTIF($A$5:$A$445,A262)&gt;1,"ID staging duplicado",""),IF(G262="","Falta nombre",""),IF(LEN(G262)&gt;150,"Nombre &gt;150 caracteres",""),IF(H262="","Falta categoría",IF(COUNTIF(CategoriasLista,H262)=0,"Categoría inválida","")),IF(M262="","Falta precio compra",IF(OR(NOT(ISNUMBER(M262)),M262&lt;0),"Precio compra inválido","")),IF(N262="","Falta precio venta",IF(OR(NOT(ISNUMBER(N262)),N262&lt;=0,N262&lt;M262),"Precio venta inválido","")),IF(O262="","Falta stock mínimo",IF(OR(NOT(ISNUMBER(O262)),O262&lt;0,MOD(O262,1)&lt;&gt;0),"Stock mínimo inválido","")),IF(P262="","Falta unidad",IF(COUNTIF(UnidadesLista,P262)=0,"Unidad inválida","")),IF(AND(K262&lt;&gt;"",COUNTIF(ProveedoresLista,K262)=0),"Proveedor no catalogado",""),IF(X262="","Falta cantidad contada",IF(OR(NOT(ISNUMBER(X262)),X262&lt;0,ABS(X262*1000-ROUND(X262*1000,0))&gt;0.0000001),"Cantidad inválida",IF(AND(Q262="NO",MOD(X262,1)&lt;&gt;0),"Cantidad fraccionaria no permitida",""))),IF(AND(R262="SI",OR(NOT(ISNUMBER(S262)),S262&lt;1,MOD(S262,1)&lt;&gt;0)),"Empaque inválido",""),IF(OR(AND(AF262="",AG262="ESCANEADO"),AND(AF262&lt;&gt;"",AG262&lt;&gt;"ESCANEADO")),"Barcode/estado inconsistente",""),IF(AK262&lt;&gt;"",AK262,"")))</f>
        <v/>
      </c>
      <c r="AJ262" s="21" t="n"/>
      <c r="AK262" s="17">
        <f>IF(G262="","",IF(OR(COUNTIFS($G$5:$G$445,G262,$I$5:$I$445,I262,$J$5:$J$445,J262,$P$5:$P$445,P262)&gt;1,AND(AF262&lt;&gt;"",COUNTIF($AF$5:$AF$445,AF262)&gt;1)),"REVISAR_POSIBLE_DUPLICADO",""))</f>
        <v/>
      </c>
    </row>
    <row r="263">
      <c r="A263" s="17" t="inlineStr">
        <is>
          <t>319ef2a9-ac71-5ffe-85bb-75ed784f3465</t>
        </is>
      </c>
      <c r="B263" s="18" t="inlineStr">
        <is>
          <t>NUEVO</t>
        </is>
      </c>
      <c r="C263" s="18" t="inlineStr">
        <is>
          <t>ACTIVO</t>
        </is>
      </c>
      <c r="D263" s="18" t="n"/>
      <c r="E263" s="17" t="n"/>
      <c r="F263" s="17" t="n"/>
      <c r="G263" s="19" t="n"/>
      <c r="H263" s="19" t="n"/>
      <c r="I263" s="20" t="n"/>
      <c r="J263" s="20" t="n"/>
      <c r="K263" s="21" t="n"/>
      <c r="L263" s="18" t="n"/>
      <c r="M263" s="22" t="n"/>
      <c r="N263" s="22" t="n"/>
      <c r="O263" s="23" t="n">
        <v>10</v>
      </c>
      <c r="P263" s="24" t="inlineStr">
        <is>
          <t>UNIDAD</t>
        </is>
      </c>
      <c r="Q263" s="20" t="inlineStr">
        <is>
          <t>NO</t>
        </is>
      </c>
      <c r="R263" s="20" t="inlineStr">
        <is>
          <t>NO</t>
        </is>
      </c>
      <c r="S263" s="25" t="n">
        <v>1</v>
      </c>
      <c r="T263" s="20" t="inlineStr">
        <is>
          <t>NO</t>
        </is>
      </c>
      <c r="U263" s="20" t="n"/>
      <c r="V263" s="21" t="n"/>
      <c r="W263" s="26" t="n"/>
      <c r="X263" s="27" t="n"/>
      <c r="Y263" s="20" t="n"/>
      <c r="Z263" s="20" t="n"/>
      <c r="AA263" s="26">
        <f>IF(X263="","",X263-IF(W263="",0,W263))</f>
        <v/>
      </c>
      <c r="AB263" s="28">
        <f>IF(OR(X263="",M263=""),"",X263*M263)</f>
        <v/>
      </c>
      <c r="AC263" s="28">
        <f>IF(OR(X263="",N263=""),"",X263*N263)</f>
        <v/>
      </c>
      <c r="AD263" s="28">
        <f>IF(OR(M263="",N263=""),"",N263-M263)</f>
        <v/>
      </c>
      <c r="AE263" s="29">
        <f>IFERROR(IF(M263&gt;0,(N263-M263)/M263,""),"")</f>
        <v/>
      </c>
      <c r="AF263" s="30" t="n"/>
      <c r="AG263" s="30" t="inlineStr">
        <is>
          <t>PENDIENTE</t>
        </is>
      </c>
      <c r="AH263" s="18">
        <f>IF(NOT(OR(B263="EXISTENTE",COUNTA(G263,H263,I263,J263,K263,M263,N263,U263,V263,X263,Y263,Z263,AF263,AJ263)&gt;0)),"",IF(AK263&lt;&gt;"","REVISAR",IF(OR(G263="",H263="",M263="",N263="",O263="",P263="",X263=""),"INCOMPLETO",IF(AI263&lt;&gt;"","REVISAR",IF(AND(AF263&lt;&gt;"",AG263="ESCANEADO"),"LISTO_COMPLETO","LISTO_SIN_BARCODE")))))</f>
        <v/>
      </c>
      <c r="AI263" s="17">
        <f>IF(NOT(OR(B263="EXISTENTE",COUNTA(G263,H263,I263,J263,K263,M263,N263,U263,V263,X263,Y263,Z263,AF263,AJ263)&gt;0)),"",TEXTJOIN(" | ",TRUE,IF(A263="","Falta ID staging",""),IF(COUNTIF($A$5:$A$445,A263)&gt;1,"ID staging duplicado",""),IF(G263="","Falta nombre",""),IF(LEN(G263)&gt;150,"Nombre &gt;150 caracteres",""),IF(H263="","Falta categoría",IF(COUNTIF(CategoriasLista,H263)=0,"Categoría inválida","")),IF(M263="","Falta precio compra",IF(OR(NOT(ISNUMBER(M263)),M263&lt;0),"Precio compra inválido","")),IF(N263="","Falta precio venta",IF(OR(NOT(ISNUMBER(N263)),N263&lt;=0,N263&lt;M263),"Precio venta inválido","")),IF(O263="","Falta stock mínimo",IF(OR(NOT(ISNUMBER(O263)),O263&lt;0,MOD(O263,1)&lt;&gt;0),"Stock mínimo inválido","")),IF(P263="","Falta unidad",IF(COUNTIF(UnidadesLista,P263)=0,"Unidad inválida","")),IF(AND(K263&lt;&gt;"",COUNTIF(ProveedoresLista,K263)=0),"Proveedor no catalogado",""),IF(X263="","Falta cantidad contada",IF(OR(NOT(ISNUMBER(X263)),X263&lt;0,ABS(X263*1000-ROUND(X263*1000,0))&gt;0.0000001),"Cantidad inválida",IF(AND(Q263="NO",MOD(X263,1)&lt;&gt;0),"Cantidad fraccionaria no permitida",""))),IF(AND(R263="SI",OR(NOT(ISNUMBER(S263)),S263&lt;1,MOD(S263,1)&lt;&gt;0)),"Empaque inválido",""),IF(OR(AND(AF263="",AG263="ESCANEADO"),AND(AF263&lt;&gt;"",AG263&lt;&gt;"ESCANEADO")),"Barcode/estado inconsistente",""),IF(AK263&lt;&gt;"",AK263,"")))</f>
        <v/>
      </c>
      <c r="AJ263" s="21" t="n"/>
      <c r="AK263" s="17">
        <f>IF(G263="","",IF(OR(COUNTIFS($G$5:$G$445,G263,$I$5:$I$445,I263,$J$5:$J$445,J263,$P$5:$P$445,P263)&gt;1,AND(AF263&lt;&gt;"",COUNTIF($AF$5:$AF$445,AF263)&gt;1)),"REVISAR_POSIBLE_DUPLICADO",""))</f>
        <v/>
      </c>
    </row>
    <row r="264">
      <c r="A264" s="17" t="inlineStr">
        <is>
          <t>fb022a07-db34-55c6-806d-347b4e3ac9ae</t>
        </is>
      </c>
      <c r="B264" s="18" t="inlineStr">
        <is>
          <t>NUEVO</t>
        </is>
      </c>
      <c r="C264" s="18" t="inlineStr">
        <is>
          <t>ACTIVO</t>
        </is>
      </c>
      <c r="D264" s="18" t="n"/>
      <c r="E264" s="17" t="n"/>
      <c r="F264" s="17" t="n"/>
      <c r="G264" s="19" t="n"/>
      <c r="H264" s="19" t="n"/>
      <c r="I264" s="20" t="n"/>
      <c r="J264" s="20" t="n"/>
      <c r="K264" s="21" t="n"/>
      <c r="L264" s="18" t="n"/>
      <c r="M264" s="22" t="n"/>
      <c r="N264" s="22" t="n"/>
      <c r="O264" s="23" t="n">
        <v>10</v>
      </c>
      <c r="P264" s="24" t="inlineStr">
        <is>
          <t>UNIDAD</t>
        </is>
      </c>
      <c r="Q264" s="20" t="inlineStr">
        <is>
          <t>NO</t>
        </is>
      </c>
      <c r="R264" s="20" t="inlineStr">
        <is>
          <t>NO</t>
        </is>
      </c>
      <c r="S264" s="25" t="n">
        <v>1</v>
      </c>
      <c r="T264" s="20" t="inlineStr">
        <is>
          <t>NO</t>
        </is>
      </c>
      <c r="U264" s="20" t="n"/>
      <c r="V264" s="21" t="n"/>
      <c r="W264" s="26" t="n"/>
      <c r="X264" s="27" t="n"/>
      <c r="Y264" s="20" t="n"/>
      <c r="Z264" s="20" t="n"/>
      <c r="AA264" s="26">
        <f>IF(X264="","",X264-IF(W264="",0,W264))</f>
        <v/>
      </c>
      <c r="AB264" s="28">
        <f>IF(OR(X264="",M264=""),"",X264*M264)</f>
        <v/>
      </c>
      <c r="AC264" s="28">
        <f>IF(OR(X264="",N264=""),"",X264*N264)</f>
        <v/>
      </c>
      <c r="AD264" s="28">
        <f>IF(OR(M264="",N264=""),"",N264-M264)</f>
        <v/>
      </c>
      <c r="AE264" s="29">
        <f>IFERROR(IF(M264&gt;0,(N264-M264)/M264,""),"")</f>
        <v/>
      </c>
      <c r="AF264" s="30" t="n"/>
      <c r="AG264" s="30" t="inlineStr">
        <is>
          <t>PENDIENTE</t>
        </is>
      </c>
      <c r="AH264" s="18">
        <f>IF(NOT(OR(B264="EXISTENTE",COUNTA(G264,H264,I264,J264,K264,M264,N264,U264,V264,X264,Y264,Z264,AF264,AJ264)&gt;0)),"",IF(AK264&lt;&gt;"","REVISAR",IF(OR(G264="",H264="",M264="",N264="",O264="",P264="",X264=""),"INCOMPLETO",IF(AI264&lt;&gt;"","REVISAR",IF(AND(AF264&lt;&gt;"",AG264="ESCANEADO"),"LISTO_COMPLETO","LISTO_SIN_BARCODE")))))</f>
        <v/>
      </c>
      <c r="AI264" s="17">
        <f>IF(NOT(OR(B264="EXISTENTE",COUNTA(G264,H264,I264,J264,K264,M264,N264,U264,V264,X264,Y264,Z264,AF264,AJ264)&gt;0)),"",TEXTJOIN(" | ",TRUE,IF(A264="","Falta ID staging",""),IF(COUNTIF($A$5:$A$445,A264)&gt;1,"ID staging duplicado",""),IF(G264="","Falta nombre",""),IF(LEN(G264)&gt;150,"Nombre &gt;150 caracteres",""),IF(H264="","Falta categoría",IF(COUNTIF(CategoriasLista,H264)=0,"Categoría inválida","")),IF(M264="","Falta precio compra",IF(OR(NOT(ISNUMBER(M264)),M264&lt;0),"Precio compra inválido","")),IF(N264="","Falta precio venta",IF(OR(NOT(ISNUMBER(N264)),N264&lt;=0,N264&lt;M264),"Precio venta inválido","")),IF(O264="","Falta stock mínimo",IF(OR(NOT(ISNUMBER(O264)),O264&lt;0,MOD(O264,1)&lt;&gt;0),"Stock mínimo inválido","")),IF(P264="","Falta unidad",IF(COUNTIF(UnidadesLista,P264)=0,"Unidad inválida","")),IF(AND(K264&lt;&gt;"",COUNTIF(ProveedoresLista,K264)=0),"Proveedor no catalogado",""),IF(X264="","Falta cantidad contada",IF(OR(NOT(ISNUMBER(X264)),X264&lt;0,ABS(X264*1000-ROUND(X264*1000,0))&gt;0.0000001),"Cantidad inválida",IF(AND(Q264="NO",MOD(X264,1)&lt;&gt;0),"Cantidad fraccionaria no permitida",""))),IF(AND(R264="SI",OR(NOT(ISNUMBER(S264)),S264&lt;1,MOD(S264,1)&lt;&gt;0)),"Empaque inválido",""),IF(OR(AND(AF264="",AG264="ESCANEADO"),AND(AF264&lt;&gt;"",AG264&lt;&gt;"ESCANEADO")),"Barcode/estado inconsistente",""),IF(AK264&lt;&gt;"",AK264,"")))</f>
        <v/>
      </c>
      <c r="AJ264" s="21" t="n"/>
      <c r="AK264" s="17">
        <f>IF(G264="","",IF(OR(COUNTIFS($G$5:$G$445,G264,$I$5:$I$445,I264,$J$5:$J$445,J264,$P$5:$P$445,P264)&gt;1,AND(AF264&lt;&gt;"",COUNTIF($AF$5:$AF$445,AF264)&gt;1)),"REVISAR_POSIBLE_DUPLICADO",""))</f>
        <v/>
      </c>
    </row>
    <row r="265">
      <c r="A265" s="17" t="inlineStr">
        <is>
          <t>f3d37e6e-cac6-5516-b157-6360d0decb6a</t>
        </is>
      </c>
      <c r="B265" s="18" t="inlineStr">
        <is>
          <t>NUEVO</t>
        </is>
      </c>
      <c r="C265" s="18" t="inlineStr">
        <is>
          <t>ACTIVO</t>
        </is>
      </c>
      <c r="D265" s="18" t="n"/>
      <c r="E265" s="17" t="n"/>
      <c r="F265" s="17" t="n"/>
      <c r="G265" s="19" t="n"/>
      <c r="H265" s="19" t="n"/>
      <c r="I265" s="20" t="n"/>
      <c r="J265" s="20" t="n"/>
      <c r="K265" s="21" t="n"/>
      <c r="L265" s="18" t="n"/>
      <c r="M265" s="22" t="n"/>
      <c r="N265" s="22" t="n"/>
      <c r="O265" s="23" t="n">
        <v>10</v>
      </c>
      <c r="P265" s="24" t="inlineStr">
        <is>
          <t>UNIDAD</t>
        </is>
      </c>
      <c r="Q265" s="20" t="inlineStr">
        <is>
          <t>NO</t>
        </is>
      </c>
      <c r="R265" s="20" t="inlineStr">
        <is>
          <t>NO</t>
        </is>
      </c>
      <c r="S265" s="25" t="n">
        <v>1</v>
      </c>
      <c r="T265" s="20" t="inlineStr">
        <is>
          <t>NO</t>
        </is>
      </c>
      <c r="U265" s="20" t="n"/>
      <c r="V265" s="21" t="n"/>
      <c r="W265" s="26" t="n"/>
      <c r="X265" s="27" t="n"/>
      <c r="Y265" s="20" t="n"/>
      <c r="Z265" s="20" t="n"/>
      <c r="AA265" s="26">
        <f>IF(X265="","",X265-IF(W265="",0,W265))</f>
        <v/>
      </c>
      <c r="AB265" s="28">
        <f>IF(OR(X265="",M265=""),"",X265*M265)</f>
        <v/>
      </c>
      <c r="AC265" s="28">
        <f>IF(OR(X265="",N265=""),"",X265*N265)</f>
        <v/>
      </c>
      <c r="AD265" s="28">
        <f>IF(OR(M265="",N265=""),"",N265-M265)</f>
        <v/>
      </c>
      <c r="AE265" s="29">
        <f>IFERROR(IF(M265&gt;0,(N265-M265)/M265,""),"")</f>
        <v/>
      </c>
      <c r="AF265" s="30" t="n"/>
      <c r="AG265" s="30" t="inlineStr">
        <is>
          <t>PENDIENTE</t>
        </is>
      </c>
      <c r="AH265" s="18">
        <f>IF(NOT(OR(B265="EXISTENTE",COUNTA(G265,H265,I265,J265,K265,M265,N265,U265,V265,X265,Y265,Z265,AF265,AJ265)&gt;0)),"",IF(AK265&lt;&gt;"","REVISAR",IF(OR(G265="",H265="",M265="",N265="",O265="",P265="",X265=""),"INCOMPLETO",IF(AI265&lt;&gt;"","REVISAR",IF(AND(AF265&lt;&gt;"",AG265="ESCANEADO"),"LISTO_COMPLETO","LISTO_SIN_BARCODE")))))</f>
        <v/>
      </c>
      <c r="AI265" s="17">
        <f>IF(NOT(OR(B265="EXISTENTE",COUNTA(G265,H265,I265,J265,K265,M265,N265,U265,V265,X265,Y265,Z265,AF265,AJ265)&gt;0)),"",TEXTJOIN(" | ",TRUE,IF(A265="","Falta ID staging",""),IF(COUNTIF($A$5:$A$445,A265)&gt;1,"ID staging duplicado",""),IF(G265="","Falta nombre",""),IF(LEN(G265)&gt;150,"Nombre &gt;150 caracteres",""),IF(H265="","Falta categoría",IF(COUNTIF(CategoriasLista,H265)=0,"Categoría inválida","")),IF(M265="","Falta precio compra",IF(OR(NOT(ISNUMBER(M265)),M265&lt;0),"Precio compra inválido","")),IF(N265="","Falta precio venta",IF(OR(NOT(ISNUMBER(N265)),N265&lt;=0,N265&lt;M265),"Precio venta inválido","")),IF(O265="","Falta stock mínimo",IF(OR(NOT(ISNUMBER(O265)),O265&lt;0,MOD(O265,1)&lt;&gt;0),"Stock mínimo inválido","")),IF(P265="","Falta unidad",IF(COUNTIF(UnidadesLista,P265)=0,"Unidad inválida","")),IF(AND(K265&lt;&gt;"",COUNTIF(ProveedoresLista,K265)=0),"Proveedor no catalogado",""),IF(X265="","Falta cantidad contada",IF(OR(NOT(ISNUMBER(X265)),X265&lt;0,ABS(X265*1000-ROUND(X265*1000,0))&gt;0.0000001),"Cantidad inválida",IF(AND(Q265="NO",MOD(X265,1)&lt;&gt;0),"Cantidad fraccionaria no permitida",""))),IF(AND(R265="SI",OR(NOT(ISNUMBER(S265)),S265&lt;1,MOD(S265,1)&lt;&gt;0)),"Empaque inválido",""),IF(OR(AND(AF265="",AG265="ESCANEADO"),AND(AF265&lt;&gt;"",AG265&lt;&gt;"ESCANEADO")),"Barcode/estado inconsistente",""),IF(AK265&lt;&gt;"",AK265,"")))</f>
        <v/>
      </c>
      <c r="AJ265" s="21" t="n"/>
      <c r="AK265" s="17">
        <f>IF(G265="","",IF(OR(COUNTIFS($G$5:$G$445,G265,$I$5:$I$445,I265,$J$5:$J$445,J265,$P$5:$P$445,P265)&gt;1,AND(AF265&lt;&gt;"",COUNTIF($AF$5:$AF$445,AF265)&gt;1)),"REVISAR_POSIBLE_DUPLICADO",""))</f>
        <v/>
      </c>
    </row>
    <row r="266">
      <c r="A266" s="17" t="inlineStr">
        <is>
          <t>eed820dc-dca6-5216-899e-9f7026bec5bd</t>
        </is>
      </c>
      <c r="B266" s="18" t="inlineStr">
        <is>
          <t>NUEVO</t>
        </is>
      </c>
      <c r="C266" s="18" t="inlineStr">
        <is>
          <t>ACTIVO</t>
        </is>
      </c>
      <c r="D266" s="18" t="n"/>
      <c r="E266" s="17" t="n"/>
      <c r="F266" s="17" t="n"/>
      <c r="G266" s="19" t="n"/>
      <c r="H266" s="19" t="n"/>
      <c r="I266" s="20" t="n"/>
      <c r="J266" s="20" t="n"/>
      <c r="K266" s="21" t="n"/>
      <c r="L266" s="18" t="n"/>
      <c r="M266" s="22" t="n"/>
      <c r="N266" s="22" t="n"/>
      <c r="O266" s="23" t="n">
        <v>10</v>
      </c>
      <c r="P266" s="24" t="inlineStr">
        <is>
          <t>UNIDAD</t>
        </is>
      </c>
      <c r="Q266" s="20" t="inlineStr">
        <is>
          <t>NO</t>
        </is>
      </c>
      <c r="R266" s="20" t="inlineStr">
        <is>
          <t>NO</t>
        </is>
      </c>
      <c r="S266" s="25" t="n">
        <v>1</v>
      </c>
      <c r="T266" s="20" t="inlineStr">
        <is>
          <t>NO</t>
        </is>
      </c>
      <c r="U266" s="20" t="n"/>
      <c r="V266" s="21" t="n"/>
      <c r="W266" s="26" t="n"/>
      <c r="X266" s="27" t="n"/>
      <c r="Y266" s="20" t="n"/>
      <c r="Z266" s="20" t="n"/>
      <c r="AA266" s="26">
        <f>IF(X266="","",X266-IF(W266="",0,W266))</f>
        <v/>
      </c>
      <c r="AB266" s="28">
        <f>IF(OR(X266="",M266=""),"",X266*M266)</f>
        <v/>
      </c>
      <c r="AC266" s="28">
        <f>IF(OR(X266="",N266=""),"",X266*N266)</f>
        <v/>
      </c>
      <c r="AD266" s="28">
        <f>IF(OR(M266="",N266=""),"",N266-M266)</f>
        <v/>
      </c>
      <c r="AE266" s="29">
        <f>IFERROR(IF(M266&gt;0,(N266-M266)/M266,""),"")</f>
        <v/>
      </c>
      <c r="AF266" s="30" t="n"/>
      <c r="AG266" s="30" t="inlineStr">
        <is>
          <t>PENDIENTE</t>
        </is>
      </c>
      <c r="AH266" s="18">
        <f>IF(NOT(OR(B266="EXISTENTE",COUNTA(G266,H266,I266,J266,K266,M266,N266,U266,V266,X266,Y266,Z266,AF266,AJ266)&gt;0)),"",IF(AK266&lt;&gt;"","REVISAR",IF(OR(G266="",H266="",M266="",N266="",O266="",P266="",X266=""),"INCOMPLETO",IF(AI266&lt;&gt;"","REVISAR",IF(AND(AF266&lt;&gt;"",AG266="ESCANEADO"),"LISTO_COMPLETO","LISTO_SIN_BARCODE")))))</f>
        <v/>
      </c>
      <c r="AI266" s="17">
        <f>IF(NOT(OR(B266="EXISTENTE",COUNTA(G266,H266,I266,J266,K266,M266,N266,U266,V266,X266,Y266,Z266,AF266,AJ266)&gt;0)),"",TEXTJOIN(" | ",TRUE,IF(A266="","Falta ID staging",""),IF(COUNTIF($A$5:$A$445,A266)&gt;1,"ID staging duplicado",""),IF(G266="","Falta nombre",""),IF(LEN(G266)&gt;150,"Nombre &gt;150 caracteres",""),IF(H266="","Falta categoría",IF(COUNTIF(CategoriasLista,H266)=0,"Categoría inválida","")),IF(M266="","Falta precio compra",IF(OR(NOT(ISNUMBER(M266)),M266&lt;0),"Precio compra inválido","")),IF(N266="","Falta precio venta",IF(OR(NOT(ISNUMBER(N266)),N266&lt;=0,N266&lt;M266),"Precio venta inválido","")),IF(O266="","Falta stock mínimo",IF(OR(NOT(ISNUMBER(O266)),O266&lt;0,MOD(O266,1)&lt;&gt;0),"Stock mínimo inválido","")),IF(P266="","Falta unidad",IF(COUNTIF(UnidadesLista,P266)=0,"Unidad inválida","")),IF(AND(K266&lt;&gt;"",COUNTIF(ProveedoresLista,K266)=0),"Proveedor no catalogado",""),IF(X266="","Falta cantidad contada",IF(OR(NOT(ISNUMBER(X266)),X266&lt;0,ABS(X266*1000-ROUND(X266*1000,0))&gt;0.0000001),"Cantidad inválida",IF(AND(Q266="NO",MOD(X266,1)&lt;&gt;0),"Cantidad fraccionaria no permitida",""))),IF(AND(R266="SI",OR(NOT(ISNUMBER(S266)),S266&lt;1,MOD(S266,1)&lt;&gt;0)),"Empaque inválido",""),IF(OR(AND(AF266="",AG266="ESCANEADO"),AND(AF266&lt;&gt;"",AG266&lt;&gt;"ESCANEADO")),"Barcode/estado inconsistente",""),IF(AK266&lt;&gt;"",AK266,"")))</f>
        <v/>
      </c>
      <c r="AJ266" s="21" t="n"/>
      <c r="AK266" s="17">
        <f>IF(G266="","",IF(OR(COUNTIFS($G$5:$G$445,G266,$I$5:$I$445,I266,$J$5:$J$445,J266,$P$5:$P$445,P266)&gt;1,AND(AF266&lt;&gt;"",COUNTIF($AF$5:$AF$445,AF266)&gt;1)),"REVISAR_POSIBLE_DUPLICADO",""))</f>
        <v/>
      </c>
    </row>
    <row r="267">
      <c r="A267" s="17" t="inlineStr">
        <is>
          <t>0904b5a7-6e39-5b5e-80fe-dad1ba5d4cd4</t>
        </is>
      </c>
      <c r="B267" s="18" t="inlineStr">
        <is>
          <t>NUEVO</t>
        </is>
      </c>
      <c r="C267" s="18" t="inlineStr">
        <is>
          <t>ACTIVO</t>
        </is>
      </c>
      <c r="D267" s="18" t="n"/>
      <c r="E267" s="17" t="n"/>
      <c r="F267" s="17" t="n"/>
      <c r="G267" s="19" t="n"/>
      <c r="H267" s="19" t="n"/>
      <c r="I267" s="20" t="n"/>
      <c r="J267" s="20" t="n"/>
      <c r="K267" s="21" t="n"/>
      <c r="L267" s="18" t="n"/>
      <c r="M267" s="22" t="n"/>
      <c r="N267" s="22" t="n"/>
      <c r="O267" s="23" t="n">
        <v>10</v>
      </c>
      <c r="P267" s="24" t="inlineStr">
        <is>
          <t>UNIDAD</t>
        </is>
      </c>
      <c r="Q267" s="20" t="inlineStr">
        <is>
          <t>NO</t>
        </is>
      </c>
      <c r="R267" s="20" t="inlineStr">
        <is>
          <t>NO</t>
        </is>
      </c>
      <c r="S267" s="25" t="n">
        <v>1</v>
      </c>
      <c r="T267" s="20" t="inlineStr">
        <is>
          <t>NO</t>
        </is>
      </c>
      <c r="U267" s="20" t="n"/>
      <c r="V267" s="21" t="n"/>
      <c r="W267" s="26" t="n"/>
      <c r="X267" s="27" t="n"/>
      <c r="Y267" s="20" t="n"/>
      <c r="Z267" s="20" t="n"/>
      <c r="AA267" s="26">
        <f>IF(X267="","",X267-IF(W267="",0,W267))</f>
        <v/>
      </c>
      <c r="AB267" s="28">
        <f>IF(OR(X267="",M267=""),"",X267*M267)</f>
        <v/>
      </c>
      <c r="AC267" s="28">
        <f>IF(OR(X267="",N267=""),"",X267*N267)</f>
        <v/>
      </c>
      <c r="AD267" s="28">
        <f>IF(OR(M267="",N267=""),"",N267-M267)</f>
        <v/>
      </c>
      <c r="AE267" s="29">
        <f>IFERROR(IF(M267&gt;0,(N267-M267)/M267,""),"")</f>
        <v/>
      </c>
      <c r="AF267" s="30" t="n"/>
      <c r="AG267" s="30" t="inlineStr">
        <is>
          <t>PENDIENTE</t>
        </is>
      </c>
      <c r="AH267" s="18">
        <f>IF(NOT(OR(B267="EXISTENTE",COUNTA(G267,H267,I267,J267,K267,M267,N267,U267,V267,X267,Y267,Z267,AF267,AJ267)&gt;0)),"",IF(AK267&lt;&gt;"","REVISAR",IF(OR(G267="",H267="",M267="",N267="",O267="",P267="",X267=""),"INCOMPLETO",IF(AI267&lt;&gt;"","REVISAR",IF(AND(AF267&lt;&gt;"",AG267="ESCANEADO"),"LISTO_COMPLETO","LISTO_SIN_BARCODE")))))</f>
        <v/>
      </c>
      <c r="AI267" s="17">
        <f>IF(NOT(OR(B267="EXISTENTE",COUNTA(G267,H267,I267,J267,K267,M267,N267,U267,V267,X267,Y267,Z267,AF267,AJ267)&gt;0)),"",TEXTJOIN(" | ",TRUE,IF(A267="","Falta ID staging",""),IF(COUNTIF($A$5:$A$445,A267)&gt;1,"ID staging duplicado",""),IF(G267="","Falta nombre",""),IF(LEN(G267)&gt;150,"Nombre &gt;150 caracteres",""),IF(H267="","Falta categoría",IF(COUNTIF(CategoriasLista,H267)=0,"Categoría inválida","")),IF(M267="","Falta precio compra",IF(OR(NOT(ISNUMBER(M267)),M267&lt;0),"Precio compra inválido","")),IF(N267="","Falta precio venta",IF(OR(NOT(ISNUMBER(N267)),N267&lt;=0,N267&lt;M267),"Precio venta inválido","")),IF(O267="","Falta stock mínimo",IF(OR(NOT(ISNUMBER(O267)),O267&lt;0,MOD(O267,1)&lt;&gt;0),"Stock mínimo inválido","")),IF(P267="","Falta unidad",IF(COUNTIF(UnidadesLista,P267)=0,"Unidad inválida","")),IF(AND(K267&lt;&gt;"",COUNTIF(ProveedoresLista,K267)=0),"Proveedor no catalogado",""),IF(X267="","Falta cantidad contada",IF(OR(NOT(ISNUMBER(X267)),X267&lt;0,ABS(X267*1000-ROUND(X267*1000,0))&gt;0.0000001),"Cantidad inválida",IF(AND(Q267="NO",MOD(X267,1)&lt;&gt;0),"Cantidad fraccionaria no permitida",""))),IF(AND(R267="SI",OR(NOT(ISNUMBER(S267)),S267&lt;1,MOD(S267,1)&lt;&gt;0)),"Empaque inválido",""),IF(OR(AND(AF267="",AG267="ESCANEADO"),AND(AF267&lt;&gt;"",AG267&lt;&gt;"ESCANEADO")),"Barcode/estado inconsistente",""),IF(AK267&lt;&gt;"",AK267,"")))</f>
        <v/>
      </c>
      <c r="AJ267" s="21" t="n"/>
      <c r="AK267" s="17">
        <f>IF(G267="","",IF(OR(COUNTIFS($G$5:$G$445,G267,$I$5:$I$445,I267,$J$5:$J$445,J267,$P$5:$P$445,P267)&gt;1,AND(AF267&lt;&gt;"",COUNTIF($AF$5:$AF$445,AF267)&gt;1)),"REVISAR_POSIBLE_DUPLICADO",""))</f>
        <v/>
      </c>
    </row>
    <row r="268">
      <c r="A268" s="17" t="inlineStr">
        <is>
          <t>79ffa109-4681-5bd5-ad65-609ebcaa1840</t>
        </is>
      </c>
      <c r="B268" s="18" t="inlineStr">
        <is>
          <t>NUEVO</t>
        </is>
      </c>
      <c r="C268" s="18" t="inlineStr">
        <is>
          <t>ACTIVO</t>
        </is>
      </c>
      <c r="D268" s="18" t="n"/>
      <c r="E268" s="17" t="n"/>
      <c r="F268" s="17" t="n"/>
      <c r="G268" s="19" t="n"/>
      <c r="H268" s="19" t="n"/>
      <c r="I268" s="20" t="n"/>
      <c r="J268" s="20" t="n"/>
      <c r="K268" s="21" t="n"/>
      <c r="L268" s="18" t="n"/>
      <c r="M268" s="22" t="n"/>
      <c r="N268" s="22" t="n"/>
      <c r="O268" s="23" t="n">
        <v>10</v>
      </c>
      <c r="P268" s="24" t="inlineStr">
        <is>
          <t>UNIDAD</t>
        </is>
      </c>
      <c r="Q268" s="20" t="inlineStr">
        <is>
          <t>NO</t>
        </is>
      </c>
      <c r="R268" s="20" t="inlineStr">
        <is>
          <t>NO</t>
        </is>
      </c>
      <c r="S268" s="25" t="n">
        <v>1</v>
      </c>
      <c r="T268" s="20" t="inlineStr">
        <is>
          <t>NO</t>
        </is>
      </c>
      <c r="U268" s="20" t="n"/>
      <c r="V268" s="21" t="n"/>
      <c r="W268" s="26" t="n"/>
      <c r="X268" s="27" t="n"/>
      <c r="Y268" s="20" t="n"/>
      <c r="Z268" s="20" t="n"/>
      <c r="AA268" s="26">
        <f>IF(X268="","",X268-IF(W268="",0,W268))</f>
        <v/>
      </c>
      <c r="AB268" s="28">
        <f>IF(OR(X268="",M268=""),"",X268*M268)</f>
        <v/>
      </c>
      <c r="AC268" s="28">
        <f>IF(OR(X268="",N268=""),"",X268*N268)</f>
        <v/>
      </c>
      <c r="AD268" s="28">
        <f>IF(OR(M268="",N268=""),"",N268-M268)</f>
        <v/>
      </c>
      <c r="AE268" s="29">
        <f>IFERROR(IF(M268&gt;0,(N268-M268)/M268,""),"")</f>
        <v/>
      </c>
      <c r="AF268" s="30" t="n"/>
      <c r="AG268" s="30" t="inlineStr">
        <is>
          <t>PENDIENTE</t>
        </is>
      </c>
      <c r="AH268" s="18">
        <f>IF(NOT(OR(B268="EXISTENTE",COUNTA(G268,H268,I268,J268,K268,M268,N268,U268,V268,X268,Y268,Z268,AF268,AJ268)&gt;0)),"",IF(AK268&lt;&gt;"","REVISAR",IF(OR(G268="",H268="",M268="",N268="",O268="",P268="",X268=""),"INCOMPLETO",IF(AI268&lt;&gt;"","REVISAR",IF(AND(AF268&lt;&gt;"",AG268="ESCANEADO"),"LISTO_COMPLETO","LISTO_SIN_BARCODE")))))</f>
        <v/>
      </c>
      <c r="AI268" s="17">
        <f>IF(NOT(OR(B268="EXISTENTE",COUNTA(G268,H268,I268,J268,K268,M268,N268,U268,V268,X268,Y268,Z268,AF268,AJ268)&gt;0)),"",TEXTJOIN(" | ",TRUE,IF(A268="","Falta ID staging",""),IF(COUNTIF($A$5:$A$445,A268)&gt;1,"ID staging duplicado",""),IF(G268="","Falta nombre",""),IF(LEN(G268)&gt;150,"Nombre &gt;150 caracteres",""),IF(H268="","Falta categoría",IF(COUNTIF(CategoriasLista,H268)=0,"Categoría inválida","")),IF(M268="","Falta precio compra",IF(OR(NOT(ISNUMBER(M268)),M268&lt;0),"Precio compra inválido","")),IF(N268="","Falta precio venta",IF(OR(NOT(ISNUMBER(N268)),N268&lt;=0,N268&lt;M268),"Precio venta inválido","")),IF(O268="","Falta stock mínimo",IF(OR(NOT(ISNUMBER(O268)),O268&lt;0,MOD(O268,1)&lt;&gt;0),"Stock mínimo inválido","")),IF(P268="","Falta unidad",IF(COUNTIF(UnidadesLista,P268)=0,"Unidad inválida","")),IF(AND(K268&lt;&gt;"",COUNTIF(ProveedoresLista,K268)=0),"Proveedor no catalogado",""),IF(X268="","Falta cantidad contada",IF(OR(NOT(ISNUMBER(X268)),X268&lt;0,ABS(X268*1000-ROUND(X268*1000,0))&gt;0.0000001),"Cantidad inválida",IF(AND(Q268="NO",MOD(X268,1)&lt;&gt;0),"Cantidad fraccionaria no permitida",""))),IF(AND(R268="SI",OR(NOT(ISNUMBER(S268)),S268&lt;1,MOD(S268,1)&lt;&gt;0)),"Empaque inválido",""),IF(OR(AND(AF268="",AG268="ESCANEADO"),AND(AF268&lt;&gt;"",AG268&lt;&gt;"ESCANEADO")),"Barcode/estado inconsistente",""),IF(AK268&lt;&gt;"",AK268,"")))</f>
        <v/>
      </c>
      <c r="AJ268" s="21" t="n"/>
      <c r="AK268" s="17">
        <f>IF(G268="","",IF(OR(COUNTIFS($G$5:$G$445,G268,$I$5:$I$445,I268,$J$5:$J$445,J268,$P$5:$P$445,P268)&gt;1,AND(AF268&lt;&gt;"",COUNTIF($AF$5:$AF$445,AF268)&gt;1)),"REVISAR_POSIBLE_DUPLICADO",""))</f>
        <v/>
      </c>
    </row>
    <row r="269">
      <c r="A269" s="17" t="inlineStr">
        <is>
          <t>051718ee-a253-5757-acde-bb5c2df6de9f</t>
        </is>
      </c>
      <c r="B269" s="18" t="inlineStr">
        <is>
          <t>NUEVO</t>
        </is>
      </c>
      <c r="C269" s="18" t="inlineStr">
        <is>
          <t>ACTIVO</t>
        </is>
      </c>
      <c r="D269" s="18" t="n"/>
      <c r="E269" s="17" t="n"/>
      <c r="F269" s="17" t="n"/>
      <c r="G269" s="19" t="n"/>
      <c r="H269" s="19" t="n"/>
      <c r="I269" s="20" t="n"/>
      <c r="J269" s="20" t="n"/>
      <c r="K269" s="21" t="n"/>
      <c r="L269" s="18" t="n"/>
      <c r="M269" s="22" t="n"/>
      <c r="N269" s="22" t="n"/>
      <c r="O269" s="23" t="n">
        <v>10</v>
      </c>
      <c r="P269" s="24" t="inlineStr">
        <is>
          <t>UNIDAD</t>
        </is>
      </c>
      <c r="Q269" s="20" t="inlineStr">
        <is>
          <t>NO</t>
        </is>
      </c>
      <c r="R269" s="20" t="inlineStr">
        <is>
          <t>NO</t>
        </is>
      </c>
      <c r="S269" s="25" t="n">
        <v>1</v>
      </c>
      <c r="T269" s="20" t="inlineStr">
        <is>
          <t>NO</t>
        </is>
      </c>
      <c r="U269" s="20" t="n"/>
      <c r="V269" s="21" t="n"/>
      <c r="W269" s="26" t="n"/>
      <c r="X269" s="27" t="n"/>
      <c r="Y269" s="20" t="n"/>
      <c r="Z269" s="20" t="n"/>
      <c r="AA269" s="26">
        <f>IF(X269="","",X269-IF(W269="",0,W269))</f>
        <v/>
      </c>
      <c r="AB269" s="28">
        <f>IF(OR(X269="",M269=""),"",X269*M269)</f>
        <v/>
      </c>
      <c r="AC269" s="28">
        <f>IF(OR(X269="",N269=""),"",X269*N269)</f>
        <v/>
      </c>
      <c r="AD269" s="28">
        <f>IF(OR(M269="",N269=""),"",N269-M269)</f>
        <v/>
      </c>
      <c r="AE269" s="29">
        <f>IFERROR(IF(M269&gt;0,(N269-M269)/M269,""),"")</f>
        <v/>
      </c>
      <c r="AF269" s="30" t="n"/>
      <c r="AG269" s="30" t="inlineStr">
        <is>
          <t>PENDIENTE</t>
        </is>
      </c>
      <c r="AH269" s="18">
        <f>IF(NOT(OR(B269="EXISTENTE",COUNTA(G269,H269,I269,J269,K269,M269,N269,U269,V269,X269,Y269,Z269,AF269,AJ269)&gt;0)),"",IF(AK269&lt;&gt;"","REVISAR",IF(OR(G269="",H269="",M269="",N269="",O269="",P269="",X269=""),"INCOMPLETO",IF(AI269&lt;&gt;"","REVISAR",IF(AND(AF269&lt;&gt;"",AG269="ESCANEADO"),"LISTO_COMPLETO","LISTO_SIN_BARCODE")))))</f>
        <v/>
      </c>
      <c r="AI269" s="17">
        <f>IF(NOT(OR(B269="EXISTENTE",COUNTA(G269,H269,I269,J269,K269,M269,N269,U269,V269,X269,Y269,Z269,AF269,AJ269)&gt;0)),"",TEXTJOIN(" | ",TRUE,IF(A269="","Falta ID staging",""),IF(COUNTIF($A$5:$A$445,A269)&gt;1,"ID staging duplicado",""),IF(G269="","Falta nombre",""),IF(LEN(G269)&gt;150,"Nombre &gt;150 caracteres",""),IF(H269="","Falta categoría",IF(COUNTIF(CategoriasLista,H269)=0,"Categoría inválida","")),IF(M269="","Falta precio compra",IF(OR(NOT(ISNUMBER(M269)),M269&lt;0),"Precio compra inválido","")),IF(N269="","Falta precio venta",IF(OR(NOT(ISNUMBER(N269)),N269&lt;=0,N269&lt;M269),"Precio venta inválido","")),IF(O269="","Falta stock mínimo",IF(OR(NOT(ISNUMBER(O269)),O269&lt;0,MOD(O269,1)&lt;&gt;0),"Stock mínimo inválido","")),IF(P269="","Falta unidad",IF(COUNTIF(UnidadesLista,P269)=0,"Unidad inválida","")),IF(AND(K269&lt;&gt;"",COUNTIF(ProveedoresLista,K269)=0),"Proveedor no catalogado",""),IF(X269="","Falta cantidad contada",IF(OR(NOT(ISNUMBER(X269)),X269&lt;0,ABS(X269*1000-ROUND(X269*1000,0))&gt;0.0000001),"Cantidad inválida",IF(AND(Q269="NO",MOD(X269,1)&lt;&gt;0),"Cantidad fraccionaria no permitida",""))),IF(AND(R269="SI",OR(NOT(ISNUMBER(S269)),S269&lt;1,MOD(S269,1)&lt;&gt;0)),"Empaque inválido",""),IF(OR(AND(AF269="",AG269="ESCANEADO"),AND(AF269&lt;&gt;"",AG269&lt;&gt;"ESCANEADO")),"Barcode/estado inconsistente",""),IF(AK269&lt;&gt;"",AK269,"")))</f>
        <v/>
      </c>
      <c r="AJ269" s="21" t="n"/>
      <c r="AK269" s="17">
        <f>IF(G269="","",IF(OR(COUNTIFS($G$5:$G$445,G269,$I$5:$I$445,I269,$J$5:$J$445,J269,$P$5:$P$445,P269)&gt;1,AND(AF269&lt;&gt;"",COUNTIF($AF$5:$AF$445,AF269)&gt;1)),"REVISAR_POSIBLE_DUPLICADO",""))</f>
        <v/>
      </c>
    </row>
    <row r="270">
      <c r="A270" s="17" t="inlineStr">
        <is>
          <t>43026b25-287f-58bb-9443-c6879ecb1af0</t>
        </is>
      </c>
      <c r="B270" s="18" t="inlineStr">
        <is>
          <t>NUEVO</t>
        </is>
      </c>
      <c r="C270" s="18" t="inlineStr">
        <is>
          <t>ACTIVO</t>
        </is>
      </c>
      <c r="D270" s="18" t="n"/>
      <c r="E270" s="17" t="n"/>
      <c r="F270" s="17" t="n"/>
      <c r="G270" s="19" t="n"/>
      <c r="H270" s="19" t="n"/>
      <c r="I270" s="20" t="n"/>
      <c r="J270" s="20" t="n"/>
      <c r="K270" s="21" t="n"/>
      <c r="L270" s="18" t="n"/>
      <c r="M270" s="22" t="n"/>
      <c r="N270" s="22" t="n"/>
      <c r="O270" s="23" t="n">
        <v>10</v>
      </c>
      <c r="P270" s="24" t="inlineStr">
        <is>
          <t>UNIDAD</t>
        </is>
      </c>
      <c r="Q270" s="20" t="inlineStr">
        <is>
          <t>NO</t>
        </is>
      </c>
      <c r="R270" s="20" t="inlineStr">
        <is>
          <t>NO</t>
        </is>
      </c>
      <c r="S270" s="25" t="n">
        <v>1</v>
      </c>
      <c r="T270" s="20" t="inlineStr">
        <is>
          <t>NO</t>
        </is>
      </c>
      <c r="U270" s="20" t="n"/>
      <c r="V270" s="21" t="n"/>
      <c r="W270" s="26" t="n"/>
      <c r="X270" s="27" t="n"/>
      <c r="Y270" s="20" t="n"/>
      <c r="Z270" s="20" t="n"/>
      <c r="AA270" s="26">
        <f>IF(X270="","",X270-IF(W270="",0,W270))</f>
        <v/>
      </c>
      <c r="AB270" s="28">
        <f>IF(OR(X270="",M270=""),"",X270*M270)</f>
        <v/>
      </c>
      <c r="AC270" s="28">
        <f>IF(OR(X270="",N270=""),"",X270*N270)</f>
        <v/>
      </c>
      <c r="AD270" s="28">
        <f>IF(OR(M270="",N270=""),"",N270-M270)</f>
        <v/>
      </c>
      <c r="AE270" s="29">
        <f>IFERROR(IF(M270&gt;0,(N270-M270)/M270,""),"")</f>
        <v/>
      </c>
      <c r="AF270" s="30" t="n"/>
      <c r="AG270" s="30" t="inlineStr">
        <is>
          <t>PENDIENTE</t>
        </is>
      </c>
      <c r="AH270" s="18">
        <f>IF(NOT(OR(B270="EXISTENTE",COUNTA(G270,H270,I270,J270,K270,M270,N270,U270,V270,X270,Y270,Z270,AF270,AJ270)&gt;0)),"",IF(AK270&lt;&gt;"","REVISAR",IF(OR(G270="",H270="",M270="",N270="",O270="",P270="",X270=""),"INCOMPLETO",IF(AI270&lt;&gt;"","REVISAR",IF(AND(AF270&lt;&gt;"",AG270="ESCANEADO"),"LISTO_COMPLETO","LISTO_SIN_BARCODE")))))</f>
        <v/>
      </c>
      <c r="AI270" s="17">
        <f>IF(NOT(OR(B270="EXISTENTE",COUNTA(G270,H270,I270,J270,K270,M270,N270,U270,V270,X270,Y270,Z270,AF270,AJ270)&gt;0)),"",TEXTJOIN(" | ",TRUE,IF(A270="","Falta ID staging",""),IF(COUNTIF($A$5:$A$445,A270)&gt;1,"ID staging duplicado",""),IF(G270="","Falta nombre",""),IF(LEN(G270)&gt;150,"Nombre &gt;150 caracteres",""),IF(H270="","Falta categoría",IF(COUNTIF(CategoriasLista,H270)=0,"Categoría inválida","")),IF(M270="","Falta precio compra",IF(OR(NOT(ISNUMBER(M270)),M270&lt;0),"Precio compra inválido","")),IF(N270="","Falta precio venta",IF(OR(NOT(ISNUMBER(N270)),N270&lt;=0,N270&lt;M270),"Precio venta inválido","")),IF(O270="","Falta stock mínimo",IF(OR(NOT(ISNUMBER(O270)),O270&lt;0,MOD(O270,1)&lt;&gt;0),"Stock mínimo inválido","")),IF(P270="","Falta unidad",IF(COUNTIF(UnidadesLista,P270)=0,"Unidad inválida","")),IF(AND(K270&lt;&gt;"",COUNTIF(ProveedoresLista,K270)=0),"Proveedor no catalogado",""),IF(X270="","Falta cantidad contada",IF(OR(NOT(ISNUMBER(X270)),X270&lt;0,ABS(X270*1000-ROUND(X270*1000,0))&gt;0.0000001),"Cantidad inválida",IF(AND(Q270="NO",MOD(X270,1)&lt;&gt;0),"Cantidad fraccionaria no permitida",""))),IF(AND(R270="SI",OR(NOT(ISNUMBER(S270)),S270&lt;1,MOD(S270,1)&lt;&gt;0)),"Empaque inválido",""),IF(OR(AND(AF270="",AG270="ESCANEADO"),AND(AF270&lt;&gt;"",AG270&lt;&gt;"ESCANEADO")),"Barcode/estado inconsistente",""),IF(AK270&lt;&gt;"",AK270,"")))</f>
        <v/>
      </c>
      <c r="AJ270" s="21" t="n"/>
      <c r="AK270" s="17">
        <f>IF(G270="","",IF(OR(COUNTIFS($G$5:$G$445,G270,$I$5:$I$445,I270,$J$5:$J$445,J270,$P$5:$P$445,P270)&gt;1,AND(AF270&lt;&gt;"",COUNTIF($AF$5:$AF$445,AF270)&gt;1)),"REVISAR_POSIBLE_DUPLICADO",""))</f>
        <v/>
      </c>
    </row>
    <row r="271">
      <c r="A271" s="17" t="inlineStr">
        <is>
          <t>d0f33b77-4185-578c-a423-630ba1973684</t>
        </is>
      </c>
      <c r="B271" s="18" t="inlineStr">
        <is>
          <t>NUEVO</t>
        </is>
      </c>
      <c r="C271" s="18" t="inlineStr">
        <is>
          <t>ACTIVO</t>
        </is>
      </c>
      <c r="D271" s="18" t="n"/>
      <c r="E271" s="17" t="n"/>
      <c r="F271" s="17" t="n"/>
      <c r="G271" s="19" t="n"/>
      <c r="H271" s="19" t="n"/>
      <c r="I271" s="20" t="n"/>
      <c r="J271" s="20" t="n"/>
      <c r="K271" s="21" t="n"/>
      <c r="L271" s="18" t="n"/>
      <c r="M271" s="22" t="n"/>
      <c r="N271" s="22" t="n"/>
      <c r="O271" s="23" t="n">
        <v>10</v>
      </c>
      <c r="P271" s="24" t="inlineStr">
        <is>
          <t>UNIDAD</t>
        </is>
      </c>
      <c r="Q271" s="20" t="inlineStr">
        <is>
          <t>NO</t>
        </is>
      </c>
      <c r="R271" s="20" t="inlineStr">
        <is>
          <t>NO</t>
        </is>
      </c>
      <c r="S271" s="25" t="n">
        <v>1</v>
      </c>
      <c r="T271" s="20" t="inlineStr">
        <is>
          <t>NO</t>
        </is>
      </c>
      <c r="U271" s="20" t="n"/>
      <c r="V271" s="21" t="n"/>
      <c r="W271" s="26" t="n"/>
      <c r="X271" s="27" t="n"/>
      <c r="Y271" s="20" t="n"/>
      <c r="Z271" s="20" t="n"/>
      <c r="AA271" s="26">
        <f>IF(X271="","",X271-IF(W271="",0,W271))</f>
        <v/>
      </c>
      <c r="AB271" s="28">
        <f>IF(OR(X271="",M271=""),"",X271*M271)</f>
        <v/>
      </c>
      <c r="AC271" s="28">
        <f>IF(OR(X271="",N271=""),"",X271*N271)</f>
        <v/>
      </c>
      <c r="AD271" s="28">
        <f>IF(OR(M271="",N271=""),"",N271-M271)</f>
        <v/>
      </c>
      <c r="AE271" s="29">
        <f>IFERROR(IF(M271&gt;0,(N271-M271)/M271,""),"")</f>
        <v/>
      </c>
      <c r="AF271" s="30" t="n"/>
      <c r="AG271" s="30" t="inlineStr">
        <is>
          <t>PENDIENTE</t>
        </is>
      </c>
      <c r="AH271" s="18">
        <f>IF(NOT(OR(B271="EXISTENTE",COUNTA(G271,H271,I271,J271,K271,M271,N271,U271,V271,X271,Y271,Z271,AF271,AJ271)&gt;0)),"",IF(AK271&lt;&gt;"","REVISAR",IF(OR(G271="",H271="",M271="",N271="",O271="",P271="",X271=""),"INCOMPLETO",IF(AI271&lt;&gt;"","REVISAR",IF(AND(AF271&lt;&gt;"",AG271="ESCANEADO"),"LISTO_COMPLETO","LISTO_SIN_BARCODE")))))</f>
        <v/>
      </c>
      <c r="AI271" s="17">
        <f>IF(NOT(OR(B271="EXISTENTE",COUNTA(G271,H271,I271,J271,K271,M271,N271,U271,V271,X271,Y271,Z271,AF271,AJ271)&gt;0)),"",TEXTJOIN(" | ",TRUE,IF(A271="","Falta ID staging",""),IF(COUNTIF($A$5:$A$445,A271)&gt;1,"ID staging duplicado",""),IF(G271="","Falta nombre",""),IF(LEN(G271)&gt;150,"Nombre &gt;150 caracteres",""),IF(H271="","Falta categoría",IF(COUNTIF(CategoriasLista,H271)=0,"Categoría inválida","")),IF(M271="","Falta precio compra",IF(OR(NOT(ISNUMBER(M271)),M271&lt;0),"Precio compra inválido","")),IF(N271="","Falta precio venta",IF(OR(NOT(ISNUMBER(N271)),N271&lt;=0,N271&lt;M271),"Precio venta inválido","")),IF(O271="","Falta stock mínimo",IF(OR(NOT(ISNUMBER(O271)),O271&lt;0,MOD(O271,1)&lt;&gt;0),"Stock mínimo inválido","")),IF(P271="","Falta unidad",IF(COUNTIF(UnidadesLista,P271)=0,"Unidad inválida","")),IF(AND(K271&lt;&gt;"",COUNTIF(ProveedoresLista,K271)=0),"Proveedor no catalogado",""),IF(X271="","Falta cantidad contada",IF(OR(NOT(ISNUMBER(X271)),X271&lt;0,ABS(X271*1000-ROUND(X271*1000,0))&gt;0.0000001),"Cantidad inválida",IF(AND(Q271="NO",MOD(X271,1)&lt;&gt;0),"Cantidad fraccionaria no permitida",""))),IF(AND(R271="SI",OR(NOT(ISNUMBER(S271)),S271&lt;1,MOD(S271,1)&lt;&gt;0)),"Empaque inválido",""),IF(OR(AND(AF271="",AG271="ESCANEADO"),AND(AF271&lt;&gt;"",AG271&lt;&gt;"ESCANEADO")),"Barcode/estado inconsistente",""),IF(AK271&lt;&gt;"",AK271,"")))</f>
        <v/>
      </c>
      <c r="AJ271" s="21" t="n"/>
      <c r="AK271" s="17">
        <f>IF(G271="","",IF(OR(COUNTIFS($G$5:$G$445,G271,$I$5:$I$445,I271,$J$5:$J$445,J271,$P$5:$P$445,P271)&gt;1,AND(AF271&lt;&gt;"",COUNTIF($AF$5:$AF$445,AF271)&gt;1)),"REVISAR_POSIBLE_DUPLICADO",""))</f>
        <v/>
      </c>
    </row>
    <row r="272">
      <c r="A272" s="17" t="inlineStr">
        <is>
          <t>182d03d7-84c2-5296-babb-2352f1e20d50</t>
        </is>
      </c>
      <c r="B272" s="18" t="inlineStr">
        <is>
          <t>NUEVO</t>
        </is>
      </c>
      <c r="C272" s="18" t="inlineStr">
        <is>
          <t>ACTIVO</t>
        </is>
      </c>
      <c r="D272" s="18" t="n"/>
      <c r="E272" s="17" t="n"/>
      <c r="F272" s="17" t="n"/>
      <c r="G272" s="19" t="n"/>
      <c r="H272" s="19" t="n"/>
      <c r="I272" s="20" t="n"/>
      <c r="J272" s="20" t="n"/>
      <c r="K272" s="21" t="n"/>
      <c r="L272" s="18" t="n"/>
      <c r="M272" s="22" t="n"/>
      <c r="N272" s="22" t="n"/>
      <c r="O272" s="23" t="n">
        <v>10</v>
      </c>
      <c r="P272" s="24" t="inlineStr">
        <is>
          <t>UNIDAD</t>
        </is>
      </c>
      <c r="Q272" s="20" t="inlineStr">
        <is>
          <t>NO</t>
        </is>
      </c>
      <c r="R272" s="20" t="inlineStr">
        <is>
          <t>NO</t>
        </is>
      </c>
      <c r="S272" s="25" t="n">
        <v>1</v>
      </c>
      <c r="T272" s="20" t="inlineStr">
        <is>
          <t>NO</t>
        </is>
      </c>
      <c r="U272" s="20" t="n"/>
      <c r="V272" s="21" t="n"/>
      <c r="W272" s="26" t="n"/>
      <c r="X272" s="27" t="n"/>
      <c r="Y272" s="20" t="n"/>
      <c r="Z272" s="20" t="n"/>
      <c r="AA272" s="26">
        <f>IF(X272="","",X272-IF(W272="",0,W272))</f>
        <v/>
      </c>
      <c r="AB272" s="28">
        <f>IF(OR(X272="",M272=""),"",X272*M272)</f>
        <v/>
      </c>
      <c r="AC272" s="28">
        <f>IF(OR(X272="",N272=""),"",X272*N272)</f>
        <v/>
      </c>
      <c r="AD272" s="28">
        <f>IF(OR(M272="",N272=""),"",N272-M272)</f>
        <v/>
      </c>
      <c r="AE272" s="29">
        <f>IFERROR(IF(M272&gt;0,(N272-M272)/M272,""),"")</f>
        <v/>
      </c>
      <c r="AF272" s="30" t="n"/>
      <c r="AG272" s="30" t="inlineStr">
        <is>
          <t>PENDIENTE</t>
        </is>
      </c>
      <c r="AH272" s="18">
        <f>IF(NOT(OR(B272="EXISTENTE",COUNTA(G272,H272,I272,J272,K272,M272,N272,U272,V272,X272,Y272,Z272,AF272,AJ272)&gt;0)),"",IF(AK272&lt;&gt;"","REVISAR",IF(OR(G272="",H272="",M272="",N272="",O272="",P272="",X272=""),"INCOMPLETO",IF(AI272&lt;&gt;"","REVISAR",IF(AND(AF272&lt;&gt;"",AG272="ESCANEADO"),"LISTO_COMPLETO","LISTO_SIN_BARCODE")))))</f>
        <v/>
      </c>
      <c r="AI272" s="17">
        <f>IF(NOT(OR(B272="EXISTENTE",COUNTA(G272,H272,I272,J272,K272,M272,N272,U272,V272,X272,Y272,Z272,AF272,AJ272)&gt;0)),"",TEXTJOIN(" | ",TRUE,IF(A272="","Falta ID staging",""),IF(COUNTIF($A$5:$A$445,A272)&gt;1,"ID staging duplicado",""),IF(G272="","Falta nombre",""),IF(LEN(G272)&gt;150,"Nombre &gt;150 caracteres",""),IF(H272="","Falta categoría",IF(COUNTIF(CategoriasLista,H272)=0,"Categoría inválida","")),IF(M272="","Falta precio compra",IF(OR(NOT(ISNUMBER(M272)),M272&lt;0),"Precio compra inválido","")),IF(N272="","Falta precio venta",IF(OR(NOT(ISNUMBER(N272)),N272&lt;=0,N272&lt;M272),"Precio venta inválido","")),IF(O272="","Falta stock mínimo",IF(OR(NOT(ISNUMBER(O272)),O272&lt;0,MOD(O272,1)&lt;&gt;0),"Stock mínimo inválido","")),IF(P272="","Falta unidad",IF(COUNTIF(UnidadesLista,P272)=0,"Unidad inválida","")),IF(AND(K272&lt;&gt;"",COUNTIF(ProveedoresLista,K272)=0),"Proveedor no catalogado",""),IF(X272="","Falta cantidad contada",IF(OR(NOT(ISNUMBER(X272)),X272&lt;0,ABS(X272*1000-ROUND(X272*1000,0))&gt;0.0000001),"Cantidad inválida",IF(AND(Q272="NO",MOD(X272,1)&lt;&gt;0),"Cantidad fraccionaria no permitida",""))),IF(AND(R272="SI",OR(NOT(ISNUMBER(S272)),S272&lt;1,MOD(S272,1)&lt;&gt;0)),"Empaque inválido",""),IF(OR(AND(AF272="",AG272="ESCANEADO"),AND(AF272&lt;&gt;"",AG272&lt;&gt;"ESCANEADO")),"Barcode/estado inconsistente",""),IF(AK272&lt;&gt;"",AK272,"")))</f>
        <v/>
      </c>
      <c r="AJ272" s="21" t="n"/>
      <c r="AK272" s="17">
        <f>IF(G272="","",IF(OR(COUNTIFS($G$5:$G$445,G272,$I$5:$I$445,I272,$J$5:$J$445,J272,$P$5:$P$445,P272)&gt;1,AND(AF272&lt;&gt;"",COUNTIF($AF$5:$AF$445,AF272)&gt;1)),"REVISAR_POSIBLE_DUPLICADO",""))</f>
        <v/>
      </c>
    </row>
    <row r="273">
      <c r="A273" s="17" t="inlineStr">
        <is>
          <t>2c413f30-553e-5dd7-a76b-e409e207cfdb</t>
        </is>
      </c>
      <c r="B273" s="18" t="inlineStr">
        <is>
          <t>NUEVO</t>
        </is>
      </c>
      <c r="C273" s="18" t="inlineStr">
        <is>
          <t>ACTIVO</t>
        </is>
      </c>
      <c r="D273" s="18" t="n"/>
      <c r="E273" s="17" t="n"/>
      <c r="F273" s="17" t="n"/>
      <c r="G273" s="19" t="n"/>
      <c r="H273" s="19" t="n"/>
      <c r="I273" s="20" t="n"/>
      <c r="J273" s="20" t="n"/>
      <c r="K273" s="21" t="n"/>
      <c r="L273" s="18" t="n"/>
      <c r="M273" s="22" t="n"/>
      <c r="N273" s="22" t="n"/>
      <c r="O273" s="23" t="n">
        <v>10</v>
      </c>
      <c r="P273" s="24" t="inlineStr">
        <is>
          <t>UNIDAD</t>
        </is>
      </c>
      <c r="Q273" s="20" t="inlineStr">
        <is>
          <t>NO</t>
        </is>
      </c>
      <c r="R273" s="20" t="inlineStr">
        <is>
          <t>NO</t>
        </is>
      </c>
      <c r="S273" s="25" t="n">
        <v>1</v>
      </c>
      <c r="T273" s="20" t="inlineStr">
        <is>
          <t>NO</t>
        </is>
      </c>
      <c r="U273" s="20" t="n"/>
      <c r="V273" s="21" t="n"/>
      <c r="W273" s="26" t="n"/>
      <c r="X273" s="27" t="n"/>
      <c r="Y273" s="20" t="n"/>
      <c r="Z273" s="20" t="n"/>
      <c r="AA273" s="26">
        <f>IF(X273="","",X273-IF(W273="",0,W273))</f>
        <v/>
      </c>
      <c r="AB273" s="28">
        <f>IF(OR(X273="",M273=""),"",X273*M273)</f>
        <v/>
      </c>
      <c r="AC273" s="28">
        <f>IF(OR(X273="",N273=""),"",X273*N273)</f>
        <v/>
      </c>
      <c r="AD273" s="28">
        <f>IF(OR(M273="",N273=""),"",N273-M273)</f>
        <v/>
      </c>
      <c r="AE273" s="29">
        <f>IFERROR(IF(M273&gt;0,(N273-M273)/M273,""),"")</f>
        <v/>
      </c>
      <c r="AF273" s="30" t="n"/>
      <c r="AG273" s="30" t="inlineStr">
        <is>
          <t>PENDIENTE</t>
        </is>
      </c>
      <c r="AH273" s="18">
        <f>IF(NOT(OR(B273="EXISTENTE",COUNTA(G273,H273,I273,J273,K273,M273,N273,U273,V273,X273,Y273,Z273,AF273,AJ273)&gt;0)),"",IF(AK273&lt;&gt;"","REVISAR",IF(OR(G273="",H273="",M273="",N273="",O273="",P273="",X273=""),"INCOMPLETO",IF(AI273&lt;&gt;"","REVISAR",IF(AND(AF273&lt;&gt;"",AG273="ESCANEADO"),"LISTO_COMPLETO","LISTO_SIN_BARCODE")))))</f>
        <v/>
      </c>
      <c r="AI273" s="17">
        <f>IF(NOT(OR(B273="EXISTENTE",COUNTA(G273,H273,I273,J273,K273,M273,N273,U273,V273,X273,Y273,Z273,AF273,AJ273)&gt;0)),"",TEXTJOIN(" | ",TRUE,IF(A273="","Falta ID staging",""),IF(COUNTIF($A$5:$A$445,A273)&gt;1,"ID staging duplicado",""),IF(G273="","Falta nombre",""),IF(LEN(G273)&gt;150,"Nombre &gt;150 caracteres",""),IF(H273="","Falta categoría",IF(COUNTIF(CategoriasLista,H273)=0,"Categoría inválida","")),IF(M273="","Falta precio compra",IF(OR(NOT(ISNUMBER(M273)),M273&lt;0),"Precio compra inválido","")),IF(N273="","Falta precio venta",IF(OR(NOT(ISNUMBER(N273)),N273&lt;=0,N273&lt;M273),"Precio venta inválido","")),IF(O273="","Falta stock mínimo",IF(OR(NOT(ISNUMBER(O273)),O273&lt;0,MOD(O273,1)&lt;&gt;0),"Stock mínimo inválido","")),IF(P273="","Falta unidad",IF(COUNTIF(UnidadesLista,P273)=0,"Unidad inválida","")),IF(AND(K273&lt;&gt;"",COUNTIF(ProveedoresLista,K273)=0),"Proveedor no catalogado",""),IF(X273="","Falta cantidad contada",IF(OR(NOT(ISNUMBER(X273)),X273&lt;0,ABS(X273*1000-ROUND(X273*1000,0))&gt;0.0000001),"Cantidad inválida",IF(AND(Q273="NO",MOD(X273,1)&lt;&gt;0),"Cantidad fraccionaria no permitida",""))),IF(AND(R273="SI",OR(NOT(ISNUMBER(S273)),S273&lt;1,MOD(S273,1)&lt;&gt;0)),"Empaque inválido",""),IF(OR(AND(AF273="",AG273="ESCANEADO"),AND(AF273&lt;&gt;"",AG273&lt;&gt;"ESCANEADO")),"Barcode/estado inconsistente",""),IF(AK273&lt;&gt;"",AK273,"")))</f>
        <v/>
      </c>
      <c r="AJ273" s="21" t="n"/>
      <c r="AK273" s="17">
        <f>IF(G273="","",IF(OR(COUNTIFS($G$5:$G$445,G273,$I$5:$I$445,I273,$J$5:$J$445,J273,$P$5:$P$445,P273)&gt;1,AND(AF273&lt;&gt;"",COUNTIF($AF$5:$AF$445,AF273)&gt;1)),"REVISAR_POSIBLE_DUPLICADO",""))</f>
        <v/>
      </c>
    </row>
    <row r="274">
      <c r="A274" s="17" t="inlineStr">
        <is>
          <t>7c491cb3-8462-5e24-a3b2-4722ac13a0a1</t>
        </is>
      </c>
      <c r="B274" s="18" t="inlineStr">
        <is>
          <t>NUEVO</t>
        </is>
      </c>
      <c r="C274" s="18" t="inlineStr">
        <is>
          <t>ACTIVO</t>
        </is>
      </c>
      <c r="D274" s="18" t="n"/>
      <c r="E274" s="17" t="n"/>
      <c r="F274" s="17" t="n"/>
      <c r="G274" s="19" t="n"/>
      <c r="H274" s="19" t="n"/>
      <c r="I274" s="20" t="n"/>
      <c r="J274" s="20" t="n"/>
      <c r="K274" s="21" t="n"/>
      <c r="L274" s="18" t="n"/>
      <c r="M274" s="22" t="n"/>
      <c r="N274" s="22" t="n"/>
      <c r="O274" s="23" t="n">
        <v>10</v>
      </c>
      <c r="P274" s="24" t="inlineStr">
        <is>
          <t>UNIDAD</t>
        </is>
      </c>
      <c r="Q274" s="20" t="inlineStr">
        <is>
          <t>NO</t>
        </is>
      </c>
      <c r="R274" s="20" t="inlineStr">
        <is>
          <t>NO</t>
        </is>
      </c>
      <c r="S274" s="25" t="n">
        <v>1</v>
      </c>
      <c r="T274" s="20" t="inlineStr">
        <is>
          <t>NO</t>
        </is>
      </c>
      <c r="U274" s="20" t="n"/>
      <c r="V274" s="21" t="n"/>
      <c r="W274" s="26" t="n"/>
      <c r="X274" s="27" t="n"/>
      <c r="Y274" s="20" t="n"/>
      <c r="Z274" s="20" t="n"/>
      <c r="AA274" s="26">
        <f>IF(X274="","",X274-IF(W274="",0,W274))</f>
        <v/>
      </c>
      <c r="AB274" s="28">
        <f>IF(OR(X274="",M274=""),"",X274*M274)</f>
        <v/>
      </c>
      <c r="AC274" s="28">
        <f>IF(OR(X274="",N274=""),"",X274*N274)</f>
        <v/>
      </c>
      <c r="AD274" s="28">
        <f>IF(OR(M274="",N274=""),"",N274-M274)</f>
        <v/>
      </c>
      <c r="AE274" s="29">
        <f>IFERROR(IF(M274&gt;0,(N274-M274)/M274,""),"")</f>
        <v/>
      </c>
      <c r="AF274" s="30" t="n"/>
      <c r="AG274" s="30" t="inlineStr">
        <is>
          <t>PENDIENTE</t>
        </is>
      </c>
      <c r="AH274" s="18">
        <f>IF(NOT(OR(B274="EXISTENTE",COUNTA(G274,H274,I274,J274,K274,M274,N274,U274,V274,X274,Y274,Z274,AF274,AJ274)&gt;0)),"",IF(AK274&lt;&gt;"","REVISAR",IF(OR(G274="",H274="",M274="",N274="",O274="",P274="",X274=""),"INCOMPLETO",IF(AI274&lt;&gt;"","REVISAR",IF(AND(AF274&lt;&gt;"",AG274="ESCANEADO"),"LISTO_COMPLETO","LISTO_SIN_BARCODE")))))</f>
        <v/>
      </c>
      <c r="AI274" s="17">
        <f>IF(NOT(OR(B274="EXISTENTE",COUNTA(G274,H274,I274,J274,K274,M274,N274,U274,V274,X274,Y274,Z274,AF274,AJ274)&gt;0)),"",TEXTJOIN(" | ",TRUE,IF(A274="","Falta ID staging",""),IF(COUNTIF($A$5:$A$445,A274)&gt;1,"ID staging duplicado",""),IF(G274="","Falta nombre",""),IF(LEN(G274)&gt;150,"Nombre &gt;150 caracteres",""),IF(H274="","Falta categoría",IF(COUNTIF(CategoriasLista,H274)=0,"Categoría inválida","")),IF(M274="","Falta precio compra",IF(OR(NOT(ISNUMBER(M274)),M274&lt;0),"Precio compra inválido","")),IF(N274="","Falta precio venta",IF(OR(NOT(ISNUMBER(N274)),N274&lt;=0,N274&lt;M274),"Precio venta inválido","")),IF(O274="","Falta stock mínimo",IF(OR(NOT(ISNUMBER(O274)),O274&lt;0,MOD(O274,1)&lt;&gt;0),"Stock mínimo inválido","")),IF(P274="","Falta unidad",IF(COUNTIF(UnidadesLista,P274)=0,"Unidad inválida","")),IF(AND(K274&lt;&gt;"",COUNTIF(ProveedoresLista,K274)=0),"Proveedor no catalogado",""),IF(X274="","Falta cantidad contada",IF(OR(NOT(ISNUMBER(X274)),X274&lt;0,ABS(X274*1000-ROUND(X274*1000,0))&gt;0.0000001),"Cantidad inválida",IF(AND(Q274="NO",MOD(X274,1)&lt;&gt;0),"Cantidad fraccionaria no permitida",""))),IF(AND(R274="SI",OR(NOT(ISNUMBER(S274)),S274&lt;1,MOD(S274,1)&lt;&gt;0)),"Empaque inválido",""),IF(OR(AND(AF274="",AG274="ESCANEADO"),AND(AF274&lt;&gt;"",AG274&lt;&gt;"ESCANEADO")),"Barcode/estado inconsistente",""),IF(AK274&lt;&gt;"",AK274,"")))</f>
        <v/>
      </c>
      <c r="AJ274" s="21" t="n"/>
      <c r="AK274" s="17">
        <f>IF(G274="","",IF(OR(COUNTIFS($G$5:$G$445,G274,$I$5:$I$445,I274,$J$5:$J$445,J274,$P$5:$P$445,P274)&gt;1,AND(AF274&lt;&gt;"",COUNTIF($AF$5:$AF$445,AF274)&gt;1)),"REVISAR_POSIBLE_DUPLICADO",""))</f>
        <v/>
      </c>
    </row>
    <row r="275">
      <c r="A275" s="17" t="inlineStr">
        <is>
          <t>e8f334a1-6389-5fdb-9e88-3e13288e1daf</t>
        </is>
      </c>
      <c r="B275" s="18" t="inlineStr">
        <is>
          <t>NUEVO</t>
        </is>
      </c>
      <c r="C275" s="18" t="inlineStr">
        <is>
          <t>ACTIVO</t>
        </is>
      </c>
      <c r="D275" s="18" t="n"/>
      <c r="E275" s="17" t="n"/>
      <c r="F275" s="17" t="n"/>
      <c r="G275" s="19" t="n"/>
      <c r="H275" s="19" t="n"/>
      <c r="I275" s="20" t="n"/>
      <c r="J275" s="20" t="n"/>
      <c r="K275" s="21" t="n"/>
      <c r="L275" s="18" t="n"/>
      <c r="M275" s="22" t="n"/>
      <c r="N275" s="22" t="n"/>
      <c r="O275" s="23" t="n">
        <v>10</v>
      </c>
      <c r="P275" s="24" t="inlineStr">
        <is>
          <t>UNIDAD</t>
        </is>
      </c>
      <c r="Q275" s="20" t="inlineStr">
        <is>
          <t>NO</t>
        </is>
      </c>
      <c r="R275" s="20" t="inlineStr">
        <is>
          <t>NO</t>
        </is>
      </c>
      <c r="S275" s="25" t="n">
        <v>1</v>
      </c>
      <c r="T275" s="20" t="inlineStr">
        <is>
          <t>NO</t>
        </is>
      </c>
      <c r="U275" s="20" t="n"/>
      <c r="V275" s="21" t="n"/>
      <c r="W275" s="26" t="n"/>
      <c r="X275" s="27" t="n"/>
      <c r="Y275" s="20" t="n"/>
      <c r="Z275" s="20" t="n"/>
      <c r="AA275" s="26">
        <f>IF(X275="","",X275-IF(W275="",0,W275))</f>
        <v/>
      </c>
      <c r="AB275" s="28">
        <f>IF(OR(X275="",M275=""),"",X275*M275)</f>
        <v/>
      </c>
      <c r="AC275" s="28">
        <f>IF(OR(X275="",N275=""),"",X275*N275)</f>
        <v/>
      </c>
      <c r="AD275" s="28">
        <f>IF(OR(M275="",N275=""),"",N275-M275)</f>
        <v/>
      </c>
      <c r="AE275" s="29">
        <f>IFERROR(IF(M275&gt;0,(N275-M275)/M275,""),"")</f>
        <v/>
      </c>
      <c r="AF275" s="30" t="n"/>
      <c r="AG275" s="30" t="inlineStr">
        <is>
          <t>PENDIENTE</t>
        </is>
      </c>
      <c r="AH275" s="18">
        <f>IF(NOT(OR(B275="EXISTENTE",COUNTA(G275,H275,I275,J275,K275,M275,N275,U275,V275,X275,Y275,Z275,AF275,AJ275)&gt;0)),"",IF(AK275&lt;&gt;"","REVISAR",IF(OR(G275="",H275="",M275="",N275="",O275="",P275="",X275=""),"INCOMPLETO",IF(AI275&lt;&gt;"","REVISAR",IF(AND(AF275&lt;&gt;"",AG275="ESCANEADO"),"LISTO_COMPLETO","LISTO_SIN_BARCODE")))))</f>
        <v/>
      </c>
      <c r="AI275" s="17">
        <f>IF(NOT(OR(B275="EXISTENTE",COUNTA(G275,H275,I275,J275,K275,M275,N275,U275,V275,X275,Y275,Z275,AF275,AJ275)&gt;0)),"",TEXTJOIN(" | ",TRUE,IF(A275="","Falta ID staging",""),IF(COUNTIF($A$5:$A$445,A275)&gt;1,"ID staging duplicado",""),IF(G275="","Falta nombre",""),IF(LEN(G275)&gt;150,"Nombre &gt;150 caracteres",""),IF(H275="","Falta categoría",IF(COUNTIF(CategoriasLista,H275)=0,"Categoría inválida","")),IF(M275="","Falta precio compra",IF(OR(NOT(ISNUMBER(M275)),M275&lt;0),"Precio compra inválido","")),IF(N275="","Falta precio venta",IF(OR(NOT(ISNUMBER(N275)),N275&lt;=0,N275&lt;M275),"Precio venta inválido","")),IF(O275="","Falta stock mínimo",IF(OR(NOT(ISNUMBER(O275)),O275&lt;0,MOD(O275,1)&lt;&gt;0),"Stock mínimo inválido","")),IF(P275="","Falta unidad",IF(COUNTIF(UnidadesLista,P275)=0,"Unidad inválida","")),IF(AND(K275&lt;&gt;"",COUNTIF(ProveedoresLista,K275)=0),"Proveedor no catalogado",""),IF(X275="","Falta cantidad contada",IF(OR(NOT(ISNUMBER(X275)),X275&lt;0,ABS(X275*1000-ROUND(X275*1000,0))&gt;0.0000001),"Cantidad inválida",IF(AND(Q275="NO",MOD(X275,1)&lt;&gt;0),"Cantidad fraccionaria no permitida",""))),IF(AND(R275="SI",OR(NOT(ISNUMBER(S275)),S275&lt;1,MOD(S275,1)&lt;&gt;0)),"Empaque inválido",""),IF(OR(AND(AF275="",AG275="ESCANEADO"),AND(AF275&lt;&gt;"",AG275&lt;&gt;"ESCANEADO")),"Barcode/estado inconsistente",""),IF(AK275&lt;&gt;"",AK275,"")))</f>
        <v/>
      </c>
      <c r="AJ275" s="21" t="n"/>
      <c r="AK275" s="17">
        <f>IF(G275="","",IF(OR(COUNTIFS($G$5:$G$445,G275,$I$5:$I$445,I275,$J$5:$J$445,J275,$P$5:$P$445,P275)&gt;1,AND(AF275&lt;&gt;"",COUNTIF($AF$5:$AF$445,AF275)&gt;1)),"REVISAR_POSIBLE_DUPLICADO",""))</f>
        <v/>
      </c>
    </row>
    <row r="276">
      <c r="A276" s="17" t="inlineStr">
        <is>
          <t>29e513a9-5bb9-5057-ba44-68a0c849ee47</t>
        </is>
      </c>
      <c r="B276" s="18" t="inlineStr">
        <is>
          <t>NUEVO</t>
        </is>
      </c>
      <c r="C276" s="18" t="inlineStr">
        <is>
          <t>ACTIVO</t>
        </is>
      </c>
      <c r="D276" s="18" t="n"/>
      <c r="E276" s="17" t="n"/>
      <c r="F276" s="17" t="n"/>
      <c r="G276" s="19" t="n"/>
      <c r="H276" s="19" t="n"/>
      <c r="I276" s="20" t="n"/>
      <c r="J276" s="20" t="n"/>
      <c r="K276" s="21" t="n"/>
      <c r="L276" s="18" t="n"/>
      <c r="M276" s="22" t="n"/>
      <c r="N276" s="22" t="n"/>
      <c r="O276" s="23" t="n">
        <v>10</v>
      </c>
      <c r="P276" s="24" t="inlineStr">
        <is>
          <t>UNIDAD</t>
        </is>
      </c>
      <c r="Q276" s="20" t="inlineStr">
        <is>
          <t>NO</t>
        </is>
      </c>
      <c r="R276" s="20" t="inlineStr">
        <is>
          <t>NO</t>
        </is>
      </c>
      <c r="S276" s="25" t="n">
        <v>1</v>
      </c>
      <c r="T276" s="20" t="inlineStr">
        <is>
          <t>NO</t>
        </is>
      </c>
      <c r="U276" s="20" t="n"/>
      <c r="V276" s="21" t="n"/>
      <c r="W276" s="26" t="n"/>
      <c r="X276" s="27" t="n"/>
      <c r="Y276" s="20" t="n"/>
      <c r="Z276" s="20" t="n"/>
      <c r="AA276" s="26">
        <f>IF(X276="","",X276-IF(W276="",0,W276))</f>
        <v/>
      </c>
      <c r="AB276" s="28">
        <f>IF(OR(X276="",M276=""),"",X276*M276)</f>
        <v/>
      </c>
      <c r="AC276" s="28">
        <f>IF(OR(X276="",N276=""),"",X276*N276)</f>
        <v/>
      </c>
      <c r="AD276" s="28">
        <f>IF(OR(M276="",N276=""),"",N276-M276)</f>
        <v/>
      </c>
      <c r="AE276" s="29">
        <f>IFERROR(IF(M276&gt;0,(N276-M276)/M276,""),"")</f>
        <v/>
      </c>
      <c r="AF276" s="30" t="n"/>
      <c r="AG276" s="30" t="inlineStr">
        <is>
          <t>PENDIENTE</t>
        </is>
      </c>
      <c r="AH276" s="18">
        <f>IF(NOT(OR(B276="EXISTENTE",COUNTA(G276,H276,I276,J276,K276,M276,N276,U276,V276,X276,Y276,Z276,AF276,AJ276)&gt;0)),"",IF(AK276&lt;&gt;"","REVISAR",IF(OR(G276="",H276="",M276="",N276="",O276="",P276="",X276=""),"INCOMPLETO",IF(AI276&lt;&gt;"","REVISAR",IF(AND(AF276&lt;&gt;"",AG276="ESCANEADO"),"LISTO_COMPLETO","LISTO_SIN_BARCODE")))))</f>
        <v/>
      </c>
      <c r="AI276" s="17">
        <f>IF(NOT(OR(B276="EXISTENTE",COUNTA(G276,H276,I276,J276,K276,M276,N276,U276,V276,X276,Y276,Z276,AF276,AJ276)&gt;0)),"",TEXTJOIN(" | ",TRUE,IF(A276="","Falta ID staging",""),IF(COUNTIF($A$5:$A$445,A276)&gt;1,"ID staging duplicado",""),IF(G276="","Falta nombre",""),IF(LEN(G276)&gt;150,"Nombre &gt;150 caracteres",""),IF(H276="","Falta categoría",IF(COUNTIF(CategoriasLista,H276)=0,"Categoría inválida","")),IF(M276="","Falta precio compra",IF(OR(NOT(ISNUMBER(M276)),M276&lt;0),"Precio compra inválido","")),IF(N276="","Falta precio venta",IF(OR(NOT(ISNUMBER(N276)),N276&lt;=0,N276&lt;M276),"Precio venta inválido","")),IF(O276="","Falta stock mínimo",IF(OR(NOT(ISNUMBER(O276)),O276&lt;0,MOD(O276,1)&lt;&gt;0),"Stock mínimo inválido","")),IF(P276="","Falta unidad",IF(COUNTIF(UnidadesLista,P276)=0,"Unidad inválida","")),IF(AND(K276&lt;&gt;"",COUNTIF(ProveedoresLista,K276)=0),"Proveedor no catalogado",""),IF(X276="","Falta cantidad contada",IF(OR(NOT(ISNUMBER(X276)),X276&lt;0,ABS(X276*1000-ROUND(X276*1000,0))&gt;0.0000001),"Cantidad inválida",IF(AND(Q276="NO",MOD(X276,1)&lt;&gt;0),"Cantidad fraccionaria no permitida",""))),IF(AND(R276="SI",OR(NOT(ISNUMBER(S276)),S276&lt;1,MOD(S276,1)&lt;&gt;0)),"Empaque inválido",""),IF(OR(AND(AF276="",AG276="ESCANEADO"),AND(AF276&lt;&gt;"",AG276&lt;&gt;"ESCANEADO")),"Barcode/estado inconsistente",""),IF(AK276&lt;&gt;"",AK276,"")))</f>
        <v/>
      </c>
      <c r="AJ276" s="21" t="n"/>
      <c r="AK276" s="17">
        <f>IF(G276="","",IF(OR(COUNTIFS($G$5:$G$445,G276,$I$5:$I$445,I276,$J$5:$J$445,J276,$P$5:$P$445,P276)&gt;1,AND(AF276&lt;&gt;"",COUNTIF($AF$5:$AF$445,AF276)&gt;1)),"REVISAR_POSIBLE_DUPLICADO",""))</f>
        <v/>
      </c>
    </row>
    <row r="277">
      <c r="A277" s="17" t="inlineStr">
        <is>
          <t>e6b514c6-8bf8-5fbc-96d1-d1ee58c109e1</t>
        </is>
      </c>
      <c r="B277" s="18" t="inlineStr">
        <is>
          <t>NUEVO</t>
        </is>
      </c>
      <c r="C277" s="18" t="inlineStr">
        <is>
          <t>ACTIVO</t>
        </is>
      </c>
      <c r="D277" s="18" t="n"/>
      <c r="E277" s="17" t="n"/>
      <c r="F277" s="17" t="n"/>
      <c r="G277" s="19" t="n"/>
      <c r="H277" s="19" t="n"/>
      <c r="I277" s="20" t="n"/>
      <c r="J277" s="20" t="n"/>
      <c r="K277" s="21" t="n"/>
      <c r="L277" s="18" t="n"/>
      <c r="M277" s="22" t="n"/>
      <c r="N277" s="22" t="n"/>
      <c r="O277" s="23" t="n">
        <v>10</v>
      </c>
      <c r="P277" s="24" t="inlineStr">
        <is>
          <t>UNIDAD</t>
        </is>
      </c>
      <c r="Q277" s="20" t="inlineStr">
        <is>
          <t>NO</t>
        </is>
      </c>
      <c r="R277" s="20" t="inlineStr">
        <is>
          <t>NO</t>
        </is>
      </c>
      <c r="S277" s="25" t="n">
        <v>1</v>
      </c>
      <c r="T277" s="20" t="inlineStr">
        <is>
          <t>NO</t>
        </is>
      </c>
      <c r="U277" s="20" t="n"/>
      <c r="V277" s="21" t="n"/>
      <c r="W277" s="26" t="n"/>
      <c r="X277" s="27" t="n"/>
      <c r="Y277" s="20" t="n"/>
      <c r="Z277" s="20" t="n"/>
      <c r="AA277" s="26">
        <f>IF(X277="","",X277-IF(W277="",0,W277))</f>
        <v/>
      </c>
      <c r="AB277" s="28">
        <f>IF(OR(X277="",M277=""),"",X277*M277)</f>
        <v/>
      </c>
      <c r="AC277" s="28">
        <f>IF(OR(X277="",N277=""),"",X277*N277)</f>
        <v/>
      </c>
      <c r="AD277" s="28">
        <f>IF(OR(M277="",N277=""),"",N277-M277)</f>
        <v/>
      </c>
      <c r="AE277" s="29">
        <f>IFERROR(IF(M277&gt;0,(N277-M277)/M277,""),"")</f>
        <v/>
      </c>
      <c r="AF277" s="30" t="n"/>
      <c r="AG277" s="30" t="inlineStr">
        <is>
          <t>PENDIENTE</t>
        </is>
      </c>
      <c r="AH277" s="18">
        <f>IF(NOT(OR(B277="EXISTENTE",COUNTA(G277,H277,I277,J277,K277,M277,N277,U277,V277,X277,Y277,Z277,AF277,AJ277)&gt;0)),"",IF(AK277&lt;&gt;"","REVISAR",IF(OR(G277="",H277="",M277="",N277="",O277="",P277="",X277=""),"INCOMPLETO",IF(AI277&lt;&gt;"","REVISAR",IF(AND(AF277&lt;&gt;"",AG277="ESCANEADO"),"LISTO_COMPLETO","LISTO_SIN_BARCODE")))))</f>
        <v/>
      </c>
      <c r="AI277" s="17">
        <f>IF(NOT(OR(B277="EXISTENTE",COUNTA(G277,H277,I277,J277,K277,M277,N277,U277,V277,X277,Y277,Z277,AF277,AJ277)&gt;0)),"",TEXTJOIN(" | ",TRUE,IF(A277="","Falta ID staging",""),IF(COUNTIF($A$5:$A$445,A277)&gt;1,"ID staging duplicado",""),IF(G277="","Falta nombre",""),IF(LEN(G277)&gt;150,"Nombre &gt;150 caracteres",""),IF(H277="","Falta categoría",IF(COUNTIF(CategoriasLista,H277)=0,"Categoría inválida","")),IF(M277="","Falta precio compra",IF(OR(NOT(ISNUMBER(M277)),M277&lt;0),"Precio compra inválido","")),IF(N277="","Falta precio venta",IF(OR(NOT(ISNUMBER(N277)),N277&lt;=0,N277&lt;M277),"Precio venta inválido","")),IF(O277="","Falta stock mínimo",IF(OR(NOT(ISNUMBER(O277)),O277&lt;0,MOD(O277,1)&lt;&gt;0),"Stock mínimo inválido","")),IF(P277="","Falta unidad",IF(COUNTIF(UnidadesLista,P277)=0,"Unidad inválida","")),IF(AND(K277&lt;&gt;"",COUNTIF(ProveedoresLista,K277)=0),"Proveedor no catalogado",""),IF(X277="","Falta cantidad contada",IF(OR(NOT(ISNUMBER(X277)),X277&lt;0,ABS(X277*1000-ROUND(X277*1000,0))&gt;0.0000001),"Cantidad inválida",IF(AND(Q277="NO",MOD(X277,1)&lt;&gt;0),"Cantidad fraccionaria no permitida",""))),IF(AND(R277="SI",OR(NOT(ISNUMBER(S277)),S277&lt;1,MOD(S277,1)&lt;&gt;0)),"Empaque inválido",""),IF(OR(AND(AF277="",AG277="ESCANEADO"),AND(AF277&lt;&gt;"",AG277&lt;&gt;"ESCANEADO")),"Barcode/estado inconsistente",""),IF(AK277&lt;&gt;"",AK277,"")))</f>
        <v/>
      </c>
      <c r="AJ277" s="21" t="n"/>
      <c r="AK277" s="17">
        <f>IF(G277="","",IF(OR(COUNTIFS($G$5:$G$445,G277,$I$5:$I$445,I277,$J$5:$J$445,J277,$P$5:$P$445,P277)&gt;1,AND(AF277&lt;&gt;"",COUNTIF($AF$5:$AF$445,AF277)&gt;1)),"REVISAR_POSIBLE_DUPLICADO",""))</f>
        <v/>
      </c>
    </row>
    <row r="278">
      <c r="A278" s="17" t="inlineStr">
        <is>
          <t>94518e82-96fa-55b9-99bd-8b46be9da3a4</t>
        </is>
      </c>
      <c r="B278" s="18" t="inlineStr">
        <is>
          <t>NUEVO</t>
        </is>
      </c>
      <c r="C278" s="18" t="inlineStr">
        <is>
          <t>ACTIVO</t>
        </is>
      </c>
      <c r="D278" s="18" t="n"/>
      <c r="E278" s="17" t="n"/>
      <c r="F278" s="17" t="n"/>
      <c r="G278" s="19" t="n"/>
      <c r="H278" s="19" t="n"/>
      <c r="I278" s="20" t="n"/>
      <c r="J278" s="20" t="n"/>
      <c r="K278" s="21" t="n"/>
      <c r="L278" s="18" t="n"/>
      <c r="M278" s="22" t="n"/>
      <c r="N278" s="22" t="n"/>
      <c r="O278" s="23" t="n">
        <v>10</v>
      </c>
      <c r="P278" s="24" t="inlineStr">
        <is>
          <t>UNIDAD</t>
        </is>
      </c>
      <c r="Q278" s="20" t="inlineStr">
        <is>
          <t>NO</t>
        </is>
      </c>
      <c r="R278" s="20" t="inlineStr">
        <is>
          <t>NO</t>
        </is>
      </c>
      <c r="S278" s="25" t="n">
        <v>1</v>
      </c>
      <c r="T278" s="20" t="inlineStr">
        <is>
          <t>NO</t>
        </is>
      </c>
      <c r="U278" s="20" t="n"/>
      <c r="V278" s="21" t="n"/>
      <c r="W278" s="26" t="n"/>
      <c r="X278" s="27" t="n"/>
      <c r="Y278" s="20" t="n"/>
      <c r="Z278" s="20" t="n"/>
      <c r="AA278" s="26">
        <f>IF(X278="","",X278-IF(W278="",0,W278))</f>
        <v/>
      </c>
      <c r="AB278" s="28">
        <f>IF(OR(X278="",M278=""),"",X278*M278)</f>
        <v/>
      </c>
      <c r="AC278" s="28">
        <f>IF(OR(X278="",N278=""),"",X278*N278)</f>
        <v/>
      </c>
      <c r="AD278" s="28">
        <f>IF(OR(M278="",N278=""),"",N278-M278)</f>
        <v/>
      </c>
      <c r="AE278" s="29">
        <f>IFERROR(IF(M278&gt;0,(N278-M278)/M278,""),"")</f>
        <v/>
      </c>
      <c r="AF278" s="30" t="n"/>
      <c r="AG278" s="30" t="inlineStr">
        <is>
          <t>PENDIENTE</t>
        </is>
      </c>
      <c r="AH278" s="18">
        <f>IF(NOT(OR(B278="EXISTENTE",COUNTA(G278,H278,I278,J278,K278,M278,N278,U278,V278,X278,Y278,Z278,AF278,AJ278)&gt;0)),"",IF(AK278&lt;&gt;"","REVISAR",IF(OR(G278="",H278="",M278="",N278="",O278="",P278="",X278=""),"INCOMPLETO",IF(AI278&lt;&gt;"","REVISAR",IF(AND(AF278&lt;&gt;"",AG278="ESCANEADO"),"LISTO_COMPLETO","LISTO_SIN_BARCODE")))))</f>
        <v/>
      </c>
      <c r="AI278" s="17">
        <f>IF(NOT(OR(B278="EXISTENTE",COUNTA(G278,H278,I278,J278,K278,M278,N278,U278,V278,X278,Y278,Z278,AF278,AJ278)&gt;0)),"",TEXTJOIN(" | ",TRUE,IF(A278="","Falta ID staging",""),IF(COUNTIF($A$5:$A$445,A278)&gt;1,"ID staging duplicado",""),IF(G278="","Falta nombre",""),IF(LEN(G278)&gt;150,"Nombre &gt;150 caracteres",""),IF(H278="","Falta categoría",IF(COUNTIF(CategoriasLista,H278)=0,"Categoría inválida","")),IF(M278="","Falta precio compra",IF(OR(NOT(ISNUMBER(M278)),M278&lt;0),"Precio compra inválido","")),IF(N278="","Falta precio venta",IF(OR(NOT(ISNUMBER(N278)),N278&lt;=0,N278&lt;M278),"Precio venta inválido","")),IF(O278="","Falta stock mínimo",IF(OR(NOT(ISNUMBER(O278)),O278&lt;0,MOD(O278,1)&lt;&gt;0),"Stock mínimo inválido","")),IF(P278="","Falta unidad",IF(COUNTIF(UnidadesLista,P278)=0,"Unidad inválida","")),IF(AND(K278&lt;&gt;"",COUNTIF(ProveedoresLista,K278)=0),"Proveedor no catalogado",""),IF(X278="","Falta cantidad contada",IF(OR(NOT(ISNUMBER(X278)),X278&lt;0,ABS(X278*1000-ROUND(X278*1000,0))&gt;0.0000001),"Cantidad inválida",IF(AND(Q278="NO",MOD(X278,1)&lt;&gt;0),"Cantidad fraccionaria no permitida",""))),IF(AND(R278="SI",OR(NOT(ISNUMBER(S278)),S278&lt;1,MOD(S278,1)&lt;&gt;0)),"Empaque inválido",""),IF(OR(AND(AF278="",AG278="ESCANEADO"),AND(AF278&lt;&gt;"",AG278&lt;&gt;"ESCANEADO")),"Barcode/estado inconsistente",""),IF(AK278&lt;&gt;"",AK278,"")))</f>
        <v/>
      </c>
      <c r="AJ278" s="21" t="n"/>
      <c r="AK278" s="17">
        <f>IF(G278="","",IF(OR(COUNTIFS($G$5:$G$445,G278,$I$5:$I$445,I278,$J$5:$J$445,J278,$P$5:$P$445,P278)&gt;1,AND(AF278&lt;&gt;"",COUNTIF($AF$5:$AF$445,AF278)&gt;1)),"REVISAR_POSIBLE_DUPLICADO",""))</f>
        <v/>
      </c>
    </row>
    <row r="279">
      <c r="A279" s="17" t="inlineStr">
        <is>
          <t>c9acd4a7-7b97-532c-b9a6-8824499b9a18</t>
        </is>
      </c>
      <c r="B279" s="18" t="inlineStr">
        <is>
          <t>NUEVO</t>
        </is>
      </c>
      <c r="C279" s="18" t="inlineStr">
        <is>
          <t>ACTIVO</t>
        </is>
      </c>
      <c r="D279" s="18" t="n"/>
      <c r="E279" s="17" t="n"/>
      <c r="F279" s="17" t="n"/>
      <c r="G279" s="19" t="n"/>
      <c r="H279" s="19" t="n"/>
      <c r="I279" s="20" t="n"/>
      <c r="J279" s="20" t="n"/>
      <c r="K279" s="21" t="n"/>
      <c r="L279" s="18" t="n"/>
      <c r="M279" s="22" t="n"/>
      <c r="N279" s="22" t="n"/>
      <c r="O279" s="23" t="n">
        <v>10</v>
      </c>
      <c r="P279" s="24" t="inlineStr">
        <is>
          <t>UNIDAD</t>
        </is>
      </c>
      <c r="Q279" s="20" t="inlineStr">
        <is>
          <t>NO</t>
        </is>
      </c>
      <c r="R279" s="20" t="inlineStr">
        <is>
          <t>NO</t>
        </is>
      </c>
      <c r="S279" s="25" t="n">
        <v>1</v>
      </c>
      <c r="T279" s="20" t="inlineStr">
        <is>
          <t>NO</t>
        </is>
      </c>
      <c r="U279" s="20" t="n"/>
      <c r="V279" s="21" t="n"/>
      <c r="W279" s="26" t="n"/>
      <c r="X279" s="27" t="n"/>
      <c r="Y279" s="20" t="n"/>
      <c r="Z279" s="20" t="n"/>
      <c r="AA279" s="26">
        <f>IF(X279="","",X279-IF(W279="",0,W279))</f>
        <v/>
      </c>
      <c r="AB279" s="28">
        <f>IF(OR(X279="",M279=""),"",X279*M279)</f>
        <v/>
      </c>
      <c r="AC279" s="28">
        <f>IF(OR(X279="",N279=""),"",X279*N279)</f>
        <v/>
      </c>
      <c r="AD279" s="28">
        <f>IF(OR(M279="",N279=""),"",N279-M279)</f>
        <v/>
      </c>
      <c r="AE279" s="29">
        <f>IFERROR(IF(M279&gt;0,(N279-M279)/M279,""),"")</f>
        <v/>
      </c>
      <c r="AF279" s="30" t="n"/>
      <c r="AG279" s="30" t="inlineStr">
        <is>
          <t>PENDIENTE</t>
        </is>
      </c>
      <c r="AH279" s="18">
        <f>IF(NOT(OR(B279="EXISTENTE",COUNTA(G279,H279,I279,J279,K279,M279,N279,U279,V279,X279,Y279,Z279,AF279,AJ279)&gt;0)),"",IF(AK279&lt;&gt;"","REVISAR",IF(OR(G279="",H279="",M279="",N279="",O279="",P279="",X279=""),"INCOMPLETO",IF(AI279&lt;&gt;"","REVISAR",IF(AND(AF279&lt;&gt;"",AG279="ESCANEADO"),"LISTO_COMPLETO","LISTO_SIN_BARCODE")))))</f>
        <v/>
      </c>
      <c r="AI279" s="17">
        <f>IF(NOT(OR(B279="EXISTENTE",COUNTA(G279,H279,I279,J279,K279,M279,N279,U279,V279,X279,Y279,Z279,AF279,AJ279)&gt;0)),"",TEXTJOIN(" | ",TRUE,IF(A279="","Falta ID staging",""),IF(COUNTIF($A$5:$A$445,A279)&gt;1,"ID staging duplicado",""),IF(G279="","Falta nombre",""),IF(LEN(G279)&gt;150,"Nombre &gt;150 caracteres",""),IF(H279="","Falta categoría",IF(COUNTIF(CategoriasLista,H279)=0,"Categoría inválida","")),IF(M279="","Falta precio compra",IF(OR(NOT(ISNUMBER(M279)),M279&lt;0),"Precio compra inválido","")),IF(N279="","Falta precio venta",IF(OR(NOT(ISNUMBER(N279)),N279&lt;=0,N279&lt;M279),"Precio venta inválido","")),IF(O279="","Falta stock mínimo",IF(OR(NOT(ISNUMBER(O279)),O279&lt;0,MOD(O279,1)&lt;&gt;0),"Stock mínimo inválido","")),IF(P279="","Falta unidad",IF(COUNTIF(UnidadesLista,P279)=0,"Unidad inválida","")),IF(AND(K279&lt;&gt;"",COUNTIF(ProveedoresLista,K279)=0),"Proveedor no catalogado",""),IF(X279="","Falta cantidad contada",IF(OR(NOT(ISNUMBER(X279)),X279&lt;0,ABS(X279*1000-ROUND(X279*1000,0))&gt;0.0000001),"Cantidad inválida",IF(AND(Q279="NO",MOD(X279,1)&lt;&gt;0),"Cantidad fraccionaria no permitida",""))),IF(AND(R279="SI",OR(NOT(ISNUMBER(S279)),S279&lt;1,MOD(S279,1)&lt;&gt;0)),"Empaque inválido",""),IF(OR(AND(AF279="",AG279="ESCANEADO"),AND(AF279&lt;&gt;"",AG279&lt;&gt;"ESCANEADO")),"Barcode/estado inconsistente",""),IF(AK279&lt;&gt;"",AK279,"")))</f>
        <v/>
      </c>
      <c r="AJ279" s="21" t="n"/>
      <c r="AK279" s="17">
        <f>IF(G279="","",IF(OR(COUNTIFS($G$5:$G$445,G279,$I$5:$I$445,I279,$J$5:$J$445,J279,$P$5:$P$445,P279)&gt;1,AND(AF279&lt;&gt;"",COUNTIF($AF$5:$AF$445,AF279)&gt;1)),"REVISAR_POSIBLE_DUPLICADO",""))</f>
        <v/>
      </c>
    </row>
    <row r="280">
      <c r="A280" s="17" t="inlineStr">
        <is>
          <t>f0b21d8b-f7f2-5f0d-9b12-6f760fb54d9f</t>
        </is>
      </c>
      <c r="B280" s="18" t="inlineStr">
        <is>
          <t>NUEVO</t>
        </is>
      </c>
      <c r="C280" s="18" t="inlineStr">
        <is>
          <t>ACTIVO</t>
        </is>
      </c>
      <c r="D280" s="18" t="n"/>
      <c r="E280" s="17" t="n"/>
      <c r="F280" s="17" t="n"/>
      <c r="G280" s="19" t="n"/>
      <c r="H280" s="19" t="n"/>
      <c r="I280" s="20" t="n"/>
      <c r="J280" s="20" t="n"/>
      <c r="K280" s="21" t="n"/>
      <c r="L280" s="18" t="n"/>
      <c r="M280" s="22" t="n"/>
      <c r="N280" s="22" t="n"/>
      <c r="O280" s="23" t="n">
        <v>10</v>
      </c>
      <c r="P280" s="24" t="inlineStr">
        <is>
          <t>UNIDAD</t>
        </is>
      </c>
      <c r="Q280" s="20" t="inlineStr">
        <is>
          <t>NO</t>
        </is>
      </c>
      <c r="R280" s="20" t="inlineStr">
        <is>
          <t>NO</t>
        </is>
      </c>
      <c r="S280" s="25" t="n">
        <v>1</v>
      </c>
      <c r="T280" s="20" t="inlineStr">
        <is>
          <t>NO</t>
        </is>
      </c>
      <c r="U280" s="20" t="n"/>
      <c r="V280" s="21" t="n"/>
      <c r="W280" s="26" t="n"/>
      <c r="X280" s="27" t="n"/>
      <c r="Y280" s="20" t="n"/>
      <c r="Z280" s="20" t="n"/>
      <c r="AA280" s="26">
        <f>IF(X280="","",X280-IF(W280="",0,W280))</f>
        <v/>
      </c>
      <c r="AB280" s="28">
        <f>IF(OR(X280="",M280=""),"",X280*M280)</f>
        <v/>
      </c>
      <c r="AC280" s="28">
        <f>IF(OR(X280="",N280=""),"",X280*N280)</f>
        <v/>
      </c>
      <c r="AD280" s="28">
        <f>IF(OR(M280="",N280=""),"",N280-M280)</f>
        <v/>
      </c>
      <c r="AE280" s="29">
        <f>IFERROR(IF(M280&gt;0,(N280-M280)/M280,""),"")</f>
        <v/>
      </c>
      <c r="AF280" s="30" t="n"/>
      <c r="AG280" s="30" t="inlineStr">
        <is>
          <t>PENDIENTE</t>
        </is>
      </c>
      <c r="AH280" s="18">
        <f>IF(NOT(OR(B280="EXISTENTE",COUNTA(G280,H280,I280,J280,K280,M280,N280,U280,V280,X280,Y280,Z280,AF280,AJ280)&gt;0)),"",IF(AK280&lt;&gt;"","REVISAR",IF(OR(G280="",H280="",M280="",N280="",O280="",P280="",X280=""),"INCOMPLETO",IF(AI280&lt;&gt;"","REVISAR",IF(AND(AF280&lt;&gt;"",AG280="ESCANEADO"),"LISTO_COMPLETO","LISTO_SIN_BARCODE")))))</f>
        <v/>
      </c>
      <c r="AI280" s="17">
        <f>IF(NOT(OR(B280="EXISTENTE",COUNTA(G280,H280,I280,J280,K280,M280,N280,U280,V280,X280,Y280,Z280,AF280,AJ280)&gt;0)),"",TEXTJOIN(" | ",TRUE,IF(A280="","Falta ID staging",""),IF(COUNTIF($A$5:$A$445,A280)&gt;1,"ID staging duplicado",""),IF(G280="","Falta nombre",""),IF(LEN(G280)&gt;150,"Nombre &gt;150 caracteres",""),IF(H280="","Falta categoría",IF(COUNTIF(CategoriasLista,H280)=0,"Categoría inválida","")),IF(M280="","Falta precio compra",IF(OR(NOT(ISNUMBER(M280)),M280&lt;0),"Precio compra inválido","")),IF(N280="","Falta precio venta",IF(OR(NOT(ISNUMBER(N280)),N280&lt;=0,N280&lt;M280),"Precio venta inválido","")),IF(O280="","Falta stock mínimo",IF(OR(NOT(ISNUMBER(O280)),O280&lt;0,MOD(O280,1)&lt;&gt;0),"Stock mínimo inválido","")),IF(P280="","Falta unidad",IF(COUNTIF(UnidadesLista,P280)=0,"Unidad inválida","")),IF(AND(K280&lt;&gt;"",COUNTIF(ProveedoresLista,K280)=0),"Proveedor no catalogado",""),IF(X280="","Falta cantidad contada",IF(OR(NOT(ISNUMBER(X280)),X280&lt;0,ABS(X280*1000-ROUND(X280*1000,0))&gt;0.0000001),"Cantidad inválida",IF(AND(Q280="NO",MOD(X280,1)&lt;&gt;0),"Cantidad fraccionaria no permitida",""))),IF(AND(R280="SI",OR(NOT(ISNUMBER(S280)),S280&lt;1,MOD(S280,1)&lt;&gt;0)),"Empaque inválido",""),IF(OR(AND(AF280="",AG280="ESCANEADO"),AND(AF280&lt;&gt;"",AG280&lt;&gt;"ESCANEADO")),"Barcode/estado inconsistente",""),IF(AK280&lt;&gt;"",AK280,"")))</f>
        <v/>
      </c>
      <c r="AJ280" s="21" t="n"/>
      <c r="AK280" s="17">
        <f>IF(G280="","",IF(OR(COUNTIFS($G$5:$G$445,G280,$I$5:$I$445,I280,$J$5:$J$445,J280,$P$5:$P$445,P280)&gt;1,AND(AF280&lt;&gt;"",COUNTIF($AF$5:$AF$445,AF280)&gt;1)),"REVISAR_POSIBLE_DUPLICADO",""))</f>
        <v/>
      </c>
    </row>
    <row r="281">
      <c r="A281" s="17" t="inlineStr">
        <is>
          <t>9e14d018-5050-5e13-a9c9-cad98845c644</t>
        </is>
      </c>
      <c r="B281" s="18" t="inlineStr">
        <is>
          <t>NUEVO</t>
        </is>
      </c>
      <c r="C281" s="18" t="inlineStr">
        <is>
          <t>ACTIVO</t>
        </is>
      </c>
      <c r="D281" s="18" t="n"/>
      <c r="E281" s="17" t="n"/>
      <c r="F281" s="17" t="n"/>
      <c r="G281" s="19" t="n"/>
      <c r="H281" s="19" t="n"/>
      <c r="I281" s="20" t="n"/>
      <c r="J281" s="20" t="n"/>
      <c r="K281" s="21" t="n"/>
      <c r="L281" s="18" t="n"/>
      <c r="M281" s="22" t="n"/>
      <c r="N281" s="22" t="n"/>
      <c r="O281" s="23" t="n">
        <v>10</v>
      </c>
      <c r="P281" s="24" t="inlineStr">
        <is>
          <t>UNIDAD</t>
        </is>
      </c>
      <c r="Q281" s="20" t="inlineStr">
        <is>
          <t>NO</t>
        </is>
      </c>
      <c r="R281" s="20" t="inlineStr">
        <is>
          <t>NO</t>
        </is>
      </c>
      <c r="S281" s="25" t="n">
        <v>1</v>
      </c>
      <c r="T281" s="20" t="inlineStr">
        <is>
          <t>NO</t>
        </is>
      </c>
      <c r="U281" s="20" t="n"/>
      <c r="V281" s="21" t="n"/>
      <c r="W281" s="26" t="n"/>
      <c r="X281" s="27" t="n"/>
      <c r="Y281" s="20" t="n"/>
      <c r="Z281" s="20" t="n"/>
      <c r="AA281" s="26">
        <f>IF(X281="","",X281-IF(W281="",0,W281))</f>
        <v/>
      </c>
      <c r="AB281" s="28">
        <f>IF(OR(X281="",M281=""),"",X281*M281)</f>
        <v/>
      </c>
      <c r="AC281" s="28">
        <f>IF(OR(X281="",N281=""),"",X281*N281)</f>
        <v/>
      </c>
      <c r="AD281" s="28">
        <f>IF(OR(M281="",N281=""),"",N281-M281)</f>
        <v/>
      </c>
      <c r="AE281" s="29">
        <f>IFERROR(IF(M281&gt;0,(N281-M281)/M281,""),"")</f>
        <v/>
      </c>
      <c r="AF281" s="30" t="n"/>
      <c r="AG281" s="30" t="inlineStr">
        <is>
          <t>PENDIENTE</t>
        </is>
      </c>
      <c r="AH281" s="18">
        <f>IF(NOT(OR(B281="EXISTENTE",COUNTA(G281,H281,I281,J281,K281,M281,N281,U281,V281,X281,Y281,Z281,AF281,AJ281)&gt;0)),"",IF(AK281&lt;&gt;"","REVISAR",IF(OR(G281="",H281="",M281="",N281="",O281="",P281="",X281=""),"INCOMPLETO",IF(AI281&lt;&gt;"","REVISAR",IF(AND(AF281&lt;&gt;"",AG281="ESCANEADO"),"LISTO_COMPLETO","LISTO_SIN_BARCODE")))))</f>
        <v/>
      </c>
      <c r="AI281" s="17">
        <f>IF(NOT(OR(B281="EXISTENTE",COUNTA(G281,H281,I281,J281,K281,M281,N281,U281,V281,X281,Y281,Z281,AF281,AJ281)&gt;0)),"",TEXTJOIN(" | ",TRUE,IF(A281="","Falta ID staging",""),IF(COUNTIF($A$5:$A$445,A281)&gt;1,"ID staging duplicado",""),IF(G281="","Falta nombre",""),IF(LEN(G281)&gt;150,"Nombre &gt;150 caracteres",""),IF(H281="","Falta categoría",IF(COUNTIF(CategoriasLista,H281)=0,"Categoría inválida","")),IF(M281="","Falta precio compra",IF(OR(NOT(ISNUMBER(M281)),M281&lt;0),"Precio compra inválido","")),IF(N281="","Falta precio venta",IF(OR(NOT(ISNUMBER(N281)),N281&lt;=0,N281&lt;M281),"Precio venta inválido","")),IF(O281="","Falta stock mínimo",IF(OR(NOT(ISNUMBER(O281)),O281&lt;0,MOD(O281,1)&lt;&gt;0),"Stock mínimo inválido","")),IF(P281="","Falta unidad",IF(COUNTIF(UnidadesLista,P281)=0,"Unidad inválida","")),IF(AND(K281&lt;&gt;"",COUNTIF(ProveedoresLista,K281)=0),"Proveedor no catalogado",""),IF(X281="","Falta cantidad contada",IF(OR(NOT(ISNUMBER(X281)),X281&lt;0,ABS(X281*1000-ROUND(X281*1000,0))&gt;0.0000001),"Cantidad inválida",IF(AND(Q281="NO",MOD(X281,1)&lt;&gt;0),"Cantidad fraccionaria no permitida",""))),IF(AND(R281="SI",OR(NOT(ISNUMBER(S281)),S281&lt;1,MOD(S281,1)&lt;&gt;0)),"Empaque inválido",""),IF(OR(AND(AF281="",AG281="ESCANEADO"),AND(AF281&lt;&gt;"",AG281&lt;&gt;"ESCANEADO")),"Barcode/estado inconsistente",""),IF(AK281&lt;&gt;"",AK281,"")))</f>
        <v/>
      </c>
      <c r="AJ281" s="21" t="n"/>
      <c r="AK281" s="17">
        <f>IF(G281="","",IF(OR(COUNTIFS($G$5:$G$445,G281,$I$5:$I$445,I281,$J$5:$J$445,J281,$P$5:$P$445,P281)&gt;1,AND(AF281&lt;&gt;"",COUNTIF($AF$5:$AF$445,AF281)&gt;1)),"REVISAR_POSIBLE_DUPLICADO",""))</f>
        <v/>
      </c>
    </row>
    <row r="282">
      <c r="A282" s="17" t="inlineStr">
        <is>
          <t>399d365d-7221-589b-be1f-424af79573b5</t>
        </is>
      </c>
      <c r="B282" s="18" t="inlineStr">
        <is>
          <t>NUEVO</t>
        </is>
      </c>
      <c r="C282" s="18" t="inlineStr">
        <is>
          <t>ACTIVO</t>
        </is>
      </c>
      <c r="D282" s="18" t="n"/>
      <c r="E282" s="17" t="n"/>
      <c r="F282" s="17" t="n"/>
      <c r="G282" s="19" t="n"/>
      <c r="H282" s="19" t="n"/>
      <c r="I282" s="20" t="n"/>
      <c r="J282" s="20" t="n"/>
      <c r="K282" s="21" t="n"/>
      <c r="L282" s="18" t="n"/>
      <c r="M282" s="22" t="n"/>
      <c r="N282" s="22" t="n"/>
      <c r="O282" s="23" t="n">
        <v>10</v>
      </c>
      <c r="P282" s="24" t="inlineStr">
        <is>
          <t>UNIDAD</t>
        </is>
      </c>
      <c r="Q282" s="20" t="inlineStr">
        <is>
          <t>NO</t>
        </is>
      </c>
      <c r="R282" s="20" t="inlineStr">
        <is>
          <t>NO</t>
        </is>
      </c>
      <c r="S282" s="25" t="n">
        <v>1</v>
      </c>
      <c r="T282" s="20" t="inlineStr">
        <is>
          <t>NO</t>
        </is>
      </c>
      <c r="U282" s="20" t="n"/>
      <c r="V282" s="21" t="n"/>
      <c r="W282" s="26" t="n"/>
      <c r="X282" s="27" t="n"/>
      <c r="Y282" s="20" t="n"/>
      <c r="Z282" s="20" t="n"/>
      <c r="AA282" s="26">
        <f>IF(X282="","",X282-IF(W282="",0,W282))</f>
        <v/>
      </c>
      <c r="AB282" s="28">
        <f>IF(OR(X282="",M282=""),"",X282*M282)</f>
        <v/>
      </c>
      <c r="AC282" s="28">
        <f>IF(OR(X282="",N282=""),"",X282*N282)</f>
        <v/>
      </c>
      <c r="AD282" s="28">
        <f>IF(OR(M282="",N282=""),"",N282-M282)</f>
        <v/>
      </c>
      <c r="AE282" s="29">
        <f>IFERROR(IF(M282&gt;0,(N282-M282)/M282,""),"")</f>
        <v/>
      </c>
      <c r="AF282" s="30" t="n"/>
      <c r="AG282" s="30" t="inlineStr">
        <is>
          <t>PENDIENTE</t>
        </is>
      </c>
      <c r="AH282" s="18">
        <f>IF(NOT(OR(B282="EXISTENTE",COUNTA(G282,H282,I282,J282,K282,M282,N282,U282,V282,X282,Y282,Z282,AF282,AJ282)&gt;0)),"",IF(AK282&lt;&gt;"","REVISAR",IF(OR(G282="",H282="",M282="",N282="",O282="",P282="",X282=""),"INCOMPLETO",IF(AI282&lt;&gt;"","REVISAR",IF(AND(AF282&lt;&gt;"",AG282="ESCANEADO"),"LISTO_COMPLETO","LISTO_SIN_BARCODE")))))</f>
        <v/>
      </c>
      <c r="AI282" s="17">
        <f>IF(NOT(OR(B282="EXISTENTE",COUNTA(G282,H282,I282,J282,K282,M282,N282,U282,V282,X282,Y282,Z282,AF282,AJ282)&gt;0)),"",TEXTJOIN(" | ",TRUE,IF(A282="","Falta ID staging",""),IF(COUNTIF($A$5:$A$445,A282)&gt;1,"ID staging duplicado",""),IF(G282="","Falta nombre",""),IF(LEN(G282)&gt;150,"Nombre &gt;150 caracteres",""),IF(H282="","Falta categoría",IF(COUNTIF(CategoriasLista,H282)=0,"Categoría inválida","")),IF(M282="","Falta precio compra",IF(OR(NOT(ISNUMBER(M282)),M282&lt;0),"Precio compra inválido","")),IF(N282="","Falta precio venta",IF(OR(NOT(ISNUMBER(N282)),N282&lt;=0,N282&lt;M282),"Precio venta inválido","")),IF(O282="","Falta stock mínimo",IF(OR(NOT(ISNUMBER(O282)),O282&lt;0,MOD(O282,1)&lt;&gt;0),"Stock mínimo inválido","")),IF(P282="","Falta unidad",IF(COUNTIF(UnidadesLista,P282)=0,"Unidad inválida","")),IF(AND(K282&lt;&gt;"",COUNTIF(ProveedoresLista,K282)=0),"Proveedor no catalogado",""),IF(X282="","Falta cantidad contada",IF(OR(NOT(ISNUMBER(X282)),X282&lt;0,ABS(X282*1000-ROUND(X282*1000,0))&gt;0.0000001),"Cantidad inválida",IF(AND(Q282="NO",MOD(X282,1)&lt;&gt;0),"Cantidad fraccionaria no permitida",""))),IF(AND(R282="SI",OR(NOT(ISNUMBER(S282)),S282&lt;1,MOD(S282,1)&lt;&gt;0)),"Empaque inválido",""),IF(OR(AND(AF282="",AG282="ESCANEADO"),AND(AF282&lt;&gt;"",AG282&lt;&gt;"ESCANEADO")),"Barcode/estado inconsistente",""),IF(AK282&lt;&gt;"",AK282,"")))</f>
        <v/>
      </c>
      <c r="AJ282" s="21" t="n"/>
      <c r="AK282" s="17">
        <f>IF(G282="","",IF(OR(COUNTIFS($G$5:$G$445,G282,$I$5:$I$445,I282,$J$5:$J$445,J282,$P$5:$P$445,P282)&gt;1,AND(AF282&lt;&gt;"",COUNTIF($AF$5:$AF$445,AF282)&gt;1)),"REVISAR_POSIBLE_DUPLICADO",""))</f>
        <v/>
      </c>
    </row>
    <row r="283">
      <c r="A283" s="17" t="inlineStr">
        <is>
          <t>0030b646-e512-54a0-a059-f119a50a115c</t>
        </is>
      </c>
      <c r="B283" s="18" t="inlineStr">
        <is>
          <t>NUEVO</t>
        </is>
      </c>
      <c r="C283" s="18" t="inlineStr">
        <is>
          <t>ACTIVO</t>
        </is>
      </c>
      <c r="D283" s="18" t="n"/>
      <c r="E283" s="17" t="n"/>
      <c r="F283" s="17" t="n"/>
      <c r="G283" s="19" t="n"/>
      <c r="H283" s="19" t="n"/>
      <c r="I283" s="20" t="n"/>
      <c r="J283" s="20" t="n"/>
      <c r="K283" s="21" t="n"/>
      <c r="L283" s="18" t="n"/>
      <c r="M283" s="22" t="n"/>
      <c r="N283" s="22" t="n"/>
      <c r="O283" s="23" t="n">
        <v>10</v>
      </c>
      <c r="P283" s="24" t="inlineStr">
        <is>
          <t>UNIDAD</t>
        </is>
      </c>
      <c r="Q283" s="20" t="inlineStr">
        <is>
          <t>NO</t>
        </is>
      </c>
      <c r="R283" s="20" t="inlineStr">
        <is>
          <t>NO</t>
        </is>
      </c>
      <c r="S283" s="25" t="n">
        <v>1</v>
      </c>
      <c r="T283" s="20" t="inlineStr">
        <is>
          <t>NO</t>
        </is>
      </c>
      <c r="U283" s="20" t="n"/>
      <c r="V283" s="21" t="n"/>
      <c r="W283" s="26" t="n"/>
      <c r="X283" s="27" t="n"/>
      <c r="Y283" s="20" t="n"/>
      <c r="Z283" s="20" t="n"/>
      <c r="AA283" s="26">
        <f>IF(X283="","",X283-IF(W283="",0,W283))</f>
        <v/>
      </c>
      <c r="AB283" s="28">
        <f>IF(OR(X283="",M283=""),"",X283*M283)</f>
        <v/>
      </c>
      <c r="AC283" s="28">
        <f>IF(OR(X283="",N283=""),"",X283*N283)</f>
        <v/>
      </c>
      <c r="AD283" s="28">
        <f>IF(OR(M283="",N283=""),"",N283-M283)</f>
        <v/>
      </c>
      <c r="AE283" s="29">
        <f>IFERROR(IF(M283&gt;0,(N283-M283)/M283,""),"")</f>
        <v/>
      </c>
      <c r="AF283" s="30" t="n"/>
      <c r="AG283" s="30" t="inlineStr">
        <is>
          <t>PENDIENTE</t>
        </is>
      </c>
      <c r="AH283" s="18">
        <f>IF(NOT(OR(B283="EXISTENTE",COUNTA(G283,H283,I283,J283,K283,M283,N283,U283,V283,X283,Y283,Z283,AF283,AJ283)&gt;0)),"",IF(AK283&lt;&gt;"","REVISAR",IF(OR(G283="",H283="",M283="",N283="",O283="",P283="",X283=""),"INCOMPLETO",IF(AI283&lt;&gt;"","REVISAR",IF(AND(AF283&lt;&gt;"",AG283="ESCANEADO"),"LISTO_COMPLETO","LISTO_SIN_BARCODE")))))</f>
        <v/>
      </c>
      <c r="AI283" s="17">
        <f>IF(NOT(OR(B283="EXISTENTE",COUNTA(G283,H283,I283,J283,K283,M283,N283,U283,V283,X283,Y283,Z283,AF283,AJ283)&gt;0)),"",TEXTJOIN(" | ",TRUE,IF(A283="","Falta ID staging",""),IF(COUNTIF($A$5:$A$445,A283)&gt;1,"ID staging duplicado",""),IF(G283="","Falta nombre",""),IF(LEN(G283)&gt;150,"Nombre &gt;150 caracteres",""),IF(H283="","Falta categoría",IF(COUNTIF(CategoriasLista,H283)=0,"Categoría inválida","")),IF(M283="","Falta precio compra",IF(OR(NOT(ISNUMBER(M283)),M283&lt;0),"Precio compra inválido","")),IF(N283="","Falta precio venta",IF(OR(NOT(ISNUMBER(N283)),N283&lt;=0,N283&lt;M283),"Precio venta inválido","")),IF(O283="","Falta stock mínimo",IF(OR(NOT(ISNUMBER(O283)),O283&lt;0,MOD(O283,1)&lt;&gt;0),"Stock mínimo inválido","")),IF(P283="","Falta unidad",IF(COUNTIF(UnidadesLista,P283)=0,"Unidad inválida","")),IF(AND(K283&lt;&gt;"",COUNTIF(ProveedoresLista,K283)=0),"Proveedor no catalogado",""),IF(X283="","Falta cantidad contada",IF(OR(NOT(ISNUMBER(X283)),X283&lt;0,ABS(X283*1000-ROUND(X283*1000,0))&gt;0.0000001),"Cantidad inválida",IF(AND(Q283="NO",MOD(X283,1)&lt;&gt;0),"Cantidad fraccionaria no permitida",""))),IF(AND(R283="SI",OR(NOT(ISNUMBER(S283)),S283&lt;1,MOD(S283,1)&lt;&gt;0)),"Empaque inválido",""),IF(OR(AND(AF283="",AG283="ESCANEADO"),AND(AF283&lt;&gt;"",AG283&lt;&gt;"ESCANEADO")),"Barcode/estado inconsistente",""),IF(AK283&lt;&gt;"",AK283,"")))</f>
        <v/>
      </c>
      <c r="AJ283" s="21" t="n"/>
      <c r="AK283" s="17">
        <f>IF(G283="","",IF(OR(COUNTIFS($G$5:$G$445,G283,$I$5:$I$445,I283,$J$5:$J$445,J283,$P$5:$P$445,P283)&gt;1,AND(AF283&lt;&gt;"",COUNTIF($AF$5:$AF$445,AF283)&gt;1)),"REVISAR_POSIBLE_DUPLICADO",""))</f>
        <v/>
      </c>
    </row>
    <row r="284">
      <c r="A284" s="17" t="inlineStr">
        <is>
          <t>bddcce07-6212-533c-9a48-ade281ce78d9</t>
        </is>
      </c>
      <c r="B284" s="18" t="inlineStr">
        <is>
          <t>NUEVO</t>
        </is>
      </c>
      <c r="C284" s="18" t="inlineStr">
        <is>
          <t>ACTIVO</t>
        </is>
      </c>
      <c r="D284" s="18" t="n"/>
      <c r="E284" s="17" t="n"/>
      <c r="F284" s="17" t="n"/>
      <c r="G284" s="19" t="n"/>
      <c r="H284" s="19" t="n"/>
      <c r="I284" s="20" t="n"/>
      <c r="J284" s="20" t="n"/>
      <c r="K284" s="21" t="n"/>
      <c r="L284" s="18" t="n"/>
      <c r="M284" s="22" t="n"/>
      <c r="N284" s="22" t="n"/>
      <c r="O284" s="23" t="n">
        <v>10</v>
      </c>
      <c r="P284" s="24" t="inlineStr">
        <is>
          <t>UNIDAD</t>
        </is>
      </c>
      <c r="Q284" s="20" t="inlineStr">
        <is>
          <t>NO</t>
        </is>
      </c>
      <c r="R284" s="20" t="inlineStr">
        <is>
          <t>NO</t>
        </is>
      </c>
      <c r="S284" s="25" t="n">
        <v>1</v>
      </c>
      <c r="T284" s="20" t="inlineStr">
        <is>
          <t>NO</t>
        </is>
      </c>
      <c r="U284" s="20" t="n"/>
      <c r="V284" s="21" t="n"/>
      <c r="W284" s="26" t="n"/>
      <c r="X284" s="27" t="n"/>
      <c r="Y284" s="20" t="n"/>
      <c r="Z284" s="20" t="n"/>
      <c r="AA284" s="26">
        <f>IF(X284="","",X284-IF(W284="",0,W284))</f>
        <v/>
      </c>
      <c r="AB284" s="28">
        <f>IF(OR(X284="",M284=""),"",X284*M284)</f>
        <v/>
      </c>
      <c r="AC284" s="28">
        <f>IF(OR(X284="",N284=""),"",X284*N284)</f>
        <v/>
      </c>
      <c r="AD284" s="28">
        <f>IF(OR(M284="",N284=""),"",N284-M284)</f>
        <v/>
      </c>
      <c r="AE284" s="29">
        <f>IFERROR(IF(M284&gt;0,(N284-M284)/M284,""),"")</f>
        <v/>
      </c>
      <c r="AF284" s="30" t="n"/>
      <c r="AG284" s="30" t="inlineStr">
        <is>
          <t>PENDIENTE</t>
        </is>
      </c>
      <c r="AH284" s="18">
        <f>IF(NOT(OR(B284="EXISTENTE",COUNTA(G284,H284,I284,J284,K284,M284,N284,U284,V284,X284,Y284,Z284,AF284,AJ284)&gt;0)),"",IF(AK284&lt;&gt;"","REVISAR",IF(OR(G284="",H284="",M284="",N284="",O284="",P284="",X284=""),"INCOMPLETO",IF(AI284&lt;&gt;"","REVISAR",IF(AND(AF284&lt;&gt;"",AG284="ESCANEADO"),"LISTO_COMPLETO","LISTO_SIN_BARCODE")))))</f>
        <v/>
      </c>
      <c r="AI284" s="17">
        <f>IF(NOT(OR(B284="EXISTENTE",COUNTA(G284,H284,I284,J284,K284,M284,N284,U284,V284,X284,Y284,Z284,AF284,AJ284)&gt;0)),"",TEXTJOIN(" | ",TRUE,IF(A284="","Falta ID staging",""),IF(COUNTIF($A$5:$A$445,A284)&gt;1,"ID staging duplicado",""),IF(G284="","Falta nombre",""),IF(LEN(G284)&gt;150,"Nombre &gt;150 caracteres",""),IF(H284="","Falta categoría",IF(COUNTIF(CategoriasLista,H284)=0,"Categoría inválida","")),IF(M284="","Falta precio compra",IF(OR(NOT(ISNUMBER(M284)),M284&lt;0),"Precio compra inválido","")),IF(N284="","Falta precio venta",IF(OR(NOT(ISNUMBER(N284)),N284&lt;=0,N284&lt;M284),"Precio venta inválido","")),IF(O284="","Falta stock mínimo",IF(OR(NOT(ISNUMBER(O284)),O284&lt;0,MOD(O284,1)&lt;&gt;0),"Stock mínimo inválido","")),IF(P284="","Falta unidad",IF(COUNTIF(UnidadesLista,P284)=0,"Unidad inválida","")),IF(AND(K284&lt;&gt;"",COUNTIF(ProveedoresLista,K284)=0),"Proveedor no catalogado",""),IF(X284="","Falta cantidad contada",IF(OR(NOT(ISNUMBER(X284)),X284&lt;0,ABS(X284*1000-ROUND(X284*1000,0))&gt;0.0000001),"Cantidad inválida",IF(AND(Q284="NO",MOD(X284,1)&lt;&gt;0),"Cantidad fraccionaria no permitida",""))),IF(AND(R284="SI",OR(NOT(ISNUMBER(S284)),S284&lt;1,MOD(S284,1)&lt;&gt;0)),"Empaque inválido",""),IF(OR(AND(AF284="",AG284="ESCANEADO"),AND(AF284&lt;&gt;"",AG284&lt;&gt;"ESCANEADO")),"Barcode/estado inconsistente",""),IF(AK284&lt;&gt;"",AK284,"")))</f>
        <v/>
      </c>
      <c r="AJ284" s="21" t="n"/>
      <c r="AK284" s="17">
        <f>IF(G284="","",IF(OR(COUNTIFS($G$5:$G$445,G284,$I$5:$I$445,I284,$J$5:$J$445,J284,$P$5:$P$445,P284)&gt;1,AND(AF284&lt;&gt;"",COUNTIF($AF$5:$AF$445,AF284)&gt;1)),"REVISAR_POSIBLE_DUPLICADO",""))</f>
        <v/>
      </c>
    </row>
    <row r="285">
      <c r="A285" s="17" t="inlineStr">
        <is>
          <t>e0015a4c-110b-5d20-b6df-4889ddf47082</t>
        </is>
      </c>
      <c r="B285" s="18" t="inlineStr">
        <is>
          <t>NUEVO</t>
        </is>
      </c>
      <c r="C285" s="18" t="inlineStr">
        <is>
          <t>ACTIVO</t>
        </is>
      </c>
      <c r="D285" s="18" t="n"/>
      <c r="E285" s="17" t="n"/>
      <c r="F285" s="17" t="n"/>
      <c r="G285" s="19" t="n"/>
      <c r="H285" s="19" t="n"/>
      <c r="I285" s="20" t="n"/>
      <c r="J285" s="20" t="n"/>
      <c r="K285" s="21" t="n"/>
      <c r="L285" s="18" t="n"/>
      <c r="M285" s="22" t="n"/>
      <c r="N285" s="22" t="n"/>
      <c r="O285" s="23" t="n">
        <v>10</v>
      </c>
      <c r="P285" s="24" t="inlineStr">
        <is>
          <t>UNIDAD</t>
        </is>
      </c>
      <c r="Q285" s="20" t="inlineStr">
        <is>
          <t>NO</t>
        </is>
      </c>
      <c r="R285" s="20" t="inlineStr">
        <is>
          <t>NO</t>
        </is>
      </c>
      <c r="S285" s="25" t="n">
        <v>1</v>
      </c>
      <c r="T285" s="20" t="inlineStr">
        <is>
          <t>NO</t>
        </is>
      </c>
      <c r="U285" s="20" t="n"/>
      <c r="V285" s="21" t="n"/>
      <c r="W285" s="26" t="n"/>
      <c r="X285" s="27" t="n"/>
      <c r="Y285" s="20" t="n"/>
      <c r="Z285" s="20" t="n"/>
      <c r="AA285" s="26">
        <f>IF(X285="","",X285-IF(W285="",0,W285))</f>
        <v/>
      </c>
      <c r="AB285" s="28">
        <f>IF(OR(X285="",M285=""),"",X285*M285)</f>
        <v/>
      </c>
      <c r="AC285" s="28">
        <f>IF(OR(X285="",N285=""),"",X285*N285)</f>
        <v/>
      </c>
      <c r="AD285" s="28">
        <f>IF(OR(M285="",N285=""),"",N285-M285)</f>
        <v/>
      </c>
      <c r="AE285" s="29">
        <f>IFERROR(IF(M285&gt;0,(N285-M285)/M285,""),"")</f>
        <v/>
      </c>
      <c r="AF285" s="30" t="n"/>
      <c r="AG285" s="30" t="inlineStr">
        <is>
          <t>PENDIENTE</t>
        </is>
      </c>
      <c r="AH285" s="18">
        <f>IF(NOT(OR(B285="EXISTENTE",COUNTA(G285,H285,I285,J285,K285,M285,N285,U285,V285,X285,Y285,Z285,AF285,AJ285)&gt;0)),"",IF(AK285&lt;&gt;"","REVISAR",IF(OR(G285="",H285="",M285="",N285="",O285="",P285="",X285=""),"INCOMPLETO",IF(AI285&lt;&gt;"","REVISAR",IF(AND(AF285&lt;&gt;"",AG285="ESCANEADO"),"LISTO_COMPLETO","LISTO_SIN_BARCODE")))))</f>
        <v/>
      </c>
      <c r="AI285" s="17">
        <f>IF(NOT(OR(B285="EXISTENTE",COUNTA(G285,H285,I285,J285,K285,M285,N285,U285,V285,X285,Y285,Z285,AF285,AJ285)&gt;0)),"",TEXTJOIN(" | ",TRUE,IF(A285="","Falta ID staging",""),IF(COUNTIF($A$5:$A$445,A285)&gt;1,"ID staging duplicado",""),IF(G285="","Falta nombre",""),IF(LEN(G285)&gt;150,"Nombre &gt;150 caracteres",""),IF(H285="","Falta categoría",IF(COUNTIF(CategoriasLista,H285)=0,"Categoría inválida","")),IF(M285="","Falta precio compra",IF(OR(NOT(ISNUMBER(M285)),M285&lt;0),"Precio compra inválido","")),IF(N285="","Falta precio venta",IF(OR(NOT(ISNUMBER(N285)),N285&lt;=0,N285&lt;M285),"Precio venta inválido","")),IF(O285="","Falta stock mínimo",IF(OR(NOT(ISNUMBER(O285)),O285&lt;0,MOD(O285,1)&lt;&gt;0),"Stock mínimo inválido","")),IF(P285="","Falta unidad",IF(COUNTIF(UnidadesLista,P285)=0,"Unidad inválida","")),IF(AND(K285&lt;&gt;"",COUNTIF(ProveedoresLista,K285)=0),"Proveedor no catalogado",""),IF(X285="","Falta cantidad contada",IF(OR(NOT(ISNUMBER(X285)),X285&lt;0,ABS(X285*1000-ROUND(X285*1000,0))&gt;0.0000001),"Cantidad inválida",IF(AND(Q285="NO",MOD(X285,1)&lt;&gt;0),"Cantidad fraccionaria no permitida",""))),IF(AND(R285="SI",OR(NOT(ISNUMBER(S285)),S285&lt;1,MOD(S285,1)&lt;&gt;0)),"Empaque inválido",""),IF(OR(AND(AF285="",AG285="ESCANEADO"),AND(AF285&lt;&gt;"",AG285&lt;&gt;"ESCANEADO")),"Barcode/estado inconsistente",""),IF(AK285&lt;&gt;"",AK285,"")))</f>
        <v/>
      </c>
      <c r="AJ285" s="21" t="n"/>
      <c r="AK285" s="17">
        <f>IF(G285="","",IF(OR(COUNTIFS($G$5:$G$445,G285,$I$5:$I$445,I285,$J$5:$J$445,J285,$P$5:$P$445,P285)&gt;1,AND(AF285&lt;&gt;"",COUNTIF($AF$5:$AF$445,AF285)&gt;1)),"REVISAR_POSIBLE_DUPLICADO",""))</f>
        <v/>
      </c>
    </row>
    <row r="286">
      <c r="A286" s="17" t="inlineStr">
        <is>
          <t>2a735015-7258-5295-8e5b-89267c9d96ff</t>
        </is>
      </c>
      <c r="B286" s="18" t="inlineStr">
        <is>
          <t>NUEVO</t>
        </is>
      </c>
      <c r="C286" s="18" t="inlineStr">
        <is>
          <t>ACTIVO</t>
        </is>
      </c>
      <c r="D286" s="18" t="n"/>
      <c r="E286" s="17" t="n"/>
      <c r="F286" s="17" t="n"/>
      <c r="G286" s="19" t="n"/>
      <c r="H286" s="19" t="n"/>
      <c r="I286" s="20" t="n"/>
      <c r="J286" s="20" t="n"/>
      <c r="K286" s="21" t="n"/>
      <c r="L286" s="18" t="n"/>
      <c r="M286" s="22" t="n"/>
      <c r="N286" s="22" t="n"/>
      <c r="O286" s="23" t="n">
        <v>10</v>
      </c>
      <c r="P286" s="24" t="inlineStr">
        <is>
          <t>UNIDAD</t>
        </is>
      </c>
      <c r="Q286" s="20" t="inlineStr">
        <is>
          <t>NO</t>
        </is>
      </c>
      <c r="R286" s="20" t="inlineStr">
        <is>
          <t>NO</t>
        </is>
      </c>
      <c r="S286" s="25" t="n">
        <v>1</v>
      </c>
      <c r="T286" s="20" t="inlineStr">
        <is>
          <t>NO</t>
        </is>
      </c>
      <c r="U286" s="20" t="n"/>
      <c r="V286" s="21" t="n"/>
      <c r="W286" s="26" t="n"/>
      <c r="X286" s="27" t="n"/>
      <c r="Y286" s="20" t="n"/>
      <c r="Z286" s="20" t="n"/>
      <c r="AA286" s="26">
        <f>IF(X286="","",X286-IF(W286="",0,W286))</f>
        <v/>
      </c>
      <c r="AB286" s="28">
        <f>IF(OR(X286="",M286=""),"",X286*M286)</f>
        <v/>
      </c>
      <c r="AC286" s="28">
        <f>IF(OR(X286="",N286=""),"",X286*N286)</f>
        <v/>
      </c>
      <c r="AD286" s="28">
        <f>IF(OR(M286="",N286=""),"",N286-M286)</f>
        <v/>
      </c>
      <c r="AE286" s="29">
        <f>IFERROR(IF(M286&gt;0,(N286-M286)/M286,""),"")</f>
        <v/>
      </c>
      <c r="AF286" s="30" t="n"/>
      <c r="AG286" s="30" t="inlineStr">
        <is>
          <t>PENDIENTE</t>
        </is>
      </c>
      <c r="AH286" s="18">
        <f>IF(NOT(OR(B286="EXISTENTE",COUNTA(G286,H286,I286,J286,K286,M286,N286,U286,V286,X286,Y286,Z286,AF286,AJ286)&gt;0)),"",IF(AK286&lt;&gt;"","REVISAR",IF(OR(G286="",H286="",M286="",N286="",O286="",P286="",X286=""),"INCOMPLETO",IF(AI286&lt;&gt;"","REVISAR",IF(AND(AF286&lt;&gt;"",AG286="ESCANEADO"),"LISTO_COMPLETO","LISTO_SIN_BARCODE")))))</f>
        <v/>
      </c>
      <c r="AI286" s="17">
        <f>IF(NOT(OR(B286="EXISTENTE",COUNTA(G286,H286,I286,J286,K286,M286,N286,U286,V286,X286,Y286,Z286,AF286,AJ286)&gt;0)),"",TEXTJOIN(" | ",TRUE,IF(A286="","Falta ID staging",""),IF(COUNTIF($A$5:$A$445,A286)&gt;1,"ID staging duplicado",""),IF(G286="","Falta nombre",""),IF(LEN(G286)&gt;150,"Nombre &gt;150 caracteres",""),IF(H286="","Falta categoría",IF(COUNTIF(CategoriasLista,H286)=0,"Categoría inválida","")),IF(M286="","Falta precio compra",IF(OR(NOT(ISNUMBER(M286)),M286&lt;0),"Precio compra inválido","")),IF(N286="","Falta precio venta",IF(OR(NOT(ISNUMBER(N286)),N286&lt;=0,N286&lt;M286),"Precio venta inválido","")),IF(O286="","Falta stock mínimo",IF(OR(NOT(ISNUMBER(O286)),O286&lt;0,MOD(O286,1)&lt;&gt;0),"Stock mínimo inválido","")),IF(P286="","Falta unidad",IF(COUNTIF(UnidadesLista,P286)=0,"Unidad inválida","")),IF(AND(K286&lt;&gt;"",COUNTIF(ProveedoresLista,K286)=0),"Proveedor no catalogado",""),IF(X286="","Falta cantidad contada",IF(OR(NOT(ISNUMBER(X286)),X286&lt;0,ABS(X286*1000-ROUND(X286*1000,0))&gt;0.0000001),"Cantidad inválida",IF(AND(Q286="NO",MOD(X286,1)&lt;&gt;0),"Cantidad fraccionaria no permitida",""))),IF(AND(R286="SI",OR(NOT(ISNUMBER(S286)),S286&lt;1,MOD(S286,1)&lt;&gt;0)),"Empaque inválido",""),IF(OR(AND(AF286="",AG286="ESCANEADO"),AND(AF286&lt;&gt;"",AG286&lt;&gt;"ESCANEADO")),"Barcode/estado inconsistente",""),IF(AK286&lt;&gt;"",AK286,"")))</f>
        <v/>
      </c>
      <c r="AJ286" s="21" t="n"/>
      <c r="AK286" s="17">
        <f>IF(G286="","",IF(OR(COUNTIFS($G$5:$G$445,G286,$I$5:$I$445,I286,$J$5:$J$445,J286,$P$5:$P$445,P286)&gt;1,AND(AF286&lt;&gt;"",COUNTIF($AF$5:$AF$445,AF286)&gt;1)),"REVISAR_POSIBLE_DUPLICADO",""))</f>
        <v/>
      </c>
    </row>
    <row r="287">
      <c r="A287" s="17" t="inlineStr">
        <is>
          <t>957c0a0b-13de-5596-b082-993ebfd0c785</t>
        </is>
      </c>
      <c r="B287" s="18" t="inlineStr">
        <is>
          <t>NUEVO</t>
        </is>
      </c>
      <c r="C287" s="18" t="inlineStr">
        <is>
          <t>ACTIVO</t>
        </is>
      </c>
      <c r="D287" s="18" t="n"/>
      <c r="E287" s="17" t="n"/>
      <c r="F287" s="17" t="n"/>
      <c r="G287" s="19" t="n"/>
      <c r="H287" s="19" t="n"/>
      <c r="I287" s="20" t="n"/>
      <c r="J287" s="20" t="n"/>
      <c r="K287" s="21" t="n"/>
      <c r="L287" s="18" t="n"/>
      <c r="M287" s="22" t="n"/>
      <c r="N287" s="22" t="n"/>
      <c r="O287" s="23" t="n">
        <v>10</v>
      </c>
      <c r="P287" s="24" t="inlineStr">
        <is>
          <t>UNIDAD</t>
        </is>
      </c>
      <c r="Q287" s="20" t="inlineStr">
        <is>
          <t>NO</t>
        </is>
      </c>
      <c r="R287" s="20" t="inlineStr">
        <is>
          <t>NO</t>
        </is>
      </c>
      <c r="S287" s="25" t="n">
        <v>1</v>
      </c>
      <c r="T287" s="20" t="inlineStr">
        <is>
          <t>NO</t>
        </is>
      </c>
      <c r="U287" s="20" t="n"/>
      <c r="V287" s="21" t="n"/>
      <c r="W287" s="26" t="n"/>
      <c r="X287" s="27" t="n"/>
      <c r="Y287" s="20" t="n"/>
      <c r="Z287" s="20" t="n"/>
      <c r="AA287" s="26">
        <f>IF(X287="","",X287-IF(W287="",0,W287))</f>
        <v/>
      </c>
      <c r="AB287" s="28">
        <f>IF(OR(X287="",M287=""),"",X287*M287)</f>
        <v/>
      </c>
      <c r="AC287" s="28">
        <f>IF(OR(X287="",N287=""),"",X287*N287)</f>
        <v/>
      </c>
      <c r="AD287" s="28">
        <f>IF(OR(M287="",N287=""),"",N287-M287)</f>
        <v/>
      </c>
      <c r="AE287" s="29">
        <f>IFERROR(IF(M287&gt;0,(N287-M287)/M287,""),"")</f>
        <v/>
      </c>
      <c r="AF287" s="30" t="n"/>
      <c r="AG287" s="30" t="inlineStr">
        <is>
          <t>PENDIENTE</t>
        </is>
      </c>
      <c r="AH287" s="18">
        <f>IF(NOT(OR(B287="EXISTENTE",COUNTA(G287,H287,I287,J287,K287,M287,N287,U287,V287,X287,Y287,Z287,AF287,AJ287)&gt;0)),"",IF(AK287&lt;&gt;"","REVISAR",IF(OR(G287="",H287="",M287="",N287="",O287="",P287="",X287=""),"INCOMPLETO",IF(AI287&lt;&gt;"","REVISAR",IF(AND(AF287&lt;&gt;"",AG287="ESCANEADO"),"LISTO_COMPLETO","LISTO_SIN_BARCODE")))))</f>
        <v/>
      </c>
      <c r="AI287" s="17">
        <f>IF(NOT(OR(B287="EXISTENTE",COUNTA(G287,H287,I287,J287,K287,M287,N287,U287,V287,X287,Y287,Z287,AF287,AJ287)&gt;0)),"",TEXTJOIN(" | ",TRUE,IF(A287="","Falta ID staging",""),IF(COUNTIF($A$5:$A$445,A287)&gt;1,"ID staging duplicado",""),IF(G287="","Falta nombre",""),IF(LEN(G287)&gt;150,"Nombre &gt;150 caracteres",""),IF(H287="","Falta categoría",IF(COUNTIF(CategoriasLista,H287)=0,"Categoría inválida","")),IF(M287="","Falta precio compra",IF(OR(NOT(ISNUMBER(M287)),M287&lt;0),"Precio compra inválido","")),IF(N287="","Falta precio venta",IF(OR(NOT(ISNUMBER(N287)),N287&lt;=0,N287&lt;M287),"Precio venta inválido","")),IF(O287="","Falta stock mínimo",IF(OR(NOT(ISNUMBER(O287)),O287&lt;0,MOD(O287,1)&lt;&gt;0),"Stock mínimo inválido","")),IF(P287="","Falta unidad",IF(COUNTIF(UnidadesLista,P287)=0,"Unidad inválida","")),IF(AND(K287&lt;&gt;"",COUNTIF(ProveedoresLista,K287)=0),"Proveedor no catalogado",""),IF(X287="","Falta cantidad contada",IF(OR(NOT(ISNUMBER(X287)),X287&lt;0,ABS(X287*1000-ROUND(X287*1000,0))&gt;0.0000001),"Cantidad inválida",IF(AND(Q287="NO",MOD(X287,1)&lt;&gt;0),"Cantidad fraccionaria no permitida",""))),IF(AND(R287="SI",OR(NOT(ISNUMBER(S287)),S287&lt;1,MOD(S287,1)&lt;&gt;0)),"Empaque inválido",""),IF(OR(AND(AF287="",AG287="ESCANEADO"),AND(AF287&lt;&gt;"",AG287&lt;&gt;"ESCANEADO")),"Barcode/estado inconsistente",""),IF(AK287&lt;&gt;"",AK287,"")))</f>
        <v/>
      </c>
      <c r="AJ287" s="21" t="n"/>
      <c r="AK287" s="17">
        <f>IF(G287="","",IF(OR(COUNTIFS($G$5:$G$445,G287,$I$5:$I$445,I287,$J$5:$J$445,J287,$P$5:$P$445,P287)&gt;1,AND(AF287&lt;&gt;"",COUNTIF($AF$5:$AF$445,AF287)&gt;1)),"REVISAR_POSIBLE_DUPLICADO",""))</f>
        <v/>
      </c>
    </row>
    <row r="288">
      <c r="A288" s="17" t="inlineStr">
        <is>
          <t>c4b213fa-83f9-58bc-bfec-b4956164f05b</t>
        </is>
      </c>
      <c r="B288" s="18" t="inlineStr">
        <is>
          <t>NUEVO</t>
        </is>
      </c>
      <c r="C288" s="18" t="inlineStr">
        <is>
          <t>ACTIVO</t>
        </is>
      </c>
      <c r="D288" s="18" t="n"/>
      <c r="E288" s="17" t="n"/>
      <c r="F288" s="17" t="n"/>
      <c r="G288" s="19" t="n"/>
      <c r="H288" s="19" t="n"/>
      <c r="I288" s="20" t="n"/>
      <c r="J288" s="20" t="n"/>
      <c r="K288" s="21" t="n"/>
      <c r="L288" s="18" t="n"/>
      <c r="M288" s="22" t="n"/>
      <c r="N288" s="22" t="n"/>
      <c r="O288" s="23" t="n">
        <v>10</v>
      </c>
      <c r="P288" s="24" t="inlineStr">
        <is>
          <t>UNIDAD</t>
        </is>
      </c>
      <c r="Q288" s="20" t="inlineStr">
        <is>
          <t>NO</t>
        </is>
      </c>
      <c r="R288" s="20" t="inlineStr">
        <is>
          <t>NO</t>
        </is>
      </c>
      <c r="S288" s="25" t="n">
        <v>1</v>
      </c>
      <c r="T288" s="20" t="inlineStr">
        <is>
          <t>NO</t>
        </is>
      </c>
      <c r="U288" s="20" t="n"/>
      <c r="V288" s="21" t="n"/>
      <c r="W288" s="26" t="n"/>
      <c r="X288" s="27" t="n"/>
      <c r="Y288" s="20" t="n"/>
      <c r="Z288" s="20" t="n"/>
      <c r="AA288" s="26">
        <f>IF(X288="","",X288-IF(W288="",0,W288))</f>
        <v/>
      </c>
      <c r="AB288" s="28">
        <f>IF(OR(X288="",M288=""),"",X288*M288)</f>
        <v/>
      </c>
      <c r="AC288" s="28">
        <f>IF(OR(X288="",N288=""),"",X288*N288)</f>
        <v/>
      </c>
      <c r="AD288" s="28">
        <f>IF(OR(M288="",N288=""),"",N288-M288)</f>
        <v/>
      </c>
      <c r="AE288" s="29">
        <f>IFERROR(IF(M288&gt;0,(N288-M288)/M288,""),"")</f>
        <v/>
      </c>
      <c r="AF288" s="30" t="n"/>
      <c r="AG288" s="30" t="inlineStr">
        <is>
          <t>PENDIENTE</t>
        </is>
      </c>
      <c r="AH288" s="18">
        <f>IF(NOT(OR(B288="EXISTENTE",COUNTA(G288,H288,I288,J288,K288,M288,N288,U288,V288,X288,Y288,Z288,AF288,AJ288)&gt;0)),"",IF(AK288&lt;&gt;"","REVISAR",IF(OR(G288="",H288="",M288="",N288="",O288="",P288="",X288=""),"INCOMPLETO",IF(AI288&lt;&gt;"","REVISAR",IF(AND(AF288&lt;&gt;"",AG288="ESCANEADO"),"LISTO_COMPLETO","LISTO_SIN_BARCODE")))))</f>
        <v/>
      </c>
      <c r="AI288" s="17">
        <f>IF(NOT(OR(B288="EXISTENTE",COUNTA(G288,H288,I288,J288,K288,M288,N288,U288,V288,X288,Y288,Z288,AF288,AJ288)&gt;0)),"",TEXTJOIN(" | ",TRUE,IF(A288="","Falta ID staging",""),IF(COUNTIF($A$5:$A$445,A288)&gt;1,"ID staging duplicado",""),IF(G288="","Falta nombre",""),IF(LEN(G288)&gt;150,"Nombre &gt;150 caracteres",""),IF(H288="","Falta categoría",IF(COUNTIF(CategoriasLista,H288)=0,"Categoría inválida","")),IF(M288="","Falta precio compra",IF(OR(NOT(ISNUMBER(M288)),M288&lt;0),"Precio compra inválido","")),IF(N288="","Falta precio venta",IF(OR(NOT(ISNUMBER(N288)),N288&lt;=0,N288&lt;M288),"Precio venta inválido","")),IF(O288="","Falta stock mínimo",IF(OR(NOT(ISNUMBER(O288)),O288&lt;0,MOD(O288,1)&lt;&gt;0),"Stock mínimo inválido","")),IF(P288="","Falta unidad",IF(COUNTIF(UnidadesLista,P288)=0,"Unidad inválida","")),IF(AND(K288&lt;&gt;"",COUNTIF(ProveedoresLista,K288)=0),"Proveedor no catalogado",""),IF(X288="","Falta cantidad contada",IF(OR(NOT(ISNUMBER(X288)),X288&lt;0,ABS(X288*1000-ROUND(X288*1000,0))&gt;0.0000001),"Cantidad inválida",IF(AND(Q288="NO",MOD(X288,1)&lt;&gt;0),"Cantidad fraccionaria no permitida",""))),IF(AND(R288="SI",OR(NOT(ISNUMBER(S288)),S288&lt;1,MOD(S288,1)&lt;&gt;0)),"Empaque inválido",""),IF(OR(AND(AF288="",AG288="ESCANEADO"),AND(AF288&lt;&gt;"",AG288&lt;&gt;"ESCANEADO")),"Barcode/estado inconsistente",""),IF(AK288&lt;&gt;"",AK288,"")))</f>
        <v/>
      </c>
      <c r="AJ288" s="21" t="n"/>
      <c r="AK288" s="17">
        <f>IF(G288="","",IF(OR(COUNTIFS($G$5:$G$445,G288,$I$5:$I$445,I288,$J$5:$J$445,J288,$P$5:$P$445,P288)&gt;1,AND(AF288&lt;&gt;"",COUNTIF($AF$5:$AF$445,AF288)&gt;1)),"REVISAR_POSIBLE_DUPLICADO",""))</f>
        <v/>
      </c>
    </row>
    <row r="289">
      <c r="A289" s="17" t="inlineStr">
        <is>
          <t>188f7c29-5827-504c-b670-12f02045286e</t>
        </is>
      </c>
      <c r="B289" s="18" t="inlineStr">
        <is>
          <t>NUEVO</t>
        </is>
      </c>
      <c r="C289" s="18" t="inlineStr">
        <is>
          <t>ACTIVO</t>
        </is>
      </c>
      <c r="D289" s="18" t="n"/>
      <c r="E289" s="17" t="n"/>
      <c r="F289" s="17" t="n"/>
      <c r="G289" s="19" t="n"/>
      <c r="H289" s="19" t="n"/>
      <c r="I289" s="20" t="n"/>
      <c r="J289" s="20" t="n"/>
      <c r="K289" s="21" t="n"/>
      <c r="L289" s="18" t="n"/>
      <c r="M289" s="22" t="n"/>
      <c r="N289" s="22" t="n"/>
      <c r="O289" s="23" t="n">
        <v>10</v>
      </c>
      <c r="P289" s="24" t="inlineStr">
        <is>
          <t>UNIDAD</t>
        </is>
      </c>
      <c r="Q289" s="20" t="inlineStr">
        <is>
          <t>NO</t>
        </is>
      </c>
      <c r="R289" s="20" t="inlineStr">
        <is>
          <t>NO</t>
        </is>
      </c>
      <c r="S289" s="25" t="n">
        <v>1</v>
      </c>
      <c r="T289" s="20" t="inlineStr">
        <is>
          <t>NO</t>
        </is>
      </c>
      <c r="U289" s="20" t="n"/>
      <c r="V289" s="21" t="n"/>
      <c r="W289" s="26" t="n"/>
      <c r="X289" s="27" t="n"/>
      <c r="Y289" s="20" t="n"/>
      <c r="Z289" s="20" t="n"/>
      <c r="AA289" s="26">
        <f>IF(X289="","",X289-IF(W289="",0,W289))</f>
        <v/>
      </c>
      <c r="AB289" s="28">
        <f>IF(OR(X289="",M289=""),"",X289*M289)</f>
        <v/>
      </c>
      <c r="AC289" s="28">
        <f>IF(OR(X289="",N289=""),"",X289*N289)</f>
        <v/>
      </c>
      <c r="AD289" s="28">
        <f>IF(OR(M289="",N289=""),"",N289-M289)</f>
        <v/>
      </c>
      <c r="AE289" s="29">
        <f>IFERROR(IF(M289&gt;0,(N289-M289)/M289,""),"")</f>
        <v/>
      </c>
      <c r="AF289" s="30" t="n"/>
      <c r="AG289" s="30" t="inlineStr">
        <is>
          <t>PENDIENTE</t>
        </is>
      </c>
      <c r="AH289" s="18">
        <f>IF(NOT(OR(B289="EXISTENTE",COUNTA(G289,H289,I289,J289,K289,M289,N289,U289,V289,X289,Y289,Z289,AF289,AJ289)&gt;0)),"",IF(AK289&lt;&gt;"","REVISAR",IF(OR(G289="",H289="",M289="",N289="",O289="",P289="",X289=""),"INCOMPLETO",IF(AI289&lt;&gt;"","REVISAR",IF(AND(AF289&lt;&gt;"",AG289="ESCANEADO"),"LISTO_COMPLETO","LISTO_SIN_BARCODE")))))</f>
        <v/>
      </c>
      <c r="AI289" s="17">
        <f>IF(NOT(OR(B289="EXISTENTE",COUNTA(G289,H289,I289,J289,K289,M289,N289,U289,V289,X289,Y289,Z289,AF289,AJ289)&gt;0)),"",TEXTJOIN(" | ",TRUE,IF(A289="","Falta ID staging",""),IF(COUNTIF($A$5:$A$445,A289)&gt;1,"ID staging duplicado",""),IF(G289="","Falta nombre",""),IF(LEN(G289)&gt;150,"Nombre &gt;150 caracteres",""),IF(H289="","Falta categoría",IF(COUNTIF(CategoriasLista,H289)=0,"Categoría inválida","")),IF(M289="","Falta precio compra",IF(OR(NOT(ISNUMBER(M289)),M289&lt;0),"Precio compra inválido","")),IF(N289="","Falta precio venta",IF(OR(NOT(ISNUMBER(N289)),N289&lt;=0,N289&lt;M289),"Precio venta inválido","")),IF(O289="","Falta stock mínimo",IF(OR(NOT(ISNUMBER(O289)),O289&lt;0,MOD(O289,1)&lt;&gt;0),"Stock mínimo inválido","")),IF(P289="","Falta unidad",IF(COUNTIF(UnidadesLista,P289)=0,"Unidad inválida","")),IF(AND(K289&lt;&gt;"",COUNTIF(ProveedoresLista,K289)=0),"Proveedor no catalogado",""),IF(X289="","Falta cantidad contada",IF(OR(NOT(ISNUMBER(X289)),X289&lt;0,ABS(X289*1000-ROUND(X289*1000,0))&gt;0.0000001),"Cantidad inválida",IF(AND(Q289="NO",MOD(X289,1)&lt;&gt;0),"Cantidad fraccionaria no permitida",""))),IF(AND(R289="SI",OR(NOT(ISNUMBER(S289)),S289&lt;1,MOD(S289,1)&lt;&gt;0)),"Empaque inválido",""),IF(OR(AND(AF289="",AG289="ESCANEADO"),AND(AF289&lt;&gt;"",AG289&lt;&gt;"ESCANEADO")),"Barcode/estado inconsistente",""),IF(AK289&lt;&gt;"",AK289,"")))</f>
        <v/>
      </c>
      <c r="AJ289" s="21" t="n"/>
      <c r="AK289" s="17">
        <f>IF(G289="","",IF(OR(COUNTIFS($G$5:$G$445,G289,$I$5:$I$445,I289,$J$5:$J$445,J289,$P$5:$P$445,P289)&gt;1,AND(AF289&lt;&gt;"",COUNTIF($AF$5:$AF$445,AF289)&gt;1)),"REVISAR_POSIBLE_DUPLICADO",""))</f>
        <v/>
      </c>
    </row>
    <row r="290">
      <c r="A290" s="17" t="inlineStr">
        <is>
          <t>4272400d-9840-5a5b-9b05-a86c7ed79838</t>
        </is>
      </c>
      <c r="B290" s="18" t="inlineStr">
        <is>
          <t>NUEVO</t>
        </is>
      </c>
      <c r="C290" s="18" t="inlineStr">
        <is>
          <t>ACTIVO</t>
        </is>
      </c>
      <c r="D290" s="18" t="n"/>
      <c r="E290" s="17" t="n"/>
      <c r="F290" s="17" t="n"/>
      <c r="G290" s="19" t="n"/>
      <c r="H290" s="19" t="n"/>
      <c r="I290" s="20" t="n"/>
      <c r="J290" s="20" t="n"/>
      <c r="K290" s="21" t="n"/>
      <c r="L290" s="18" t="n"/>
      <c r="M290" s="22" t="n"/>
      <c r="N290" s="22" t="n"/>
      <c r="O290" s="23" t="n">
        <v>10</v>
      </c>
      <c r="P290" s="24" t="inlineStr">
        <is>
          <t>UNIDAD</t>
        </is>
      </c>
      <c r="Q290" s="20" t="inlineStr">
        <is>
          <t>NO</t>
        </is>
      </c>
      <c r="R290" s="20" t="inlineStr">
        <is>
          <t>NO</t>
        </is>
      </c>
      <c r="S290" s="25" t="n">
        <v>1</v>
      </c>
      <c r="T290" s="20" t="inlineStr">
        <is>
          <t>NO</t>
        </is>
      </c>
      <c r="U290" s="20" t="n"/>
      <c r="V290" s="21" t="n"/>
      <c r="W290" s="26" t="n"/>
      <c r="X290" s="27" t="n"/>
      <c r="Y290" s="20" t="n"/>
      <c r="Z290" s="20" t="n"/>
      <c r="AA290" s="26">
        <f>IF(X290="","",X290-IF(W290="",0,W290))</f>
        <v/>
      </c>
      <c r="AB290" s="28">
        <f>IF(OR(X290="",M290=""),"",X290*M290)</f>
        <v/>
      </c>
      <c r="AC290" s="28">
        <f>IF(OR(X290="",N290=""),"",X290*N290)</f>
        <v/>
      </c>
      <c r="AD290" s="28">
        <f>IF(OR(M290="",N290=""),"",N290-M290)</f>
        <v/>
      </c>
      <c r="AE290" s="29">
        <f>IFERROR(IF(M290&gt;0,(N290-M290)/M290,""),"")</f>
        <v/>
      </c>
      <c r="AF290" s="30" t="n"/>
      <c r="AG290" s="30" t="inlineStr">
        <is>
          <t>PENDIENTE</t>
        </is>
      </c>
      <c r="AH290" s="18">
        <f>IF(NOT(OR(B290="EXISTENTE",COUNTA(G290,H290,I290,J290,K290,M290,N290,U290,V290,X290,Y290,Z290,AF290,AJ290)&gt;0)),"",IF(AK290&lt;&gt;"","REVISAR",IF(OR(G290="",H290="",M290="",N290="",O290="",P290="",X290=""),"INCOMPLETO",IF(AI290&lt;&gt;"","REVISAR",IF(AND(AF290&lt;&gt;"",AG290="ESCANEADO"),"LISTO_COMPLETO","LISTO_SIN_BARCODE")))))</f>
        <v/>
      </c>
      <c r="AI290" s="17">
        <f>IF(NOT(OR(B290="EXISTENTE",COUNTA(G290,H290,I290,J290,K290,M290,N290,U290,V290,X290,Y290,Z290,AF290,AJ290)&gt;0)),"",TEXTJOIN(" | ",TRUE,IF(A290="","Falta ID staging",""),IF(COUNTIF($A$5:$A$445,A290)&gt;1,"ID staging duplicado",""),IF(G290="","Falta nombre",""),IF(LEN(G290)&gt;150,"Nombre &gt;150 caracteres",""),IF(H290="","Falta categoría",IF(COUNTIF(CategoriasLista,H290)=0,"Categoría inválida","")),IF(M290="","Falta precio compra",IF(OR(NOT(ISNUMBER(M290)),M290&lt;0),"Precio compra inválido","")),IF(N290="","Falta precio venta",IF(OR(NOT(ISNUMBER(N290)),N290&lt;=0,N290&lt;M290),"Precio venta inválido","")),IF(O290="","Falta stock mínimo",IF(OR(NOT(ISNUMBER(O290)),O290&lt;0,MOD(O290,1)&lt;&gt;0),"Stock mínimo inválido","")),IF(P290="","Falta unidad",IF(COUNTIF(UnidadesLista,P290)=0,"Unidad inválida","")),IF(AND(K290&lt;&gt;"",COUNTIF(ProveedoresLista,K290)=0),"Proveedor no catalogado",""),IF(X290="","Falta cantidad contada",IF(OR(NOT(ISNUMBER(X290)),X290&lt;0,ABS(X290*1000-ROUND(X290*1000,0))&gt;0.0000001),"Cantidad inválida",IF(AND(Q290="NO",MOD(X290,1)&lt;&gt;0),"Cantidad fraccionaria no permitida",""))),IF(AND(R290="SI",OR(NOT(ISNUMBER(S290)),S290&lt;1,MOD(S290,1)&lt;&gt;0)),"Empaque inválido",""),IF(OR(AND(AF290="",AG290="ESCANEADO"),AND(AF290&lt;&gt;"",AG290&lt;&gt;"ESCANEADO")),"Barcode/estado inconsistente",""),IF(AK290&lt;&gt;"",AK290,"")))</f>
        <v/>
      </c>
      <c r="AJ290" s="21" t="n"/>
      <c r="AK290" s="17">
        <f>IF(G290="","",IF(OR(COUNTIFS($G$5:$G$445,G290,$I$5:$I$445,I290,$J$5:$J$445,J290,$P$5:$P$445,P290)&gt;1,AND(AF290&lt;&gt;"",COUNTIF($AF$5:$AF$445,AF290)&gt;1)),"REVISAR_POSIBLE_DUPLICADO",""))</f>
        <v/>
      </c>
    </row>
    <row r="291">
      <c r="A291" s="17" t="inlineStr">
        <is>
          <t>325d15fc-336c-5854-8819-23c7fac9ed3b</t>
        </is>
      </c>
      <c r="B291" s="18" t="inlineStr">
        <is>
          <t>NUEVO</t>
        </is>
      </c>
      <c r="C291" s="18" t="inlineStr">
        <is>
          <t>ACTIVO</t>
        </is>
      </c>
      <c r="D291" s="18" t="n"/>
      <c r="E291" s="17" t="n"/>
      <c r="F291" s="17" t="n"/>
      <c r="G291" s="19" t="n"/>
      <c r="H291" s="19" t="n"/>
      <c r="I291" s="20" t="n"/>
      <c r="J291" s="20" t="n"/>
      <c r="K291" s="21" t="n"/>
      <c r="L291" s="18" t="n"/>
      <c r="M291" s="22" t="n"/>
      <c r="N291" s="22" t="n"/>
      <c r="O291" s="23" t="n">
        <v>10</v>
      </c>
      <c r="P291" s="24" t="inlineStr">
        <is>
          <t>UNIDAD</t>
        </is>
      </c>
      <c r="Q291" s="20" t="inlineStr">
        <is>
          <t>NO</t>
        </is>
      </c>
      <c r="R291" s="20" t="inlineStr">
        <is>
          <t>NO</t>
        </is>
      </c>
      <c r="S291" s="25" t="n">
        <v>1</v>
      </c>
      <c r="T291" s="20" t="inlineStr">
        <is>
          <t>NO</t>
        </is>
      </c>
      <c r="U291" s="20" t="n"/>
      <c r="V291" s="21" t="n"/>
      <c r="W291" s="26" t="n"/>
      <c r="X291" s="27" t="n"/>
      <c r="Y291" s="20" t="n"/>
      <c r="Z291" s="20" t="n"/>
      <c r="AA291" s="26">
        <f>IF(X291="","",X291-IF(W291="",0,W291))</f>
        <v/>
      </c>
      <c r="AB291" s="28">
        <f>IF(OR(X291="",M291=""),"",X291*M291)</f>
        <v/>
      </c>
      <c r="AC291" s="28">
        <f>IF(OR(X291="",N291=""),"",X291*N291)</f>
        <v/>
      </c>
      <c r="AD291" s="28">
        <f>IF(OR(M291="",N291=""),"",N291-M291)</f>
        <v/>
      </c>
      <c r="AE291" s="29">
        <f>IFERROR(IF(M291&gt;0,(N291-M291)/M291,""),"")</f>
        <v/>
      </c>
      <c r="AF291" s="30" t="n"/>
      <c r="AG291" s="30" t="inlineStr">
        <is>
          <t>PENDIENTE</t>
        </is>
      </c>
      <c r="AH291" s="18">
        <f>IF(NOT(OR(B291="EXISTENTE",COUNTA(G291,H291,I291,J291,K291,M291,N291,U291,V291,X291,Y291,Z291,AF291,AJ291)&gt;0)),"",IF(AK291&lt;&gt;"","REVISAR",IF(OR(G291="",H291="",M291="",N291="",O291="",P291="",X291=""),"INCOMPLETO",IF(AI291&lt;&gt;"","REVISAR",IF(AND(AF291&lt;&gt;"",AG291="ESCANEADO"),"LISTO_COMPLETO","LISTO_SIN_BARCODE")))))</f>
        <v/>
      </c>
      <c r="AI291" s="17">
        <f>IF(NOT(OR(B291="EXISTENTE",COUNTA(G291,H291,I291,J291,K291,M291,N291,U291,V291,X291,Y291,Z291,AF291,AJ291)&gt;0)),"",TEXTJOIN(" | ",TRUE,IF(A291="","Falta ID staging",""),IF(COUNTIF($A$5:$A$445,A291)&gt;1,"ID staging duplicado",""),IF(G291="","Falta nombre",""),IF(LEN(G291)&gt;150,"Nombre &gt;150 caracteres",""),IF(H291="","Falta categoría",IF(COUNTIF(CategoriasLista,H291)=0,"Categoría inválida","")),IF(M291="","Falta precio compra",IF(OR(NOT(ISNUMBER(M291)),M291&lt;0),"Precio compra inválido","")),IF(N291="","Falta precio venta",IF(OR(NOT(ISNUMBER(N291)),N291&lt;=0,N291&lt;M291),"Precio venta inválido","")),IF(O291="","Falta stock mínimo",IF(OR(NOT(ISNUMBER(O291)),O291&lt;0,MOD(O291,1)&lt;&gt;0),"Stock mínimo inválido","")),IF(P291="","Falta unidad",IF(COUNTIF(UnidadesLista,P291)=0,"Unidad inválida","")),IF(AND(K291&lt;&gt;"",COUNTIF(ProveedoresLista,K291)=0),"Proveedor no catalogado",""),IF(X291="","Falta cantidad contada",IF(OR(NOT(ISNUMBER(X291)),X291&lt;0,ABS(X291*1000-ROUND(X291*1000,0))&gt;0.0000001),"Cantidad inválida",IF(AND(Q291="NO",MOD(X291,1)&lt;&gt;0),"Cantidad fraccionaria no permitida",""))),IF(AND(R291="SI",OR(NOT(ISNUMBER(S291)),S291&lt;1,MOD(S291,1)&lt;&gt;0)),"Empaque inválido",""),IF(OR(AND(AF291="",AG291="ESCANEADO"),AND(AF291&lt;&gt;"",AG291&lt;&gt;"ESCANEADO")),"Barcode/estado inconsistente",""),IF(AK291&lt;&gt;"",AK291,"")))</f>
        <v/>
      </c>
      <c r="AJ291" s="21" t="n"/>
      <c r="AK291" s="17">
        <f>IF(G291="","",IF(OR(COUNTIFS($G$5:$G$445,G291,$I$5:$I$445,I291,$J$5:$J$445,J291,$P$5:$P$445,P291)&gt;1,AND(AF291&lt;&gt;"",COUNTIF($AF$5:$AF$445,AF291)&gt;1)),"REVISAR_POSIBLE_DUPLICADO",""))</f>
        <v/>
      </c>
    </row>
    <row r="292">
      <c r="A292" s="17" t="inlineStr">
        <is>
          <t>28b1fe61-1c5b-5087-a803-97fa083cb404</t>
        </is>
      </c>
      <c r="B292" s="18" t="inlineStr">
        <is>
          <t>NUEVO</t>
        </is>
      </c>
      <c r="C292" s="18" t="inlineStr">
        <is>
          <t>ACTIVO</t>
        </is>
      </c>
      <c r="D292" s="18" t="n"/>
      <c r="E292" s="17" t="n"/>
      <c r="F292" s="17" t="n"/>
      <c r="G292" s="19" t="n"/>
      <c r="H292" s="19" t="n"/>
      <c r="I292" s="20" t="n"/>
      <c r="J292" s="20" t="n"/>
      <c r="K292" s="21" t="n"/>
      <c r="L292" s="18" t="n"/>
      <c r="M292" s="22" t="n"/>
      <c r="N292" s="22" t="n"/>
      <c r="O292" s="23" t="n">
        <v>10</v>
      </c>
      <c r="P292" s="24" t="inlineStr">
        <is>
          <t>UNIDAD</t>
        </is>
      </c>
      <c r="Q292" s="20" t="inlineStr">
        <is>
          <t>NO</t>
        </is>
      </c>
      <c r="R292" s="20" t="inlineStr">
        <is>
          <t>NO</t>
        </is>
      </c>
      <c r="S292" s="25" t="n">
        <v>1</v>
      </c>
      <c r="T292" s="20" t="inlineStr">
        <is>
          <t>NO</t>
        </is>
      </c>
      <c r="U292" s="20" t="n"/>
      <c r="V292" s="21" t="n"/>
      <c r="W292" s="26" t="n"/>
      <c r="X292" s="27" t="n"/>
      <c r="Y292" s="20" t="n"/>
      <c r="Z292" s="20" t="n"/>
      <c r="AA292" s="26">
        <f>IF(X292="","",X292-IF(W292="",0,W292))</f>
        <v/>
      </c>
      <c r="AB292" s="28">
        <f>IF(OR(X292="",M292=""),"",X292*M292)</f>
        <v/>
      </c>
      <c r="AC292" s="28">
        <f>IF(OR(X292="",N292=""),"",X292*N292)</f>
        <v/>
      </c>
      <c r="AD292" s="28">
        <f>IF(OR(M292="",N292=""),"",N292-M292)</f>
        <v/>
      </c>
      <c r="AE292" s="29">
        <f>IFERROR(IF(M292&gt;0,(N292-M292)/M292,""),"")</f>
        <v/>
      </c>
      <c r="AF292" s="30" t="n"/>
      <c r="AG292" s="30" t="inlineStr">
        <is>
          <t>PENDIENTE</t>
        </is>
      </c>
      <c r="AH292" s="18">
        <f>IF(NOT(OR(B292="EXISTENTE",COUNTA(G292,H292,I292,J292,K292,M292,N292,U292,V292,X292,Y292,Z292,AF292,AJ292)&gt;0)),"",IF(AK292&lt;&gt;"","REVISAR",IF(OR(G292="",H292="",M292="",N292="",O292="",P292="",X292=""),"INCOMPLETO",IF(AI292&lt;&gt;"","REVISAR",IF(AND(AF292&lt;&gt;"",AG292="ESCANEADO"),"LISTO_COMPLETO","LISTO_SIN_BARCODE")))))</f>
        <v/>
      </c>
      <c r="AI292" s="17">
        <f>IF(NOT(OR(B292="EXISTENTE",COUNTA(G292,H292,I292,J292,K292,M292,N292,U292,V292,X292,Y292,Z292,AF292,AJ292)&gt;0)),"",TEXTJOIN(" | ",TRUE,IF(A292="","Falta ID staging",""),IF(COUNTIF($A$5:$A$445,A292)&gt;1,"ID staging duplicado",""),IF(G292="","Falta nombre",""),IF(LEN(G292)&gt;150,"Nombre &gt;150 caracteres",""),IF(H292="","Falta categoría",IF(COUNTIF(CategoriasLista,H292)=0,"Categoría inválida","")),IF(M292="","Falta precio compra",IF(OR(NOT(ISNUMBER(M292)),M292&lt;0),"Precio compra inválido","")),IF(N292="","Falta precio venta",IF(OR(NOT(ISNUMBER(N292)),N292&lt;=0,N292&lt;M292),"Precio venta inválido","")),IF(O292="","Falta stock mínimo",IF(OR(NOT(ISNUMBER(O292)),O292&lt;0,MOD(O292,1)&lt;&gt;0),"Stock mínimo inválido","")),IF(P292="","Falta unidad",IF(COUNTIF(UnidadesLista,P292)=0,"Unidad inválida","")),IF(AND(K292&lt;&gt;"",COUNTIF(ProveedoresLista,K292)=0),"Proveedor no catalogado",""),IF(X292="","Falta cantidad contada",IF(OR(NOT(ISNUMBER(X292)),X292&lt;0,ABS(X292*1000-ROUND(X292*1000,0))&gt;0.0000001),"Cantidad inválida",IF(AND(Q292="NO",MOD(X292,1)&lt;&gt;0),"Cantidad fraccionaria no permitida",""))),IF(AND(R292="SI",OR(NOT(ISNUMBER(S292)),S292&lt;1,MOD(S292,1)&lt;&gt;0)),"Empaque inválido",""),IF(OR(AND(AF292="",AG292="ESCANEADO"),AND(AF292&lt;&gt;"",AG292&lt;&gt;"ESCANEADO")),"Barcode/estado inconsistente",""),IF(AK292&lt;&gt;"",AK292,"")))</f>
        <v/>
      </c>
      <c r="AJ292" s="21" t="n"/>
      <c r="AK292" s="17">
        <f>IF(G292="","",IF(OR(COUNTIFS($G$5:$G$445,G292,$I$5:$I$445,I292,$J$5:$J$445,J292,$P$5:$P$445,P292)&gt;1,AND(AF292&lt;&gt;"",COUNTIF($AF$5:$AF$445,AF292)&gt;1)),"REVISAR_POSIBLE_DUPLICADO",""))</f>
        <v/>
      </c>
    </row>
    <row r="293">
      <c r="A293" s="17" t="inlineStr">
        <is>
          <t>a06f312c-edee-5027-80b6-5ec989eeeb6e</t>
        </is>
      </c>
      <c r="B293" s="18" t="inlineStr">
        <is>
          <t>NUEVO</t>
        </is>
      </c>
      <c r="C293" s="18" t="inlineStr">
        <is>
          <t>ACTIVO</t>
        </is>
      </c>
      <c r="D293" s="18" t="n"/>
      <c r="E293" s="17" t="n"/>
      <c r="F293" s="17" t="n"/>
      <c r="G293" s="19" t="n"/>
      <c r="H293" s="19" t="n"/>
      <c r="I293" s="20" t="n"/>
      <c r="J293" s="20" t="n"/>
      <c r="K293" s="21" t="n"/>
      <c r="L293" s="18" t="n"/>
      <c r="M293" s="22" t="n"/>
      <c r="N293" s="22" t="n"/>
      <c r="O293" s="23" t="n">
        <v>10</v>
      </c>
      <c r="P293" s="24" t="inlineStr">
        <is>
          <t>UNIDAD</t>
        </is>
      </c>
      <c r="Q293" s="20" t="inlineStr">
        <is>
          <t>NO</t>
        </is>
      </c>
      <c r="R293" s="20" t="inlineStr">
        <is>
          <t>NO</t>
        </is>
      </c>
      <c r="S293" s="25" t="n">
        <v>1</v>
      </c>
      <c r="T293" s="20" t="inlineStr">
        <is>
          <t>NO</t>
        </is>
      </c>
      <c r="U293" s="20" t="n"/>
      <c r="V293" s="21" t="n"/>
      <c r="W293" s="26" t="n"/>
      <c r="X293" s="27" t="n"/>
      <c r="Y293" s="20" t="n"/>
      <c r="Z293" s="20" t="n"/>
      <c r="AA293" s="26">
        <f>IF(X293="","",X293-IF(W293="",0,W293))</f>
        <v/>
      </c>
      <c r="AB293" s="28">
        <f>IF(OR(X293="",M293=""),"",X293*M293)</f>
        <v/>
      </c>
      <c r="AC293" s="28">
        <f>IF(OR(X293="",N293=""),"",X293*N293)</f>
        <v/>
      </c>
      <c r="AD293" s="28">
        <f>IF(OR(M293="",N293=""),"",N293-M293)</f>
        <v/>
      </c>
      <c r="AE293" s="29">
        <f>IFERROR(IF(M293&gt;0,(N293-M293)/M293,""),"")</f>
        <v/>
      </c>
      <c r="AF293" s="30" t="n"/>
      <c r="AG293" s="30" t="inlineStr">
        <is>
          <t>PENDIENTE</t>
        </is>
      </c>
      <c r="AH293" s="18">
        <f>IF(NOT(OR(B293="EXISTENTE",COUNTA(G293,H293,I293,J293,K293,M293,N293,U293,V293,X293,Y293,Z293,AF293,AJ293)&gt;0)),"",IF(AK293&lt;&gt;"","REVISAR",IF(OR(G293="",H293="",M293="",N293="",O293="",P293="",X293=""),"INCOMPLETO",IF(AI293&lt;&gt;"","REVISAR",IF(AND(AF293&lt;&gt;"",AG293="ESCANEADO"),"LISTO_COMPLETO","LISTO_SIN_BARCODE")))))</f>
        <v/>
      </c>
      <c r="AI293" s="17">
        <f>IF(NOT(OR(B293="EXISTENTE",COUNTA(G293,H293,I293,J293,K293,M293,N293,U293,V293,X293,Y293,Z293,AF293,AJ293)&gt;0)),"",TEXTJOIN(" | ",TRUE,IF(A293="","Falta ID staging",""),IF(COUNTIF($A$5:$A$445,A293)&gt;1,"ID staging duplicado",""),IF(G293="","Falta nombre",""),IF(LEN(G293)&gt;150,"Nombre &gt;150 caracteres",""),IF(H293="","Falta categoría",IF(COUNTIF(CategoriasLista,H293)=0,"Categoría inválida","")),IF(M293="","Falta precio compra",IF(OR(NOT(ISNUMBER(M293)),M293&lt;0),"Precio compra inválido","")),IF(N293="","Falta precio venta",IF(OR(NOT(ISNUMBER(N293)),N293&lt;=0,N293&lt;M293),"Precio venta inválido","")),IF(O293="","Falta stock mínimo",IF(OR(NOT(ISNUMBER(O293)),O293&lt;0,MOD(O293,1)&lt;&gt;0),"Stock mínimo inválido","")),IF(P293="","Falta unidad",IF(COUNTIF(UnidadesLista,P293)=0,"Unidad inválida","")),IF(AND(K293&lt;&gt;"",COUNTIF(ProveedoresLista,K293)=0),"Proveedor no catalogado",""),IF(X293="","Falta cantidad contada",IF(OR(NOT(ISNUMBER(X293)),X293&lt;0,ABS(X293*1000-ROUND(X293*1000,0))&gt;0.0000001),"Cantidad inválida",IF(AND(Q293="NO",MOD(X293,1)&lt;&gt;0),"Cantidad fraccionaria no permitida",""))),IF(AND(R293="SI",OR(NOT(ISNUMBER(S293)),S293&lt;1,MOD(S293,1)&lt;&gt;0)),"Empaque inválido",""),IF(OR(AND(AF293="",AG293="ESCANEADO"),AND(AF293&lt;&gt;"",AG293&lt;&gt;"ESCANEADO")),"Barcode/estado inconsistente",""),IF(AK293&lt;&gt;"",AK293,"")))</f>
        <v/>
      </c>
      <c r="AJ293" s="21" t="n"/>
      <c r="AK293" s="17">
        <f>IF(G293="","",IF(OR(COUNTIFS($G$5:$G$445,G293,$I$5:$I$445,I293,$J$5:$J$445,J293,$P$5:$P$445,P293)&gt;1,AND(AF293&lt;&gt;"",COUNTIF($AF$5:$AF$445,AF293)&gt;1)),"REVISAR_POSIBLE_DUPLICADO",""))</f>
        <v/>
      </c>
    </row>
    <row r="294">
      <c r="A294" s="17" t="inlineStr">
        <is>
          <t>0bfab69e-fb24-507b-a298-5029e8762035</t>
        </is>
      </c>
      <c r="B294" s="18" t="inlineStr">
        <is>
          <t>NUEVO</t>
        </is>
      </c>
      <c r="C294" s="18" t="inlineStr">
        <is>
          <t>ACTIVO</t>
        </is>
      </c>
      <c r="D294" s="18" t="n"/>
      <c r="E294" s="17" t="n"/>
      <c r="F294" s="17" t="n"/>
      <c r="G294" s="19" t="n"/>
      <c r="H294" s="19" t="n"/>
      <c r="I294" s="20" t="n"/>
      <c r="J294" s="20" t="n"/>
      <c r="K294" s="21" t="n"/>
      <c r="L294" s="18" t="n"/>
      <c r="M294" s="22" t="n"/>
      <c r="N294" s="22" t="n"/>
      <c r="O294" s="23" t="n">
        <v>10</v>
      </c>
      <c r="P294" s="24" t="inlineStr">
        <is>
          <t>UNIDAD</t>
        </is>
      </c>
      <c r="Q294" s="20" t="inlineStr">
        <is>
          <t>NO</t>
        </is>
      </c>
      <c r="R294" s="20" t="inlineStr">
        <is>
          <t>NO</t>
        </is>
      </c>
      <c r="S294" s="25" t="n">
        <v>1</v>
      </c>
      <c r="T294" s="20" t="inlineStr">
        <is>
          <t>NO</t>
        </is>
      </c>
      <c r="U294" s="20" t="n"/>
      <c r="V294" s="21" t="n"/>
      <c r="W294" s="26" t="n"/>
      <c r="X294" s="27" t="n"/>
      <c r="Y294" s="20" t="n"/>
      <c r="Z294" s="20" t="n"/>
      <c r="AA294" s="26">
        <f>IF(X294="","",X294-IF(W294="",0,W294))</f>
        <v/>
      </c>
      <c r="AB294" s="28">
        <f>IF(OR(X294="",M294=""),"",X294*M294)</f>
        <v/>
      </c>
      <c r="AC294" s="28">
        <f>IF(OR(X294="",N294=""),"",X294*N294)</f>
        <v/>
      </c>
      <c r="AD294" s="28">
        <f>IF(OR(M294="",N294=""),"",N294-M294)</f>
        <v/>
      </c>
      <c r="AE294" s="29">
        <f>IFERROR(IF(M294&gt;0,(N294-M294)/M294,""),"")</f>
        <v/>
      </c>
      <c r="AF294" s="30" t="n"/>
      <c r="AG294" s="30" t="inlineStr">
        <is>
          <t>PENDIENTE</t>
        </is>
      </c>
      <c r="AH294" s="18">
        <f>IF(NOT(OR(B294="EXISTENTE",COUNTA(G294,H294,I294,J294,K294,M294,N294,U294,V294,X294,Y294,Z294,AF294,AJ294)&gt;0)),"",IF(AK294&lt;&gt;"","REVISAR",IF(OR(G294="",H294="",M294="",N294="",O294="",P294="",X294=""),"INCOMPLETO",IF(AI294&lt;&gt;"","REVISAR",IF(AND(AF294&lt;&gt;"",AG294="ESCANEADO"),"LISTO_COMPLETO","LISTO_SIN_BARCODE")))))</f>
        <v/>
      </c>
      <c r="AI294" s="17">
        <f>IF(NOT(OR(B294="EXISTENTE",COUNTA(G294,H294,I294,J294,K294,M294,N294,U294,V294,X294,Y294,Z294,AF294,AJ294)&gt;0)),"",TEXTJOIN(" | ",TRUE,IF(A294="","Falta ID staging",""),IF(COUNTIF($A$5:$A$445,A294)&gt;1,"ID staging duplicado",""),IF(G294="","Falta nombre",""),IF(LEN(G294)&gt;150,"Nombre &gt;150 caracteres",""),IF(H294="","Falta categoría",IF(COUNTIF(CategoriasLista,H294)=0,"Categoría inválida","")),IF(M294="","Falta precio compra",IF(OR(NOT(ISNUMBER(M294)),M294&lt;0),"Precio compra inválido","")),IF(N294="","Falta precio venta",IF(OR(NOT(ISNUMBER(N294)),N294&lt;=0,N294&lt;M294),"Precio venta inválido","")),IF(O294="","Falta stock mínimo",IF(OR(NOT(ISNUMBER(O294)),O294&lt;0,MOD(O294,1)&lt;&gt;0),"Stock mínimo inválido","")),IF(P294="","Falta unidad",IF(COUNTIF(UnidadesLista,P294)=0,"Unidad inválida","")),IF(AND(K294&lt;&gt;"",COUNTIF(ProveedoresLista,K294)=0),"Proveedor no catalogado",""),IF(X294="","Falta cantidad contada",IF(OR(NOT(ISNUMBER(X294)),X294&lt;0,ABS(X294*1000-ROUND(X294*1000,0))&gt;0.0000001),"Cantidad inválida",IF(AND(Q294="NO",MOD(X294,1)&lt;&gt;0),"Cantidad fraccionaria no permitida",""))),IF(AND(R294="SI",OR(NOT(ISNUMBER(S294)),S294&lt;1,MOD(S294,1)&lt;&gt;0)),"Empaque inválido",""),IF(OR(AND(AF294="",AG294="ESCANEADO"),AND(AF294&lt;&gt;"",AG294&lt;&gt;"ESCANEADO")),"Barcode/estado inconsistente",""),IF(AK294&lt;&gt;"",AK294,"")))</f>
        <v/>
      </c>
      <c r="AJ294" s="21" t="n"/>
      <c r="AK294" s="17">
        <f>IF(G294="","",IF(OR(COUNTIFS($G$5:$G$445,G294,$I$5:$I$445,I294,$J$5:$J$445,J294,$P$5:$P$445,P294)&gt;1,AND(AF294&lt;&gt;"",COUNTIF($AF$5:$AF$445,AF294)&gt;1)),"REVISAR_POSIBLE_DUPLICADO",""))</f>
        <v/>
      </c>
    </row>
    <row r="295">
      <c r="A295" s="17" t="inlineStr">
        <is>
          <t>9da677b4-92d5-59eb-a8a8-35221c1241f7</t>
        </is>
      </c>
      <c r="B295" s="18" t="inlineStr">
        <is>
          <t>NUEVO</t>
        </is>
      </c>
      <c r="C295" s="18" t="inlineStr">
        <is>
          <t>ACTIVO</t>
        </is>
      </c>
      <c r="D295" s="18" t="n"/>
      <c r="E295" s="17" t="n"/>
      <c r="F295" s="17" t="n"/>
      <c r="G295" s="19" t="n"/>
      <c r="H295" s="19" t="n"/>
      <c r="I295" s="20" t="n"/>
      <c r="J295" s="20" t="n"/>
      <c r="K295" s="21" t="n"/>
      <c r="L295" s="18" t="n"/>
      <c r="M295" s="22" t="n"/>
      <c r="N295" s="22" t="n"/>
      <c r="O295" s="23" t="n">
        <v>10</v>
      </c>
      <c r="P295" s="24" t="inlineStr">
        <is>
          <t>UNIDAD</t>
        </is>
      </c>
      <c r="Q295" s="20" t="inlineStr">
        <is>
          <t>NO</t>
        </is>
      </c>
      <c r="R295" s="20" t="inlineStr">
        <is>
          <t>NO</t>
        </is>
      </c>
      <c r="S295" s="25" t="n">
        <v>1</v>
      </c>
      <c r="T295" s="20" t="inlineStr">
        <is>
          <t>NO</t>
        </is>
      </c>
      <c r="U295" s="20" t="n"/>
      <c r="V295" s="21" t="n"/>
      <c r="W295" s="26" t="n"/>
      <c r="X295" s="27" t="n"/>
      <c r="Y295" s="20" t="n"/>
      <c r="Z295" s="20" t="n"/>
      <c r="AA295" s="26">
        <f>IF(X295="","",X295-IF(W295="",0,W295))</f>
        <v/>
      </c>
      <c r="AB295" s="28">
        <f>IF(OR(X295="",M295=""),"",X295*M295)</f>
        <v/>
      </c>
      <c r="AC295" s="28">
        <f>IF(OR(X295="",N295=""),"",X295*N295)</f>
        <v/>
      </c>
      <c r="AD295" s="28">
        <f>IF(OR(M295="",N295=""),"",N295-M295)</f>
        <v/>
      </c>
      <c r="AE295" s="29">
        <f>IFERROR(IF(M295&gt;0,(N295-M295)/M295,""),"")</f>
        <v/>
      </c>
      <c r="AF295" s="30" t="n"/>
      <c r="AG295" s="30" t="inlineStr">
        <is>
          <t>PENDIENTE</t>
        </is>
      </c>
      <c r="AH295" s="18">
        <f>IF(NOT(OR(B295="EXISTENTE",COUNTA(G295,H295,I295,J295,K295,M295,N295,U295,V295,X295,Y295,Z295,AF295,AJ295)&gt;0)),"",IF(AK295&lt;&gt;"","REVISAR",IF(OR(G295="",H295="",M295="",N295="",O295="",P295="",X295=""),"INCOMPLETO",IF(AI295&lt;&gt;"","REVISAR",IF(AND(AF295&lt;&gt;"",AG295="ESCANEADO"),"LISTO_COMPLETO","LISTO_SIN_BARCODE")))))</f>
        <v/>
      </c>
      <c r="AI295" s="17">
        <f>IF(NOT(OR(B295="EXISTENTE",COUNTA(G295,H295,I295,J295,K295,M295,N295,U295,V295,X295,Y295,Z295,AF295,AJ295)&gt;0)),"",TEXTJOIN(" | ",TRUE,IF(A295="","Falta ID staging",""),IF(COUNTIF($A$5:$A$445,A295)&gt;1,"ID staging duplicado",""),IF(G295="","Falta nombre",""),IF(LEN(G295)&gt;150,"Nombre &gt;150 caracteres",""),IF(H295="","Falta categoría",IF(COUNTIF(CategoriasLista,H295)=0,"Categoría inválida","")),IF(M295="","Falta precio compra",IF(OR(NOT(ISNUMBER(M295)),M295&lt;0),"Precio compra inválido","")),IF(N295="","Falta precio venta",IF(OR(NOT(ISNUMBER(N295)),N295&lt;=0,N295&lt;M295),"Precio venta inválido","")),IF(O295="","Falta stock mínimo",IF(OR(NOT(ISNUMBER(O295)),O295&lt;0,MOD(O295,1)&lt;&gt;0),"Stock mínimo inválido","")),IF(P295="","Falta unidad",IF(COUNTIF(UnidadesLista,P295)=0,"Unidad inválida","")),IF(AND(K295&lt;&gt;"",COUNTIF(ProveedoresLista,K295)=0),"Proveedor no catalogado",""),IF(X295="","Falta cantidad contada",IF(OR(NOT(ISNUMBER(X295)),X295&lt;0,ABS(X295*1000-ROUND(X295*1000,0))&gt;0.0000001),"Cantidad inválida",IF(AND(Q295="NO",MOD(X295,1)&lt;&gt;0),"Cantidad fraccionaria no permitida",""))),IF(AND(R295="SI",OR(NOT(ISNUMBER(S295)),S295&lt;1,MOD(S295,1)&lt;&gt;0)),"Empaque inválido",""),IF(OR(AND(AF295="",AG295="ESCANEADO"),AND(AF295&lt;&gt;"",AG295&lt;&gt;"ESCANEADO")),"Barcode/estado inconsistente",""),IF(AK295&lt;&gt;"",AK295,"")))</f>
        <v/>
      </c>
      <c r="AJ295" s="21" t="n"/>
      <c r="AK295" s="17">
        <f>IF(G295="","",IF(OR(COUNTIFS($G$5:$G$445,G295,$I$5:$I$445,I295,$J$5:$J$445,J295,$P$5:$P$445,P295)&gt;1,AND(AF295&lt;&gt;"",COUNTIF($AF$5:$AF$445,AF295)&gt;1)),"REVISAR_POSIBLE_DUPLICADO",""))</f>
        <v/>
      </c>
    </row>
    <row r="296">
      <c r="A296" s="17" t="inlineStr">
        <is>
          <t>9ebc02d3-905c-5a06-8801-89620c3f34c3</t>
        </is>
      </c>
      <c r="B296" s="18" t="inlineStr">
        <is>
          <t>NUEVO</t>
        </is>
      </c>
      <c r="C296" s="18" t="inlineStr">
        <is>
          <t>ACTIVO</t>
        </is>
      </c>
      <c r="D296" s="18" t="n"/>
      <c r="E296" s="17" t="n"/>
      <c r="F296" s="17" t="n"/>
      <c r="G296" s="19" t="n"/>
      <c r="H296" s="19" t="n"/>
      <c r="I296" s="20" t="n"/>
      <c r="J296" s="20" t="n"/>
      <c r="K296" s="21" t="n"/>
      <c r="L296" s="18" t="n"/>
      <c r="M296" s="22" t="n"/>
      <c r="N296" s="22" t="n"/>
      <c r="O296" s="23" t="n">
        <v>10</v>
      </c>
      <c r="P296" s="24" t="inlineStr">
        <is>
          <t>UNIDAD</t>
        </is>
      </c>
      <c r="Q296" s="20" t="inlineStr">
        <is>
          <t>NO</t>
        </is>
      </c>
      <c r="R296" s="20" t="inlineStr">
        <is>
          <t>NO</t>
        </is>
      </c>
      <c r="S296" s="25" t="n">
        <v>1</v>
      </c>
      <c r="T296" s="20" t="inlineStr">
        <is>
          <t>NO</t>
        </is>
      </c>
      <c r="U296" s="20" t="n"/>
      <c r="V296" s="21" t="n"/>
      <c r="W296" s="26" t="n"/>
      <c r="X296" s="27" t="n"/>
      <c r="Y296" s="20" t="n"/>
      <c r="Z296" s="20" t="n"/>
      <c r="AA296" s="26">
        <f>IF(X296="","",X296-IF(W296="",0,W296))</f>
        <v/>
      </c>
      <c r="AB296" s="28">
        <f>IF(OR(X296="",M296=""),"",X296*M296)</f>
        <v/>
      </c>
      <c r="AC296" s="28">
        <f>IF(OR(X296="",N296=""),"",X296*N296)</f>
        <v/>
      </c>
      <c r="AD296" s="28">
        <f>IF(OR(M296="",N296=""),"",N296-M296)</f>
        <v/>
      </c>
      <c r="AE296" s="29">
        <f>IFERROR(IF(M296&gt;0,(N296-M296)/M296,""),"")</f>
        <v/>
      </c>
      <c r="AF296" s="30" t="n"/>
      <c r="AG296" s="30" t="inlineStr">
        <is>
          <t>PENDIENTE</t>
        </is>
      </c>
      <c r="AH296" s="18">
        <f>IF(NOT(OR(B296="EXISTENTE",COUNTA(G296,H296,I296,J296,K296,M296,N296,U296,V296,X296,Y296,Z296,AF296,AJ296)&gt;0)),"",IF(AK296&lt;&gt;"","REVISAR",IF(OR(G296="",H296="",M296="",N296="",O296="",P296="",X296=""),"INCOMPLETO",IF(AI296&lt;&gt;"","REVISAR",IF(AND(AF296&lt;&gt;"",AG296="ESCANEADO"),"LISTO_COMPLETO","LISTO_SIN_BARCODE")))))</f>
        <v/>
      </c>
      <c r="AI296" s="17">
        <f>IF(NOT(OR(B296="EXISTENTE",COUNTA(G296,H296,I296,J296,K296,M296,N296,U296,V296,X296,Y296,Z296,AF296,AJ296)&gt;0)),"",TEXTJOIN(" | ",TRUE,IF(A296="","Falta ID staging",""),IF(COUNTIF($A$5:$A$445,A296)&gt;1,"ID staging duplicado",""),IF(G296="","Falta nombre",""),IF(LEN(G296)&gt;150,"Nombre &gt;150 caracteres",""),IF(H296="","Falta categoría",IF(COUNTIF(CategoriasLista,H296)=0,"Categoría inválida","")),IF(M296="","Falta precio compra",IF(OR(NOT(ISNUMBER(M296)),M296&lt;0),"Precio compra inválido","")),IF(N296="","Falta precio venta",IF(OR(NOT(ISNUMBER(N296)),N296&lt;=0,N296&lt;M296),"Precio venta inválido","")),IF(O296="","Falta stock mínimo",IF(OR(NOT(ISNUMBER(O296)),O296&lt;0,MOD(O296,1)&lt;&gt;0),"Stock mínimo inválido","")),IF(P296="","Falta unidad",IF(COUNTIF(UnidadesLista,P296)=0,"Unidad inválida","")),IF(AND(K296&lt;&gt;"",COUNTIF(ProveedoresLista,K296)=0),"Proveedor no catalogado",""),IF(X296="","Falta cantidad contada",IF(OR(NOT(ISNUMBER(X296)),X296&lt;0,ABS(X296*1000-ROUND(X296*1000,0))&gt;0.0000001),"Cantidad inválida",IF(AND(Q296="NO",MOD(X296,1)&lt;&gt;0),"Cantidad fraccionaria no permitida",""))),IF(AND(R296="SI",OR(NOT(ISNUMBER(S296)),S296&lt;1,MOD(S296,1)&lt;&gt;0)),"Empaque inválido",""),IF(OR(AND(AF296="",AG296="ESCANEADO"),AND(AF296&lt;&gt;"",AG296&lt;&gt;"ESCANEADO")),"Barcode/estado inconsistente",""),IF(AK296&lt;&gt;"",AK296,"")))</f>
        <v/>
      </c>
      <c r="AJ296" s="21" t="n"/>
      <c r="AK296" s="17">
        <f>IF(G296="","",IF(OR(COUNTIFS($G$5:$G$445,G296,$I$5:$I$445,I296,$J$5:$J$445,J296,$P$5:$P$445,P296)&gt;1,AND(AF296&lt;&gt;"",COUNTIF($AF$5:$AF$445,AF296)&gt;1)),"REVISAR_POSIBLE_DUPLICADO",""))</f>
        <v/>
      </c>
    </row>
    <row r="297">
      <c r="A297" s="17" t="inlineStr">
        <is>
          <t>85e6f456-47c2-5324-a041-37ae46c5c11a</t>
        </is>
      </c>
      <c r="B297" s="18" t="inlineStr">
        <is>
          <t>NUEVO</t>
        </is>
      </c>
      <c r="C297" s="18" t="inlineStr">
        <is>
          <t>ACTIVO</t>
        </is>
      </c>
      <c r="D297" s="18" t="n"/>
      <c r="E297" s="17" t="n"/>
      <c r="F297" s="17" t="n"/>
      <c r="G297" s="19" t="n"/>
      <c r="H297" s="19" t="n"/>
      <c r="I297" s="20" t="n"/>
      <c r="J297" s="20" t="n"/>
      <c r="K297" s="21" t="n"/>
      <c r="L297" s="18" t="n"/>
      <c r="M297" s="22" t="n"/>
      <c r="N297" s="22" t="n"/>
      <c r="O297" s="23" t="n">
        <v>10</v>
      </c>
      <c r="P297" s="24" t="inlineStr">
        <is>
          <t>UNIDAD</t>
        </is>
      </c>
      <c r="Q297" s="20" t="inlineStr">
        <is>
          <t>NO</t>
        </is>
      </c>
      <c r="R297" s="20" t="inlineStr">
        <is>
          <t>NO</t>
        </is>
      </c>
      <c r="S297" s="25" t="n">
        <v>1</v>
      </c>
      <c r="T297" s="20" t="inlineStr">
        <is>
          <t>NO</t>
        </is>
      </c>
      <c r="U297" s="20" t="n"/>
      <c r="V297" s="21" t="n"/>
      <c r="W297" s="26" t="n"/>
      <c r="X297" s="27" t="n"/>
      <c r="Y297" s="20" t="n"/>
      <c r="Z297" s="20" t="n"/>
      <c r="AA297" s="26">
        <f>IF(X297="","",X297-IF(W297="",0,W297))</f>
        <v/>
      </c>
      <c r="AB297" s="28">
        <f>IF(OR(X297="",M297=""),"",X297*M297)</f>
        <v/>
      </c>
      <c r="AC297" s="28">
        <f>IF(OR(X297="",N297=""),"",X297*N297)</f>
        <v/>
      </c>
      <c r="AD297" s="28">
        <f>IF(OR(M297="",N297=""),"",N297-M297)</f>
        <v/>
      </c>
      <c r="AE297" s="29">
        <f>IFERROR(IF(M297&gt;0,(N297-M297)/M297,""),"")</f>
        <v/>
      </c>
      <c r="AF297" s="30" t="n"/>
      <c r="AG297" s="30" t="inlineStr">
        <is>
          <t>PENDIENTE</t>
        </is>
      </c>
      <c r="AH297" s="18">
        <f>IF(NOT(OR(B297="EXISTENTE",COUNTA(G297,H297,I297,J297,K297,M297,N297,U297,V297,X297,Y297,Z297,AF297,AJ297)&gt;0)),"",IF(AK297&lt;&gt;"","REVISAR",IF(OR(G297="",H297="",M297="",N297="",O297="",P297="",X297=""),"INCOMPLETO",IF(AI297&lt;&gt;"","REVISAR",IF(AND(AF297&lt;&gt;"",AG297="ESCANEADO"),"LISTO_COMPLETO","LISTO_SIN_BARCODE")))))</f>
        <v/>
      </c>
      <c r="AI297" s="17">
        <f>IF(NOT(OR(B297="EXISTENTE",COUNTA(G297,H297,I297,J297,K297,M297,N297,U297,V297,X297,Y297,Z297,AF297,AJ297)&gt;0)),"",TEXTJOIN(" | ",TRUE,IF(A297="","Falta ID staging",""),IF(COUNTIF($A$5:$A$445,A297)&gt;1,"ID staging duplicado",""),IF(G297="","Falta nombre",""),IF(LEN(G297)&gt;150,"Nombre &gt;150 caracteres",""),IF(H297="","Falta categoría",IF(COUNTIF(CategoriasLista,H297)=0,"Categoría inválida","")),IF(M297="","Falta precio compra",IF(OR(NOT(ISNUMBER(M297)),M297&lt;0),"Precio compra inválido","")),IF(N297="","Falta precio venta",IF(OR(NOT(ISNUMBER(N297)),N297&lt;=0,N297&lt;M297),"Precio venta inválido","")),IF(O297="","Falta stock mínimo",IF(OR(NOT(ISNUMBER(O297)),O297&lt;0,MOD(O297,1)&lt;&gt;0),"Stock mínimo inválido","")),IF(P297="","Falta unidad",IF(COUNTIF(UnidadesLista,P297)=0,"Unidad inválida","")),IF(AND(K297&lt;&gt;"",COUNTIF(ProveedoresLista,K297)=0),"Proveedor no catalogado",""),IF(X297="","Falta cantidad contada",IF(OR(NOT(ISNUMBER(X297)),X297&lt;0,ABS(X297*1000-ROUND(X297*1000,0))&gt;0.0000001),"Cantidad inválida",IF(AND(Q297="NO",MOD(X297,1)&lt;&gt;0),"Cantidad fraccionaria no permitida",""))),IF(AND(R297="SI",OR(NOT(ISNUMBER(S297)),S297&lt;1,MOD(S297,1)&lt;&gt;0)),"Empaque inválido",""),IF(OR(AND(AF297="",AG297="ESCANEADO"),AND(AF297&lt;&gt;"",AG297&lt;&gt;"ESCANEADO")),"Barcode/estado inconsistente",""),IF(AK297&lt;&gt;"",AK297,"")))</f>
        <v/>
      </c>
      <c r="AJ297" s="21" t="n"/>
      <c r="AK297" s="17">
        <f>IF(G297="","",IF(OR(COUNTIFS($G$5:$G$445,G297,$I$5:$I$445,I297,$J$5:$J$445,J297,$P$5:$P$445,P297)&gt;1,AND(AF297&lt;&gt;"",COUNTIF($AF$5:$AF$445,AF297)&gt;1)),"REVISAR_POSIBLE_DUPLICADO",""))</f>
        <v/>
      </c>
    </row>
    <row r="298">
      <c r="A298" s="17" t="inlineStr">
        <is>
          <t>4541c179-ea37-507c-b264-8f9b5979afe9</t>
        </is>
      </c>
      <c r="B298" s="18" t="inlineStr">
        <is>
          <t>NUEVO</t>
        </is>
      </c>
      <c r="C298" s="18" t="inlineStr">
        <is>
          <t>ACTIVO</t>
        </is>
      </c>
      <c r="D298" s="18" t="n"/>
      <c r="E298" s="17" t="n"/>
      <c r="F298" s="17" t="n"/>
      <c r="G298" s="19" t="n"/>
      <c r="H298" s="19" t="n"/>
      <c r="I298" s="20" t="n"/>
      <c r="J298" s="20" t="n"/>
      <c r="K298" s="21" t="n"/>
      <c r="L298" s="18" t="n"/>
      <c r="M298" s="22" t="n"/>
      <c r="N298" s="22" t="n"/>
      <c r="O298" s="23" t="n">
        <v>10</v>
      </c>
      <c r="P298" s="24" t="inlineStr">
        <is>
          <t>UNIDAD</t>
        </is>
      </c>
      <c r="Q298" s="20" t="inlineStr">
        <is>
          <t>NO</t>
        </is>
      </c>
      <c r="R298" s="20" t="inlineStr">
        <is>
          <t>NO</t>
        </is>
      </c>
      <c r="S298" s="25" t="n">
        <v>1</v>
      </c>
      <c r="T298" s="20" t="inlineStr">
        <is>
          <t>NO</t>
        </is>
      </c>
      <c r="U298" s="20" t="n"/>
      <c r="V298" s="21" t="n"/>
      <c r="W298" s="26" t="n"/>
      <c r="X298" s="27" t="n"/>
      <c r="Y298" s="20" t="n"/>
      <c r="Z298" s="20" t="n"/>
      <c r="AA298" s="26">
        <f>IF(X298="","",X298-IF(W298="",0,W298))</f>
        <v/>
      </c>
      <c r="AB298" s="28">
        <f>IF(OR(X298="",M298=""),"",X298*M298)</f>
        <v/>
      </c>
      <c r="AC298" s="28">
        <f>IF(OR(X298="",N298=""),"",X298*N298)</f>
        <v/>
      </c>
      <c r="AD298" s="28">
        <f>IF(OR(M298="",N298=""),"",N298-M298)</f>
        <v/>
      </c>
      <c r="AE298" s="29">
        <f>IFERROR(IF(M298&gt;0,(N298-M298)/M298,""),"")</f>
        <v/>
      </c>
      <c r="AF298" s="30" t="n"/>
      <c r="AG298" s="30" t="inlineStr">
        <is>
          <t>PENDIENTE</t>
        </is>
      </c>
      <c r="AH298" s="18">
        <f>IF(NOT(OR(B298="EXISTENTE",COUNTA(G298,H298,I298,J298,K298,M298,N298,U298,V298,X298,Y298,Z298,AF298,AJ298)&gt;0)),"",IF(AK298&lt;&gt;"","REVISAR",IF(OR(G298="",H298="",M298="",N298="",O298="",P298="",X298=""),"INCOMPLETO",IF(AI298&lt;&gt;"","REVISAR",IF(AND(AF298&lt;&gt;"",AG298="ESCANEADO"),"LISTO_COMPLETO","LISTO_SIN_BARCODE")))))</f>
        <v/>
      </c>
      <c r="AI298" s="17">
        <f>IF(NOT(OR(B298="EXISTENTE",COUNTA(G298,H298,I298,J298,K298,M298,N298,U298,V298,X298,Y298,Z298,AF298,AJ298)&gt;0)),"",TEXTJOIN(" | ",TRUE,IF(A298="","Falta ID staging",""),IF(COUNTIF($A$5:$A$445,A298)&gt;1,"ID staging duplicado",""),IF(G298="","Falta nombre",""),IF(LEN(G298)&gt;150,"Nombre &gt;150 caracteres",""),IF(H298="","Falta categoría",IF(COUNTIF(CategoriasLista,H298)=0,"Categoría inválida","")),IF(M298="","Falta precio compra",IF(OR(NOT(ISNUMBER(M298)),M298&lt;0),"Precio compra inválido","")),IF(N298="","Falta precio venta",IF(OR(NOT(ISNUMBER(N298)),N298&lt;=0,N298&lt;M298),"Precio venta inválido","")),IF(O298="","Falta stock mínimo",IF(OR(NOT(ISNUMBER(O298)),O298&lt;0,MOD(O298,1)&lt;&gt;0),"Stock mínimo inválido","")),IF(P298="","Falta unidad",IF(COUNTIF(UnidadesLista,P298)=0,"Unidad inválida","")),IF(AND(K298&lt;&gt;"",COUNTIF(ProveedoresLista,K298)=0),"Proveedor no catalogado",""),IF(X298="","Falta cantidad contada",IF(OR(NOT(ISNUMBER(X298)),X298&lt;0,ABS(X298*1000-ROUND(X298*1000,0))&gt;0.0000001),"Cantidad inválida",IF(AND(Q298="NO",MOD(X298,1)&lt;&gt;0),"Cantidad fraccionaria no permitida",""))),IF(AND(R298="SI",OR(NOT(ISNUMBER(S298)),S298&lt;1,MOD(S298,1)&lt;&gt;0)),"Empaque inválido",""),IF(OR(AND(AF298="",AG298="ESCANEADO"),AND(AF298&lt;&gt;"",AG298&lt;&gt;"ESCANEADO")),"Barcode/estado inconsistente",""),IF(AK298&lt;&gt;"",AK298,"")))</f>
        <v/>
      </c>
      <c r="AJ298" s="21" t="n"/>
      <c r="AK298" s="17">
        <f>IF(G298="","",IF(OR(COUNTIFS($G$5:$G$445,G298,$I$5:$I$445,I298,$J$5:$J$445,J298,$P$5:$P$445,P298)&gt;1,AND(AF298&lt;&gt;"",COUNTIF($AF$5:$AF$445,AF298)&gt;1)),"REVISAR_POSIBLE_DUPLICADO",""))</f>
        <v/>
      </c>
    </row>
    <row r="299">
      <c r="A299" s="17" t="inlineStr">
        <is>
          <t>16afce7d-e5e8-53a0-9239-695136a5b102</t>
        </is>
      </c>
      <c r="B299" s="18" t="inlineStr">
        <is>
          <t>NUEVO</t>
        </is>
      </c>
      <c r="C299" s="18" t="inlineStr">
        <is>
          <t>ACTIVO</t>
        </is>
      </c>
      <c r="D299" s="18" t="n"/>
      <c r="E299" s="17" t="n"/>
      <c r="F299" s="17" t="n"/>
      <c r="G299" s="19" t="n"/>
      <c r="H299" s="19" t="n"/>
      <c r="I299" s="20" t="n"/>
      <c r="J299" s="20" t="n"/>
      <c r="K299" s="21" t="n"/>
      <c r="L299" s="18" t="n"/>
      <c r="M299" s="22" t="n"/>
      <c r="N299" s="22" t="n"/>
      <c r="O299" s="23" t="n">
        <v>10</v>
      </c>
      <c r="P299" s="24" t="inlineStr">
        <is>
          <t>UNIDAD</t>
        </is>
      </c>
      <c r="Q299" s="20" t="inlineStr">
        <is>
          <t>NO</t>
        </is>
      </c>
      <c r="R299" s="20" t="inlineStr">
        <is>
          <t>NO</t>
        </is>
      </c>
      <c r="S299" s="25" t="n">
        <v>1</v>
      </c>
      <c r="T299" s="20" t="inlineStr">
        <is>
          <t>NO</t>
        </is>
      </c>
      <c r="U299" s="20" t="n"/>
      <c r="V299" s="21" t="n"/>
      <c r="W299" s="26" t="n"/>
      <c r="X299" s="27" t="n"/>
      <c r="Y299" s="20" t="n"/>
      <c r="Z299" s="20" t="n"/>
      <c r="AA299" s="26">
        <f>IF(X299="","",X299-IF(W299="",0,W299))</f>
        <v/>
      </c>
      <c r="AB299" s="28">
        <f>IF(OR(X299="",M299=""),"",X299*M299)</f>
        <v/>
      </c>
      <c r="AC299" s="28">
        <f>IF(OR(X299="",N299=""),"",X299*N299)</f>
        <v/>
      </c>
      <c r="AD299" s="28">
        <f>IF(OR(M299="",N299=""),"",N299-M299)</f>
        <v/>
      </c>
      <c r="AE299" s="29">
        <f>IFERROR(IF(M299&gt;0,(N299-M299)/M299,""),"")</f>
        <v/>
      </c>
      <c r="AF299" s="30" t="n"/>
      <c r="AG299" s="30" t="inlineStr">
        <is>
          <t>PENDIENTE</t>
        </is>
      </c>
      <c r="AH299" s="18">
        <f>IF(NOT(OR(B299="EXISTENTE",COUNTA(G299,H299,I299,J299,K299,M299,N299,U299,V299,X299,Y299,Z299,AF299,AJ299)&gt;0)),"",IF(AK299&lt;&gt;"","REVISAR",IF(OR(G299="",H299="",M299="",N299="",O299="",P299="",X299=""),"INCOMPLETO",IF(AI299&lt;&gt;"","REVISAR",IF(AND(AF299&lt;&gt;"",AG299="ESCANEADO"),"LISTO_COMPLETO","LISTO_SIN_BARCODE")))))</f>
        <v/>
      </c>
      <c r="AI299" s="17">
        <f>IF(NOT(OR(B299="EXISTENTE",COUNTA(G299,H299,I299,J299,K299,M299,N299,U299,V299,X299,Y299,Z299,AF299,AJ299)&gt;0)),"",TEXTJOIN(" | ",TRUE,IF(A299="","Falta ID staging",""),IF(COUNTIF($A$5:$A$445,A299)&gt;1,"ID staging duplicado",""),IF(G299="","Falta nombre",""),IF(LEN(G299)&gt;150,"Nombre &gt;150 caracteres",""),IF(H299="","Falta categoría",IF(COUNTIF(CategoriasLista,H299)=0,"Categoría inválida","")),IF(M299="","Falta precio compra",IF(OR(NOT(ISNUMBER(M299)),M299&lt;0),"Precio compra inválido","")),IF(N299="","Falta precio venta",IF(OR(NOT(ISNUMBER(N299)),N299&lt;=0,N299&lt;M299),"Precio venta inválido","")),IF(O299="","Falta stock mínimo",IF(OR(NOT(ISNUMBER(O299)),O299&lt;0,MOD(O299,1)&lt;&gt;0),"Stock mínimo inválido","")),IF(P299="","Falta unidad",IF(COUNTIF(UnidadesLista,P299)=0,"Unidad inválida","")),IF(AND(K299&lt;&gt;"",COUNTIF(ProveedoresLista,K299)=0),"Proveedor no catalogado",""),IF(X299="","Falta cantidad contada",IF(OR(NOT(ISNUMBER(X299)),X299&lt;0,ABS(X299*1000-ROUND(X299*1000,0))&gt;0.0000001),"Cantidad inválida",IF(AND(Q299="NO",MOD(X299,1)&lt;&gt;0),"Cantidad fraccionaria no permitida",""))),IF(AND(R299="SI",OR(NOT(ISNUMBER(S299)),S299&lt;1,MOD(S299,1)&lt;&gt;0)),"Empaque inválido",""),IF(OR(AND(AF299="",AG299="ESCANEADO"),AND(AF299&lt;&gt;"",AG299&lt;&gt;"ESCANEADO")),"Barcode/estado inconsistente",""),IF(AK299&lt;&gt;"",AK299,"")))</f>
        <v/>
      </c>
      <c r="AJ299" s="21" t="n"/>
      <c r="AK299" s="17">
        <f>IF(G299="","",IF(OR(COUNTIFS($G$5:$G$445,G299,$I$5:$I$445,I299,$J$5:$J$445,J299,$P$5:$P$445,P299)&gt;1,AND(AF299&lt;&gt;"",COUNTIF($AF$5:$AF$445,AF299)&gt;1)),"REVISAR_POSIBLE_DUPLICADO",""))</f>
        <v/>
      </c>
    </row>
    <row r="300">
      <c r="A300" s="17" t="inlineStr">
        <is>
          <t>5c106bc9-236c-54ff-b1c3-a43abff8581a</t>
        </is>
      </c>
      <c r="B300" s="18" t="inlineStr">
        <is>
          <t>NUEVO</t>
        </is>
      </c>
      <c r="C300" s="18" t="inlineStr">
        <is>
          <t>ACTIVO</t>
        </is>
      </c>
      <c r="D300" s="18" t="n"/>
      <c r="E300" s="17" t="n"/>
      <c r="F300" s="17" t="n"/>
      <c r="G300" s="19" t="n"/>
      <c r="H300" s="19" t="n"/>
      <c r="I300" s="20" t="n"/>
      <c r="J300" s="20" t="n"/>
      <c r="K300" s="21" t="n"/>
      <c r="L300" s="18" t="n"/>
      <c r="M300" s="22" t="n"/>
      <c r="N300" s="22" t="n"/>
      <c r="O300" s="23" t="n">
        <v>10</v>
      </c>
      <c r="P300" s="24" t="inlineStr">
        <is>
          <t>UNIDAD</t>
        </is>
      </c>
      <c r="Q300" s="20" t="inlineStr">
        <is>
          <t>NO</t>
        </is>
      </c>
      <c r="R300" s="20" t="inlineStr">
        <is>
          <t>NO</t>
        </is>
      </c>
      <c r="S300" s="25" t="n">
        <v>1</v>
      </c>
      <c r="T300" s="20" t="inlineStr">
        <is>
          <t>NO</t>
        </is>
      </c>
      <c r="U300" s="20" t="n"/>
      <c r="V300" s="21" t="n"/>
      <c r="W300" s="26" t="n"/>
      <c r="X300" s="27" t="n"/>
      <c r="Y300" s="20" t="n"/>
      <c r="Z300" s="20" t="n"/>
      <c r="AA300" s="26">
        <f>IF(X300="","",X300-IF(W300="",0,W300))</f>
        <v/>
      </c>
      <c r="AB300" s="28">
        <f>IF(OR(X300="",M300=""),"",X300*M300)</f>
        <v/>
      </c>
      <c r="AC300" s="28">
        <f>IF(OR(X300="",N300=""),"",X300*N300)</f>
        <v/>
      </c>
      <c r="AD300" s="28">
        <f>IF(OR(M300="",N300=""),"",N300-M300)</f>
        <v/>
      </c>
      <c r="AE300" s="29">
        <f>IFERROR(IF(M300&gt;0,(N300-M300)/M300,""),"")</f>
        <v/>
      </c>
      <c r="AF300" s="30" t="n"/>
      <c r="AG300" s="30" t="inlineStr">
        <is>
          <t>PENDIENTE</t>
        </is>
      </c>
      <c r="AH300" s="18">
        <f>IF(NOT(OR(B300="EXISTENTE",COUNTA(G300,H300,I300,J300,K300,M300,N300,U300,V300,X300,Y300,Z300,AF300,AJ300)&gt;0)),"",IF(AK300&lt;&gt;"","REVISAR",IF(OR(G300="",H300="",M300="",N300="",O300="",P300="",X300=""),"INCOMPLETO",IF(AI300&lt;&gt;"","REVISAR",IF(AND(AF300&lt;&gt;"",AG300="ESCANEADO"),"LISTO_COMPLETO","LISTO_SIN_BARCODE")))))</f>
        <v/>
      </c>
      <c r="AI300" s="17">
        <f>IF(NOT(OR(B300="EXISTENTE",COUNTA(G300,H300,I300,J300,K300,M300,N300,U300,V300,X300,Y300,Z300,AF300,AJ300)&gt;0)),"",TEXTJOIN(" | ",TRUE,IF(A300="","Falta ID staging",""),IF(COUNTIF($A$5:$A$445,A300)&gt;1,"ID staging duplicado",""),IF(G300="","Falta nombre",""),IF(LEN(G300)&gt;150,"Nombre &gt;150 caracteres",""),IF(H300="","Falta categoría",IF(COUNTIF(CategoriasLista,H300)=0,"Categoría inválida","")),IF(M300="","Falta precio compra",IF(OR(NOT(ISNUMBER(M300)),M300&lt;0),"Precio compra inválido","")),IF(N300="","Falta precio venta",IF(OR(NOT(ISNUMBER(N300)),N300&lt;=0,N300&lt;M300),"Precio venta inválido","")),IF(O300="","Falta stock mínimo",IF(OR(NOT(ISNUMBER(O300)),O300&lt;0,MOD(O300,1)&lt;&gt;0),"Stock mínimo inválido","")),IF(P300="","Falta unidad",IF(COUNTIF(UnidadesLista,P300)=0,"Unidad inválida","")),IF(AND(K300&lt;&gt;"",COUNTIF(ProveedoresLista,K300)=0),"Proveedor no catalogado",""),IF(X300="","Falta cantidad contada",IF(OR(NOT(ISNUMBER(X300)),X300&lt;0,ABS(X300*1000-ROUND(X300*1000,0))&gt;0.0000001),"Cantidad inválida",IF(AND(Q300="NO",MOD(X300,1)&lt;&gt;0),"Cantidad fraccionaria no permitida",""))),IF(AND(R300="SI",OR(NOT(ISNUMBER(S300)),S300&lt;1,MOD(S300,1)&lt;&gt;0)),"Empaque inválido",""),IF(OR(AND(AF300="",AG300="ESCANEADO"),AND(AF300&lt;&gt;"",AG300&lt;&gt;"ESCANEADO")),"Barcode/estado inconsistente",""),IF(AK300&lt;&gt;"",AK300,"")))</f>
        <v/>
      </c>
      <c r="AJ300" s="21" t="n"/>
      <c r="AK300" s="17">
        <f>IF(G300="","",IF(OR(COUNTIFS($G$5:$G$445,G300,$I$5:$I$445,I300,$J$5:$J$445,J300,$P$5:$P$445,P300)&gt;1,AND(AF300&lt;&gt;"",COUNTIF($AF$5:$AF$445,AF300)&gt;1)),"REVISAR_POSIBLE_DUPLICADO",""))</f>
        <v/>
      </c>
    </row>
    <row r="301">
      <c r="A301" s="17" t="inlineStr">
        <is>
          <t>46fd2d83-01a9-5b98-9b6f-6e8123e9d179</t>
        </is>
      </c>
      <c r="B301" s="18" t="inlineStr">
        <is>
          <t>NUEVO</t>
        </is>
      </c>
      <c r="C301" s="18" t="inlineStr">
        <is>
          <t>ACTIVO</t>
        </is>
      </c>
      <c r="D301" s="18" t="n"/>
      <c r="E301" s="17" t="n"/>
      <c r="F301" s="17" t="n"/>
      <c r="G301" s="19" t="n"/>
      <c r="H301" s="19" t="n"/>
      <c r="I301" s="20" t="n"/>
      <c r="J301" s="20" t="n"/>
      <c r="K301" s="21" t="n"/>
      <c r="L301" s="18" t="n"/>
      <c r="M301" s="22" t="n"/>
      <c r="N301" s="22" t="n"/>
      <c r="O301" s="23" t="n">
        <v>10</v>
      </c>
      <c r="P301" s="24" t="inlineStr">
        <is>
          <t>UNIDAD</t>
        </is>
      </c>
      <c r="Q301" s="20" t="inlineStr">
        <is>
          <t>NO</t>
        </is>
      </c>
      <c r="R301" s="20" t="inlineStr">
        <is>
          <t>NO</t>
        </is>
      </c>
      <c r="S301" s="25" t="n">
        <v>1</v>
      </c>
      <c r="T301" s="20" t="inlineStr">
        <is>
          <t>NO</t>
        </is>
      </c>
      <c r="U301" s="20" t="n"/>
      <c r="V301" s="21" t="n"/>
      <c r="W301" s="26" t="n"/>
      <c r="X301" s="27" t="n"/>
      <c r="Y301" s="20" t="n"/>
      <c r="Z301" s="20" t="n"/>
      <c r="AA301" s="26">
        <f>IF(X301="","",X301-IF(W301="",0,W301))</f>
        <v/>
      </c>
      <c r="AB301" s="28">
        <f>IF(OR(X301="",M301=""),"",X301*M301)</f>
        <v/>
      </c>
      <c r="AC301" s="28">
        <f>IF(OR(X301="",N301=""),"",X301*N301)</f>
        <v/>
      </c>
      <c r="AD301" s="28">
        <f>IF(OR(M301="",N301=""),"",N301-M301)</f>
        <v/>
      </c>
      <c r="AE301" s="29">
        <f>IFERROR(IF(M301&gt;0,(N301-M301)/M301,""),"")</f>
        <v/>
      </c>
      <c r="AF301" s="30" t="n"/>
      <c r="AG301" s="30" t="inlineStr">
        <is>
          <t>PENDIENTE</t>
        </is>
      </c>
      <c r="AH301" s="18">
        <f>IF(NOT(OR(B301="EXISTENTE",COUNTA(G301,H301,I301,J301,K301,M301,N301,U301,V301,X301,Y301,Z301,AF301,AJ301)&gt;0)),"",IF(AK301&lt;&gt;"","REVISAR",IF(OR(G301="",H301="",M301="",N301="",O301="",P301="",X301=""),"INCOMPLETO",IF(AI301&lt;&gt;"","REVISAR",IF(AND(AF301&lt;&gt;"",AG301="ESCANEADO"),"LISTO_COMPLETO","LISTO_SIN_BARCODE")))))</f>
        <v/>
      </c>
      <c r="AI301" s="17">
        <f>IF(NOT(OR(B301="EXISTENTE",COUNTA(G301,H301,I301,J301,K301,M301,N301,U301,V301,X301,Y301,Z301,AF301,AJ301)&gt;0)),"",TEXTJOIN(" | ",TRUE,IF(A301="","Falta ID staging",""),IF(COUNTIF($A$5:$A$445,A301)&gt;1,"ID staging duplicado",""),IF(G301="","Falta nombre",""),IF(LEN(G301)&gt;150,"Nombre &gt;150 caracteres",""),IF(H301="","Falta categoría",IF(COUNTIF(CategoriasLista,H301)=0,"Categoría inválida","")),IF(M301="","Falta precio compra",IF(OR(NOT(ISNUMBER(M301)),M301&lt;0),"Precio compra inválido","")),IF(N301="","Falta precio venta",IF(OR(NOT(ISNUMBER(N301)),N301&lt;=0,N301&lt;M301),"Precio venta inválido","")),IF(O301="","Falta stock mínimo",IF(OR(NOT(ISNUMBER(O301)),O301&lt;0,MOD(O301,1)&lt;&gt;0),"Stock mínimo inválido","")),IF(P301="","Falta unidad",IF(COUNTIF(UnidadesLista,P301)=0,"Unidad inválida","")),IF(AND(K301&lt;&gt;"",COUNTIF(ProveedoresLista,K301)=0),"Proveedor no catalogado",""),IF(X301="","Falta cantidad contada",IF(OR(NOT(ISNUMBER(X301)),X301&lt;0,ABS(X301*1000-ROUND(X301*1000,0))&gt;0.0000001),"Cantidad inválida",IF(AND(Q301="NO",MOD(X301,1)&lt;&gt;0),"Cantidad fraccionaria no permitida",""))),IF(AND(R301="SI",OR(NOT(ISNUMBER(S301)),S301&lt;1,MOD(S301,1)&lt;&gt;0)),"Empaque inválido",""),IF(OR(AND(AF301="",AG301="ESCANEADO"),AND(AF301&lt;&gt;"",AG301&lt;&gt;"ESCANEADO")),"Barcode/estado inconsistente",""),IF(AK301&lt;&gt;"",AK301,"")))</f>
        <v/>
      </c>
      <c r="AJ301" s="21" t="n"/>
      <c r="AK301" s="17">
        <f>IF(G301="","",IF(OR(COUNTIFS($G$5:$G$445,G301,$I$5:$I$445,I301,$J$5:$J$445,J301,$P$5:$P$445,P301)&gt;1,AND(AF301&lt;&gt;"",COUNTIF($AF$5:$AF$445,AF301)&gt;1)),"REVISAR_POSIBLE_DUPLICADO",""))</f>
        <v/>
      </c>
    </row>
    <row r="302">
      <c r="A302" s="17" t="inlineStr">
        <is>
          <t>c7166cbb-a798-556b-bb5c-1b625bf8fbff</t>
        </is>
      </c>
      <c r="B302" s="18" t="inlineStr">
        <is>
          <t>NUEVO</t>
        </is>
      </c>
      <c r="C302" s="18" t="inlineStr">
        <is>
          <t>ACTIVO</t>
        </is>
      </c>
      <c r="D302" s="18" t="n"/>
      <c r="E302" s="17" t="n"/>
      <c r="F302" s="17" t="n"/>
      <c r="G302" s="19" t="n"/>
      <c r="H302" s="19" t="n"/>
      <c r="I302" s="20" t="n"/>
      <c r="J302" s="20" t="n"/>
      <c r="K302" s="21" t="n"/>
      <c r="L302" s="18" t="n"/>
      <c r="M302" s="22" t="n"/>
      <c r="N302" s="22" t="n"/>
      <c r="O302" s="23" t="n">
        <v>10</v>
      </c>
      <c r="P302" s="24" t="inlineStr">
        <is>
          <t>UNIDAD</t>
        </is>
      </c>
      <c r="Q302" s="20" t="inlineStr">
        <is>
          <t>NO</t>
        </is>
      </c>
      <c r="R302" s="20" t="inlineStr">
        <is>
          <t>NO</t>
        </is>
      </c>
      <c r="S302" s="25" t="n">
        <v>1</v>
      </c>
      <c r="T302" s="20" t="inlineStr">
        <is>
          <t>NO</t>
        </is>
      </c>
      <c r="U302" s="20" t="n"/>
      <c r="V302" s="21" t="n"/>
      <c r="W302" s="26" t="n"/>
      <c r="X302" s="27" t="n"/>
      <c r="Y302" s="20" t="n"/>
      <c r="Z302" s="20" t="n"/>
      <c r="AA302" s="26">
        <f>IF(X302="","",X302-IF(W302="",0,W302))</f>
        <v/>
      </c>
      <c r="AB302" s="28">
        <f>IF(OR(X302="",M302=""),"",X302*M302)</f>
        <v/>
      </c>
      <c r="AC302" s="28">
        <f>IF(OR(X302="",N302=""),"",X302*N302)</f>
        <v/>
      </c>
      <c r="AD302" s="28">
        <f>IF(OR(M302="",N302=""),"",N302-M302)</f>
        <v/>
      </c>
      <c r="AE302" s="29">
        <f>IFERROR(IF(M302&gt;0,(N302-M302)/M302,""),"")</f>
        <v/>
      </c>
      <c r="AF302" s="30" t="n"/>
      <c r="AG302" s="30" t="inlineStr">
        <is>
          <t>PENDIENTE</t>
        </is>
      </c>
      <c r="AH302" s="18">
        <f>IF(NOT(OR(B302="EXISTENTE",COUNTA(G302,H302,I302,J302,K302,M302,N302,U302,V302,X302,Y302,Z302,AF302,AJ302)&gt;0)),"",IF(AK302&lt;&gt;"","REVISAR",IF(OR(G302="",H302="",M302="",N302="",O302="",P302="",X302=""),"INCOMPLETO",IF(AI302&lt;&gt;"","REVISAR",IF(AND(AF302&lt;&gt;"",AG302="ESCANEADO"),"LISTO_COMPLETO","LISTO_SIN_BARCODE")))))</f>
        <v/>
      </c>
      <c r="AI302" s="17">
        <f>IF(NOT(OR(B302="EXISTENTE",COUNTA(G302,H302,I302,J302,K302,M302,N302,U302,V302,X302,Y302,Z302,AF302,AJ302)&gt;0)),"",TEXTJOIN(" | ",TRUE,IF(A302="","Falta ID staging",""),IF(COUNTIF($A$5:$A$445,A302)&gt;1,"ID staging duplicado",""),IF(G302="","Falta nombre",""),IF(LEN(G302)&gt;150,"Nombre &gt;150 caracteres",""),IF(H302="","Falta categoría",IF(COUNTIF(CategoriasLista,H302)=0,"Categoría inválida","")),IF(M302="","Falta precio compra",IF(OR(NOT(ISNUMBER(M302)),M302&lt;0),"Precio compra inválido","")),IF(N302="","Falta precio venta",IF(OR(NOT(ISNUMBER(N302)),N302&lt;=0,N302&lt;M302),"Precio venta inválido","")),IF(O302="","Falta stock mínimo",IF(OR(NOT(ISNUMBER(O302)),O302&lt;0,MOD(O302,1)&lt;&gt;0),"Stock mínimo inválido","")),IF(P302="","Falta unidad",IF(COUNTIF(UnidadesLista,P302)=0,"Unidad inválida","")),IF(AND(K302&lt;&gt;"",COUNTIF(ProveedoresLista,K302)=0),"Proveedor no catalogado",""),IF(X302="","Falta cantidad contada",IF(OR(NOT(ISNUMBER(X302)),X302&lt;0,ABS(X302*1000-ROUND(X302*1000,0))&gt;0.0000001),"Cantidad inválida",IF(AND(Q302="NO",MOD(X302,1)&lt;&gt;0),"Cantidad fraccionaria no permitida",""))),IF(AND(R302="SI",OR(NOT(ISNUMBER(S302)),S302&lt;1,MOD(S302,1)&lt;&gt;0)),"Empaque inválido",""),IF(OR(AND(AF302="",AG302="ESCANEADO"),AND(AF302&lt;&gt;"",AG302&lt;&gt;"ESCANEADO")),"Barcode/estado inconsistente",""),IF(AK302&lt;&gt;"",AK302,"")))</f>
        <v/>
      </c>
      <c r="AJ302" s="21" t="n"/>
      <c r="AK302" s="17">
        <f>IF(G302="","",IF(OR(COUNTIFS($G$5:$G$445,G302,$I$5:$I$445,I302,$J$5:$J$445,J302,$P$5:$P$445,P302)&gt;1,AND(AF302&lt;&gt;"",COUNTIF($AF$5:$AF$445,AF302)&gt;1)),"REVISAR_POSIBLE_DUPLICADO",""))</f>
        <v/>
      </c>
    </row>
    <row r="303">
      <c r="A303" s="17" t="inlineStr">
        <is>
          <t>c399beb8-9597-5c25-86fb-5eb402156273</t>
        </is>
      </c>
      <c r="B303" s="18" t="inlineStr">
        <is>
          <t>NUEVO</t>
        </is>
      </c>
      <c r="C303" s="18" t="inlineStr">
        <is>
          <t>ACTIVO</t>
        </is>
      </c>
      <c r="D303" s="18" t="n"/>
      <c r="E303" s="17" t="n"/>
      <c r="F303" s="17" t="n"/>
      <c r="G303" s="19" t="n"/>
      <c r="H303" s="19" t="n"/>
      <c r="I303" s="20" t="n"/>
      <c r="J303" s="20" t="n"/>
      <c r="K303" s="21" t="n"/>
      <c r="L303" s="18" t="n"/>
      <c r="M303" s="22" t="n"/>
      <c r="N303" s="22" t="n"/>
      <c r="O303" s="23" t="n">
        <v>10</v>
      </c>
      <c r="P303" s="24" t="inlineStr">
        <is>
          <t>UNIDAD</t>
        </is>
      </c>
      <c r="Q303" s="20" t="inlineStr">
        <is>
          <t>NO</t>
        </is>
      </c>
      <c r="R303" s="20" t="inlineStr">
        <is>
          <t>NO</t>
        </is>
      </c>
      <c r="S303" s="25" t="n">
        <v>1</v>
      </c>
      <c r="T303" s="20" t="inlineStr">
        <is>
          <t>NO</t>
        </is>
      </c>
      <c r="U303" s="20" t="n"/>
      <c r="V303" s="21" t="n"/>
      <c r="W303" s="26" t="n"/>
      <c r="X303" s="27" t="n"/>
      <c r="Y303" s="20" t="n"/>
      <c r="Z303" s="20" t="n"/>
      <c r="AA303" s="26">
        <f>IF(X303="","",X303-IF(W303="",0,W303))</f>
        <v/>
      </c>
      <c r="AB303" s="28">
        <f>IF(OR(X303="",M303=""),"",X303*M303)</f>
        <v/>
      </c>
      <c r="AC303" s="28">
        <f>IF(OR(X303="",N303=""),"",X303*N303)</f>
        <v/>
      </c>
      <c r="AD303" s="28">
        <f>IF(OR(M303="",N303=""),"",N303-M303)</f>
        <v/>
      </c>
      <c r="AE303" s="29">
        <f>IFERROR(IF(M303&gt;0,(N303-M303)/M303,""),"")</f>
        <v/>
      </c>
      <c r="AF303" s="30" t="n"/>
      <c r="AG303" s="30" t="inlineStr">
        <is>
          <t>PENDIENTE</t>
        </is>
      </c>
      <c r="AH303" s="18">
        <f>IF(NOT(OR(B303="EXISTENTE",COUNTA(G303,H303,I303,J303,K303,M303,N303,U303,V303,X303,Y303,Z303,AF303,AJ303)&gt;0)),"",IF(AK303&lt;&gt;"","REVISAR",IF(OR(G303="",H303="",M303="",N303="",O303="",P303="",X303=""),"INCOMPLETO",IF(AI303&lt;&gt;"","REVISAR",IF(AND(AF303&lt;&gt;"",AG303="ESCANEADO"),"LISTO_COMPLETO","LISTO_SIN_BARCODE")))))</f>
        <v/>
      </c>
      <c r="AI303" s="17">
        <f>IF(NOT(OR(B303="EXISTENTE",COUNTA(G303,H303,I303,J303,K303,M303,N303,U303,V303,X303,Y303,Z303,AF303,AJ303)&gt;0)),"",TEXTJOIN(" | ",TRUE,IF(A303="","Falta ID staging",""),IF(COUNTIF($A$5:$A$445,A303)&gt;1,"ID staging duplicado",""),IF(G303="","Falta nombre",""),IF(LEN(G303)&gt;150,"Nombre &gt;150 caracteres",""),IF(H303="","Falta categoría",IF(COUNTIF(CategoriasLista,H303)=0,"Categoría inválida","")),IF(M303="","Falta precio compra",IF(OR(NOT(ISNUMBER(M303)),M303&lt;0),"Precio compra inválido","")),IF(N303="","Falta precio venta",IF(OR(NOT(ISNUMBER(N303)),N303&lt;=0,N303&lt;M303),"Precio venta inválido","")),IF(O303="","Falta stock mínimo",IF(OR(NOT(ISNUMBER(O303)),O303&lt;0,MOD(O303,1)&lt;&gt;0),"Stock mínimo inválido","")),IF(P303="","Falta unidad",IF(COUNTIF(UnidadesLista,P303)=0,"Unidad inválida","")),IF(AND(K303&lt;&gt;"",COUNTIF(ProveedoresLista,K303)=0),"Proveedor no catalogado",""),IF(X303="","Falta cantidad contada",IF(OR(NOT(ISNUMBER(X303)),X303&lt;0,ABS(X303*1000-ROUND(X303*1000,0))&gt;0.0000001),"Cantidad inválida",IF(AND(Q303="NO",MOD(X303,1)&lt;&gt;0),"Cantidad fraccionaria no permitida",""))),IF(AND(R303="SI",OR(NOT(ISNUMBER(S303)),S303&lt;1,MOD(S303,1)&lt;&gt;0)),"Empaque inválido",""),IF(OR(AND(AF303="",AG303="ESCANEADO"),AND(AF303&lt;&gt;"",AG303&lt;&gt;"ESCANEADO")),"Barcode/estado inconsistente",""),IF(AK303&lt;&gt;"",AK303,"")))</f>
        <v/>
      </c>
      <c r="AJ303" s="21" t="n"/>
      <c r="AK303" s="17">
        <f>IF(G303="","",IF(OR(COUNTIFS($G$5:$G$445,G303,$I$5:$I$445,I303,$J$5:$J$445,J303,$P$5:$P$445,P303)&gt;1,AND(AF303&lt;&gt;"",COUNTIF($AF$5:$AF$445,AF303)&gt;1)),"REVISAR_POSIBLE_DUPLICADO",""))</f>
        <v/>
      </c>
    </row>
    <row r="304">
      <c r="A304" s="17" t="inlineStr">
        <is>
          <t>e77f68cb-c0c4-589b-9ff2-d1c42d477caf</t>
        </is>
      </c>
      <c r="B304" s="18" t="inlineStr">
        <is>
          <t>NUEVO</t>
        </is>
      </c>
      <c r="C304" s="18" t="inlineStr">
        <is>
          <t>ACTIVO</t>
        </is>
      </c>
      <c r="D304" s="18" t="n"/>
      <c r="E304" s="17" t="n"/>
      <c r="F304" s="17" t="n"/>
      <c r="G304" s="19" t="n"/>
      <c r="H304" s="19" t="n"/>
      <c r="I304" s="20" t="n"/>
      <c r="J304" s="20" t="n"/>
      <c r="K304" s="21" t="n"/>
      <c r="L304" s="18" t="n"/>
      <c r="M304" s="22" t="n"/>
      <c r="N304" s="22" t="n"/>
      <c r="O304" s="23" t="n">
        <v>10</v>
      </c>
      <c r="P304" s="24" t="inlineStr">
        <is>
          <t>UNIDAD</t>
        </is>
      </c>
      <c r="Q304" s="20" t="inlineStr">
        <is>
          <t>NO</t>
        </is>
      </c>
      <c r="R304" s="20" t="inlineStr">
        <is>
          <t>NO</t>
        </is>
      </c>
      <c r="S304" s="25" t="n">
        <v>1</v>
      </c>
      <c r="T304" s="20" t="inlineStr">
        <is>
          <t>NO</t>
        </is>
      </c>
      <c r="U304" s="20" t="n"/>
      <c r="V304" s="21" t="n"/>
      <c r="W304" s="26" t="n"/>
      <c r="X304" s="27" t="n"/>
      <c r="Y304" s="20" t="n"/>
      <c r="Z304" s="20" t="n"/>
      <c r="AA304" s="26">
        <f>IF(X304="","",X304-IF(W304="",0,W304))</f>
        <v/>
      </c>
      <c r="AB304" s="28">
        <f>IF(OR(X304="",M304=""),"",X304*M304)</f>
        <v/>
      </c>
      <c r="AC304" s="28">
        <f>IF(OR(X304="",N304=""),"",X304*N304)</f>
        <v/>
      </c>
      <c r="AD304" s="28">
        <f>IF(OR(M304="",N304=""),"",N304-M304)</f>
        <v/>
      </c>
      <c r="AE304" s="29">
        <f>IFERROR(IF(M304&gt;0,(N304-M304)/M304,""),"")</f>
        <v/>
      </c>
      <c r="AF304" s="30" t="n"/>
      <c r="AG304" s="30" t="inlineStr">
        <is>
          <t>PENDIENTE</t>
        </is>
      </c>
      <c r="AH304" s="18">
        <f>IF(NOT(OR(B304="EXISTENTE",COUNTA(G304,H304,I304,J304,K304,M304,N304,U304,V304,X304,Y304,Z304,AF304,AJ304)&gt;0)),"",IF(AK304&lt;&gt;"","REVISAR",IF(OR(G304="",H304="",M304="",N304="",O304="",P304="",X304=""),"INCOMPLETO",IF(AI304&lt;&gt;"","REVISAR",IF(AND(AF304&lt;&gt;"",AG304="ESCANEADO"),"LISTO_COMPLETO","LISTO_SIN_BARCODE")))))</f>
        <v/>
      </c>
      <c r="AI304" s="17">
        <f>IF(NOT(OR(B304="EXISTENTE",COUNTA(G304,H304,I304,J304,K304,M304,N304,U304,V304,X304,Y304,Z304,AF304,AJ304)&gt;0)),"",TEXTJOIN(" | ",TRUE,IF(A304="","Falta ID staging",""),IF(COUNTIF($A$5:$A$445,A304)&gt;1,"ID staging duplicado",""),IF(G304="","Falta nombre",""),IF(LEN(G304)&gt;150,"Nombre &gt;150 caracteres",""),IF(H304="","Falta categoría",IF(COUNTIF(CategoriasLista,H304)=0,"Categoría inválida","")),IF(M304="","Falta precio compra",IF(OR(NOT(ISNUMBER(M304)),M304&lt;0),"Precio compra inválido","")),IF(N304="","Falta precio venta",IF(OR(NOT(ISNUMBER(N304)),N304&lt;=0,N304&lt;M304),"Precio venta inválido","")),IF(O304="","Falta stock mínimo",IF(OR(NOT(ISNUMBER(O304)),O304&lt;0,MOD(O304,1)&lt;&gt;0),"Stock mínimo inválido","")),IF(P304="","Falta unidad",IF(COUNTIF(UnidadesLista,P304)=0,"Unidad inválida","")),IF(AND(K304&lt;&gt;"",COUNTIF(ProveedoresLista,K304)=0),"Proveedor no catalogado",""),IF(X304="","Falta cantidad contada",IF(OR(NOT(ISNUMBER(X304)),X304&lt;0,ABS(X304*1000-ROUND(X304*1000,0))&gt;0.0000001),"Cantidad inválida",IF(AND(Q304="NO",MOD(X304,1)&lt;&gt;0),"Cantidad fraccionaria no permitida",""))),IF(AND(R304="SI",OR(NOT(ISNUMBER(S304)),S304&lt;1,MOD(S304,1)&lt;&gt;0)),"Empaque inválido",""),IF(OR(AND(AF304="",AG304="ESCANEADO"),AND(AF304&lt;&gt;"",AG304&lt;&gt;"ESCANEADO")),"Barcode/estado inconsistente",""),IF(AK304&lt;&gt;"",AK304,"")))</f>
        <v/>
      </c>
      <c r="AJ304" s="21" t="n"/>
      <c r="AK304" s="17">
        <f>IF(G304="","",IF(OR(COUNTIFS($G$5:$G$445,G304,$I$5:$I$445,I304,$J$5:$J$445,J304,$P$5:$P$445,P304)&gt;1,AND(AF304&lt;&gt;"",COUNTIF($AF$5:$AF$445,AF304)&gt;1)),"REVISAR_POSIBLE_DUPLICADO",""))</f>
        <v/>
      </c>
    </row>
    <row r="305">
      <c r="A305" s="17" t="inlineStr">
        <is>
          <t>323c1a8b-36c3-5219-9db6-c4d858127104</t>
        </is>
      </c>
      <c r="B305" s="18" t="inlineStr">
        <is>
          <t>NUEVO</t>
        </is>
      </c>
      <c r="C305" s="18" t="inlineStr">
        <is>
          <t>ACTIVO</t>
        </is>
      </c>
      <c r="D305" s="18" t="n"/>
      <c r="E305" s="17" t="n"/>
      <c r="F305" s="17" t="n"/>
      <c r="G305" s="19" t="n"/>
      <c r="H305" s="19" t="n"/>
      <c r="I305" s="20" t="n"/>
      <c r="J305" s="20" t="n"/>
      <c r="K305" s="21" t="n"/>
      <c r="L305" s="18" t="n"/>
      <c r="M305" s="22" t="n"/>
      <c r="N305" s="22" t="n"/>
      <c r="O305" s="23" t="n">
        <v>10</v>
      </c>
      <c r="P305" s="24" t="inlineStr">
        <is>
          <t>UNIDAD</t>
        </is>
      </c>
      <c r="Q305" s="20" t="inlineStr">
        <is>
          <t>NO</t>
        </is>
      </c>
      <c r="R305" s="20" t="inlineStr">
        <is>
          <t>NO</t>
        </is>
      </c>
      <c r="S305" s="25" t="n">
        <v>1</v>
      </c>
      <c r="T305" s="20" t="inlineStr">
        <is>
          <t>NO</t>
        </is>
      </c>
      <c r="U305" s="20" t="n"/>
      <c r="V305" s="21" t="n"/>
      <c r="W305" s="26" t="n"/>
      <c r="X305" s="27" t="n"/>
      <c r="Y305" s="20" t="n"/>
      <c r="Z305" s="20" t="n"/>
      <c r="AA305" s="26">
        <f>IF(X305="","",X305-IF(W305="",0,W305))</f>
        <v/>
      </c>
      <c r="AB305" s="28">
        <f>IF(OR(X305="",M305=""),"",X305*M305)</f>
        <v/>
      </c>
      <c r="AC305" s="28">
        <f>IF(OR(X305="",N305=""),"",X305*N305)</f>
        <v/>
      </c>
      <c r="AD305" s="28">
        <f>IF(OR(M305="",N305=""),"",N305-M305)</f>
        <v/>
      </c>
      <c r="AE305" s="29">
        <f>IFERROR(IF(M305&gt;0,(N305-M305)/M305,""),"")</f>
        <v/>
      </c>
      <c r="AF305" s="30" t="n"/>
      <c r="AG305" s="30" t="inlineStr">
        <is>
          <t>PENDIENTE</t>
        </is>
      </c>
      <c r="AH305" s="18">
        <f>IF(NOT(OR(B305="EXISTENTE",COUNTA(G305,H305,I305,J305,K305,M305,N305,U305,V305,X305,Y305,Z305,AF305,AJ305)&gt;0)),"",IF(AK305&lt;&gt;"","REVISAR",IF(OR(G305="",H305="",M305="",N305="",O305="",P305="",X305=""),"INCOMPLETO",IF(AI305&lt;&gt;"","REVISAR",IF(AND(AF305&lt;&gt;"",AG305="ESCANEADO"),"LISTO_COMPLETO","LISTO_SIN_BARCODE")))))</f>
        <v/>
      </c>
      <c r="AI305" s="17">
        <f>IF(NOT(OR(B305="EXISTENTE",COUNTA(G305,H305,I305,J305,K305,M305,N305,U305,V305,X305,Y305,Z305,AF305,AJ305)&gt;0)),"",TEXTJOIN(" | ",TRUE,IF(A305="","Falta ID staging",""),IF(COUNTIF($A$5:$A$445,A305)&gt;1,"ID staging duplicado",""),IF(G305="","Falta nombre",""),IF(LEN(G305)&gt;150,"Nombre &gt;150 caracteres",""),IF(H305="","Falta categoría",IF(COUNTIF(CategoriasLista,H305)=0,"Categoría inválida","")),IF(M305="","Falta precio compra",IF(OR(NOT(ISNUMBER(M305)),M305&lt;0),"Precio compra inválido","")),IF(N305="","Falta precio venta",IF(OR(NOT(ISNUMBER(N305)),N305&lt;=0,N305&lt;M305),"Precio venta inválido","")),IF(O305="","Falta stock mínimo",IF(OR(NOT(ISNUMBER(O305)),O305&lt;0,MOD(O305,1)&lt;&gt;0),"Stock mínimo inválido","")),IF(P305="","Falta unidad",IF(COUNTIF(UnidadesLista,P305)=0,"Unidad inválida","")),IF(AND(K305&lt;&gt;"",COUNTIF(ProveedoresLista,K305)=0),"Proveedor no catalogado",""),IF(X305="","Falta cantidad contada",IF(OR(NOT(ISNUMBER(X305)),X305&lt;0,ABS(X305*1000-ROUND(X305*1000,0))&gt;0.0000001),"Cantidad inválida",IF(AND(Q305="NO",MOD(X305,1)&lt;&gt;0),"Cantidad fraccionaria no permitida",""))),IF(AND(R305="SI",OR(NOT(ISNUMBER(S305)),S305&lt;1,MOD(S305,1)&lt;&gt;0)),"Empaque inválido",""),IF(OR(AND(AF305="",AG305="ESCANEADO"),AND(AF305&lt;&gt;"",AG305&lt;&gt;"ESCANEADO")),"Barcode/estado inconsistente",""),IF(AK305&lt;&gt;"",AK305,"")))</f>
        <v/>
      </c>
      <c r="AJ305" s="21" t="n"/>
      <c r="AK305" s="17">
        <f>IF(G305="","",IF(OR(COUNTIFS($G$5:$G$445,G305,$I$5:$I$445,I305,$J$5:$J$445,J305,$P$5:$P$445,P305)&gt;1,AND(AF305&lt;&gt;"",COUNTIF($AF$5:$AF$445,AF305)&gt;1)),"REVISAR_POSIBLE_DUPLICADO",""))</f>
        <v/>
      </c>
    </row>
    <row r="306">
      <c r="A306" s="17" t="inlineStr">
        <is>
          <t>4c8e3176-de62-5e91-a7dc-4b7294b8004e</t>
        </is>
      </c>
      <c r="B306" s="18" t="inlineStr">
        <is>
          <t>NUEVO</t>
        </is>
      </c>
      <c r="C306" s="18" t="inlineStr">
        <is>
          <t>ACTIVO</t>
        </is>
      </c>
      <c r="D306" s="18" t="n"/>
      <c r="E306" s="17" t="n"/>
      <c r="F306" s="17" t="n"/>
      <c r="G306" s="19" t="n"/>
      <c r="H306" s="19" t="n"/>
      <c r="I306" s="20" t="n"/>
      <c r="J306" s="20" t="n"/>
      <c r="K306" s="21" t="n"/>
      <c r="L306" s="18" t="n"/>
      <c r="M306" s="22" t="n"/>
      <c r="N306" s="22" t="n"/>
      <c r="O306" s="23" t="n">
        <v>10</v>
      </c>
      <c r="P306" s="24" t="inlineStr">
        <is>
          <t>UNIDAD</t>
        </is>
      </c>
      <c r="Q306" s="20" t="inlineStr">
        <is>
          <t>NO</t>
        </is>
      </c>
      <c r="R306" s="20" t="inlineStr">
        <is>
          <t>NO</t>
        </is>
      </c>
      <c r="S306" s="25" t="n">
        <v>1</v>
      </c>
      <c r="T306" s="20" t="inlineStr">
        <is>
          <t>NO</t>
        </is>
      </c>
      <c r="U306" s="20" t="n"/>
      <c r="V306" s="21" t="n"/>
      <c r="W306" s="26" t="n"/>
      <c r="X306" s="27" t="n"/>
      <c r="Y306" s="20" t="n"/>
      <c r="Z306" s="20" t="n"/>
      <c r="AA306" s="26">
        <f>IF(X306="","",X306-IF(W306="",0,W306))</f>
        <v/>
      </c>
      <c r="AB306" s="28">
        <f>IF(OR(X306="",M306=""),"",X306*M306)</f>
        <v/>
      </c>
      <c r="AC306" s="28">
        <f>IF(OR(X306="",N306=""),"",X306*N306)</f>
        <v/>
      </c>
      <c r="AD306" s="28">
        <f>IF(OR(M306="",N306=""),"",N306-M306)</f>
        <v/>
      </c>
      <c r="AE306" s="29">
        <f>IFERROR(IF(M306&gt;0,(N306-M306)/M306,""),"")</f>
        <v/>
      </c>
      <c r="AF306" s="30" t="n"/>
      <c r="AG306" s="30" t="inlineStr">
        <is>
          <t>PENDIENTE</t>
        </is>
      </c>
      <c r="AH306" s="18">
        <f>IF(NOT(OR(B306="EXISTENTE",COUNTA(G306,H306,I306,J306,K306,M306,N306,U306,V306,X306,Y306,Z306,AF306,AJ306)&gt;0)),"",IF(AK306&lt;&gt;"","REVISAR",IF(OR(G306="",H306="",M306="",N306="",O306="",P306="",X306=""),"INCOMPLETO",IF(AI306&lt;&gt;"","REVISAR",IF(AND(AF306&lt;&gt;"",AG306="ESCANEADO"),"LISTO_COMPLETO","LISTO_SIN_BARCODE")))))</f>
        <v/>
      </c>
      <c r="AI306" s="17">
        <f>IF(NOT(OR(B306="EXISTENTE",COUNTA(G306,H306,I306,J306,K306,M306,N306,U306,V306,X306,Y306,Z306,AF306,AJ306)&gt;0)),"",TEXTJOIN(" | ",TRUE,IF(A306="","Falta ID staging",""),IF(COUNTIF($A$5:$A$445,A306)&gt;1,"ID staging duplicado",""),IF(G306="","Falta nombre",""),IF(LEN(G306)&gt;150,"Nombre &gt;150 caracteres",""),IF(H306="","Falta categoría",IF(COUNTIF(CategoriasLista,H306)=0,"Categoría inválida","")),IF(M306="","Falta precio compra",IF(OR(NOT(ISNUMBER(M306)),M306&lt;0),"Precio compra inválido","")),IF(N306="","Falta precio venta",IF(OR(NOT(ISNUMBER(N306)),N306&lt;=0,N306&lt;M306),"Precio venta inválido","")),IF(O306="","Falta stock mínimo",IF(OR(NOT(ISNUMBER(O306)),O306&lt;0,MOD(O306,1)&lt;&gt;0),"Stock mínimo inválido","")),IF(P306="","Falta unidad",IF(COUNTIF(UnidadesLista,P306)=0,"Unidad inválida","")),IF(AND(K306&lt;&gt;"",COUNTIF(ProveedoresLista,K306)=0),"Proveedor no catalogado",""),IF(X306="","Falta cantidad contada",IF(OR(NOT(ISNUMBER(X306)),X306&lt;0,ABS(X306*1000-ROUND(X306*1000,0))&gt;0.0000001),"Cantidad inválida",IF(AND(Q306="NO",MOD(X306,1)&lt;&gt;0),"Cantidad fraccionaria no permitida",""))),IF(AND(R306="SI",OR(NOT(ISNUMBER(S306)),S306&lt;1,MOD(S306,1)&lt;&gt;0)),"Empaque inválido",""),IF(OR(AND(AF306="",AG306="ESCANEADO"),AND(AF306&lt;&gt;"",AG306&lt;&gt;"ESCANEADO")),"Barcode/estado inconsistente",""),IF(AK306&lt;&gt;"",AK306,"")))</f>
        <v/>
      </c>
      <c r="AJ306" s="21" t="n"/>
      <c r="AK306" s="17">
        <f>IF(G306="","",IF(OR(COUNTIFS($G$5:$G$445,G306,$I$5:$I$445,I306,$J$5:$J$445,J306,$P$5:$P$445,P306)&gt;1,AND(AF306&lt;&gt;"",COUNTIF($AF$5:$AF$445,AF306)&gt;1)),"REVISAR_POSIBLE_DUPLICADO",""))</f>
        <v/>
      </c>
    </row>
    <row r="307">
      <c r="A307" s="17" t="inlineStr">
        <is>
          <t>688d36e1-55b4-5e66-bcc8-bb825fc286be</t>
        </is>
      </c>
      <c r="B307" s="18" t="inlineStr">
        <is>
          <t>NUEVO</t>
        </is>
      </c>
      <c r="C307" s="18" t="inlineStr">
        <is>
          <t>ACTIVO</t>
        </is>
      </c>
      <c r="D307" s="18" t="n"/>
      <c r="E307" s="17" t="n"/>
      <c r="F307" s="17" t="n"/>
      <c r="G307" s="19" t="n"/>
      <c r="H307" s="19" t="n"/>
      <c r="I307" s="20" t="n"/>
      <c r="J307" s="20" t="n"/>
      <c r="K307" s="21" t="n"/>
      <c r="L307" s="18" t="n"/>
      <c r="M307" s="22" t="n"/>
      <c r="N307" s="22" t="n"/>
      <c r="O307" s="23" t="n">
        <v>10</v>
      </c>
      <c r="P307" s="24" t="inlineStr">
        <is>
          <t>UNIDAD</t>
        </is>
      </c>
      <c r="Q307" s="20" t="inlineStr">
        <is>
          <t>NO</t>
        </is>
      </c>
      <c r="R307" s="20" t="inlineStr">
        <is>
          <t>NO</t>
        </is>
      </c>
      <c r="S307" s="25" t="n">
        <v>1</v>
      </c>
      <c r="T307" s="20" t="inlineStr">
        <is>
          <t>NO</t>
        </is>
      </c>
      <c r="U307" s="20" t="n"/>
      <c r="V307" s="21" t="n"/>
      <c r="W307" s="26" t="n"/>
      <c r="X307" s="27" t="n"/>
      <c r="Y307" s="20" t="n"/>
      <c r="Z307" s="20" t="n"/>
      <c r="AA307" s="26">
        <f>IF(X307="","",X307-IF(W307="",0,W307))</f>
        <v/>
      </c>
      <c r="AB307" s="28">
        <f>IF(OR(X307="",M307=""),"",X307*M307)</f>
        <v/>
      </c>
      <c r="AC307" s="28">
        <f>IF(OR(X307="",N307=""),"",X307*N307)</f>
        <v/>
      </c>
      <c r="AD307" s="28">
        <f>IF(OR(M307="",N307=""),"",N307-M307)</f>
        <v/>
      </c>
      <c r="AE307" s="29">
        <f>IFERROR(IF(M307&gt;0,(N307-M307)/M307,""),"")</f>
        <v/>
      </c>
      <c r="AF307" s="30" t="n"/>
      <c r="AG307" s="30" t="inlineStr">
        <is>
          <t>PENDIENTE</t>
        </is>
      </c>
      <c r="AH307" s="18">
        <f>IF(NOT(OR(B307="EXISTENTE",COUNTA(G307,H307,I307,J307,K307,M307,N307,U307,V307,X307,Y307,Z307,AF307,AJ307)&gt;0)),"",IF(AK307&lt;&gt;"","REVISAR",IF(OR(G307="",H307="",M307="",N307="",O307="",P307="",X307=""),"INCOMPLETO",IF(AI307&lt;&gt;"","REVISAR",IF(AND(AF307&lt;&gt;"",AG307="ESCANEADO"),"LISTO_COMPLETO","LISTO_SIN_BARCODE")))))</f>
        <v/>
      </c>
      <c r="AI307" s="17">
        <f>IF(NOT(OR(B307="EXISTENTE",COUNTA(G307,H307,I307,J307,K307,M307,N307,U307,V307,X307,Y307,Z307,AF307,AJ307)&gt;0)),"",TEXTJOIN(" | ",TRUE,IF(A307="","Falta ID staging",""),IF(COUNTIF($A$5:$A$445,A307)&gt;1,"ID staging duplicado",""),IF(G307="","Falta nombre",""),IF(LEN(G307)&gt;150,"Nombre &gt;150 caracteres",""),IF(H307="","Falta categoría",IF(COUNTIF(CategoriasLista,H307)=0,"Categoría inválida","")),IF(M307="","Falta precio compra",IF(OR(NOT(ISNUMBER(M307)),M307&lt;0),"Precio compra inválido","")),IF(N307="","Falta precio venta",IF(OR(NOT(ISNUMBER(N307)),N307&lt;=0,N307&lt;M307),"Precio venta inválido","")),IF(O307="","Falta stock mínimo",IF(OR(NOT(ISNUMBER(O307)),O307&lt;0,MOD(O307,1)&lt;&gt;0),"Stock mínimo inválido","")),IF(P307="","Falta unidad",IF(COUNTIF(UnidadesLista,P307)=0,"Unidad inválida","")),IF(AND(K307&lt;&gt;"",COUNTIF(ProveedoresLista,K307)=0),"Proveedor no catalogado",""),IF(X307="","Falta cantidad contada",IF(OR(NOT(ISNUMBER(X307)),X307&lt;0,ABS(X307*1000-ROUND(X307*1000,0))&gt;0.0000001),"Cantidad inválida",IF(AND(Q307="NO",MOD(X307,1)&lt;&gt;0),"Cantidad fraccionaria no permitida",""))),IF(AND(R307="SI",OR(NOT(ISNUMBER(S307)),S307&lt;1,MOD(S307,1)&lt;&gt;0)),"Empaque inválido",""),IF(OR(AND(AF307="",AG307="ESCANEADO"),AND(AF307&lt;&gt;"",AG307&lt;&gt;"ESCANEADO")),"Barcode/estado inconsistente",""),IF(AK307&lt;&gt;"",AK307,"")))</f>
        <v/>
      </c>
      <c r="AJ307" s="21" t="n"/>
      <c r="AK307" s="17">
        <f>IF(G307="","",IF(OR(COUNTIFS($G$5:$G$445,G307,$I$5:$I$445,I307,$J$5:$J$445,J307,$P$5:$P$445,P307)&gt;1,AND(AF307&lt;&gt;"",COUNTIF($AF$5:$AF$445,AF307)&gt;1)),"REVISAR_POSIBLE_DUPLICADO",""))</f>
        <v/>
      </c>
    </row>
    <row r="308">
      <c r="A308" s="17" t="inlineStr">
        <is>
          <t>1522851f-eeb3-586c-a708-acffd6e42d62</t>
        </is>
      </c>
      <c r="B308" s="18" t="inlineStr">
        <is>
          <t>NUEVO</t>
        </is>
      </c>
      <c r="C308" s="18" t="inlineStr">
        <is>
          <t>ACTIVO</t>
        </is>
      </c>
      <c r="D308" s="18" t="n"/>
      <c r="E308" s="17" t="n"/>
      <c r="F308" s="17" t="n"/>
      <c r="G308" s="19" t="n"/>
      <c r="H308" s="19" t="n"/>
      <c r="I308" s="20" t="n"/>
      <c r="J308" s="20" t="n"/>
      <c r="K308" s="21" t="n"/>
      <c r="L308" s="18" t="n"/>
      <c r="M308" s="22" t="n"/>
      <c r="N308" s="22" t="n"/>
      <c r="O308" s="23" t="n">
        <v>10</v>
      </c>
      <c r="P308" s="24" t="inlineStr">
        <is>
          <t>UNIDAD</t>
        </is>
      </c>
      <c r="Q308" s="20" t="inlineStr">
        <is>
          <t>NO</t>
        </is>
      </c>
      <c r="R308" s="20" t="inlineStr">
        <is>
          <t>NO</t>
        </is>
      </c>
      <c r="S308" s="25" t="n">
        <v>1</v>
      </c>
      <c r="T308" s="20" t="inlineStr">
        <is>
          <t>NO</t>
        </is>
      </c>
      <c r="U308" s="20" t="n"/>
      <c r="V308" s="21" t="n"/>
      <c r="W308" s="26" t="n"/>
      <c r="X308" s="27" t="n"/>
      <c r="Y308" s="20" t="n"/>
      <c r="Z308" s="20" t="n"/>
      <c r="AA308" s="26">
        <f>IF(X308="","",X308-IF(W308="",0,W308))</f>
        <v/>
      </c>
      <c r="AB308" s="28">
        <f>IF(OR(X308="",M308=""),"",X308*M308)</f>
        <v/>
      </c>
      <c r="AC308" s="28">
        <f>IF(OR(X308="",N308=""),"",X308*N308)</f>
        <v/>
      </c>
      <c r="AD308" s="28">
        <f>IF(OR(M308="",N308=""),"",N308-M308)</f>
        <v/>
      </c>
      <c r="AE308" s="29">
        <f>IFERROR(IF(M308&gt;0,(N308-M308)/M308,""),"")</f>
        <v/>
      </c>
      <c r="AF308" s="30" t="n"/>
      <c r="AG308" s="30" t="inlineStr">
        <is>
          <t>PENDIENTE</t>
        </is>
      </c>
      <c r="AH308" s="18">
        <f>IF(NOT(OR(B308="EXISTENTE",COUNTA(G308,H308,I308,J308,K308,M308,N308,U308,V308,X308,Y308,Z308,AF308,AJ308)&gt;0)),"",IF(AK308&lt;&gt;"","REVISAR",IF(OR(G308="",H308="",M308="",N308="",O308="",P308="",X308=""),"INCOMPLETO",IF(AI308&lt;&gt;"","REVISAR",IF(AND(AF308&lt;&gt;"",AG308="ESCANEADO"),"LISTO_COMPLETO","LISTO_SIN_BARCODE")))))</f>
        <v/>
      </c>
      <c r="AI308" s="17">
        <f>IF(NOT(OR(B308="EXISTENTE",COUNTA(G308,H308,I308,J308,K308,M308,N308,U308,V308,X308,Y308,Z308,AF308,AJ308)&gt;0)),"",TEXTJOIN(" | ",TRUE,IF(A308="","Falta ID staging",""),IF(COUNTIF($A$5:$A$445,A308)&gt;1,"ID staging duplicado",""),IF(G308="","Falta nombre",""),IF(LEN(G308)&gt;150,"Nombre &gt;150 caracteres",""),IF(H308="","Falta categoría",IF(COUNTIF(CategoriasLista,H308)=0,"Categoría inválida","")),IF(M308="","Falta precio compra",IF(OR(NOT(ISNUMBER(M308)),M308&lt;0),"Precio compra inválido","")),IF(N308="","Falta precio venta",IF(OR(NOT(ISNUMBER(N308)),N308&lt;=0,N308&lt;M308),"Precio venta inválido","")),IF(O308="","Falta stock mínimo",IF(OR(NOT(ISNUMBER(O308)),O308&lt;0,MOD(O308,1)&lt;&gt;0),"Stock mínimo inválido","")),IF(P308="","Falta unidad",IF(COUNTIF(UnidadesLista,P308)=0,"Unidad inválida","")),IF(AND(K308&lt;&gt;"",COUNTIF(ProveedoresLista,K308)=0),"Proveedor no catalogado",""),IF(X308="","Falta cantidad contada",IF(OR(NOT(ISNUMBER(X308)),X308&lt;0,ABS(X308*1000-ROUND(X308*1000,0))&gt;0.0000001),"Cantidad inválida",IF(AND(Q308="NO",MOD(X308,1)&lt;&gt;0),"Cantidad fraccionaria no permitida",""))),IF(AND(R308="SI",OR(NOT(ISNUMBER(S308)),S308&lt;1,MOD(S308,1)&lt;&gt;0)),"Empaque inválido",""),IF(OR(AND(AF308="",AG308="ESCANEADO"),AND(AF308&lt;&gt;"",AG308&lt;&gt;"ESCANEADO")),"Barcode/estado inconsistente",""),IF(AK308&lt;&gt;"",AK308,"")))</f>
        <v/>
      </c>
      <c r="AJ308" s="21" t="n"/>
      <c r="AK308" s="17">
        <f>IF(G308="","",IF(OR(COUNTIFS($G$5:$G$445,G308,$I$5:$I$445,I308,$J$5:$J$445,J308,$P$5:$P$445,P308)&gt;1,AND(AF308&lt;&gt;"",COUNTIF($AF$5:$AF$445,AF308)&gt;1)),"REVISAR_POSIBLE_DUPLICADO",""))</f>
        <v/>
      </c>
    </row>
    <row r="309">
      <c r="A309" s="17" t="inlineStr">
        <is>
          <t>cfc03698-0ab2-5b97-a943-466751afbed9</t>
        </is>
      </c>
      <c r="B309" s="18" t="inlineStr">
        <is>
          <t>NUEVO</t>
        </is>
      </c>
      <c r="C309" s="18" t="inlineStr">
        <is>
          <t>ACTIVO</t>
        </is>
      </c>
      <c r="D309" s="18" t="n"/>
      <c r="E309" s="17" t="n"/>
      <c r="F309" s="17" t="n"/>
      <c r="G309" s="19" t="n"/>
      <c r="H309" s="19" t="n"/>
      <c r="I309" s="20" t="n"/>
      <c r="J309" s="20" t="n"/>
      <c r="K309" s="21" t="n"/>
      <c r="L309" s="18" t="n"/>
      <c r="M309" s="22" t="n"/>
      <c r="N309" s="22" t="n"/>
      <c r="O309" s="23" t="n">
        <v>10</v>
      </c>
      <c r="P309" s="24" t="inlineStr">
        <is>
          <t>UNIDAD</t>
        </is>
      </c>
      <c r="Q309" s="20" t="inlineStr">
        <is>
          <t>NO</t>
        </is>
      </c>
      <c r="R309" s="20" t="inlineStr">
        <is>
          <t>NO</t>
        </is>
      </c>
      <c r="S309" s="25" t="n">
        <v>1</v>
      </c>
      <c r="T309" s="20" t="inlineStr">
        <is>
          <t>NO</t>
        </is>
      </c>
      <c r="U309" s="20" t="n"/>
      <c r="V309" s="21" t="n"/>
      <c r="W309" s="26" t="n"/>
      <c r="X309" s="27" t="n"/>
      <c r="Y309" s="20" t="n"/>
      <c r="Z309" s="20" t="n"/>
      <c r="AA309" s="26">
        <f>IF(X309="","",X309-IF(W309="",0,W309))</f>
        <v/>
      </c>
      <c r="AB309" s="28">
        <f>IF(OR(X309="",M309=""),"",X309*M309)</f>
        <v/>
      </c>
      <c r="AC309" s="28">
        <f>IF(OR(X309="",N309=""),"",X309*N309)</f>
        <v/>
      </c>
      <c r="AD309" s="28">
        <f>IF(OR(M309="",N309=""),"",N309-M309)</f>
        <v/>
      </c>
      <c r="AE309" s="29">
        <f>IFERROR(IF(M309&gt;0,(N309-M309)/M309,""),"")</f>
        <v/>
      </c>
      <c r="AF309" s="30" t="n"/>
      <c r="AG309" s="30" t="inlineStr">
        <is>
          <t>PENDIENTE</t>
        </is>
      </c>
      <c r="AH309" s="18">
        <f>IF(NOT(OR(B309="EXISTENTE",COUNTA(G309,H309,I309,J309,K309,M309,N309,U309,V309,X309,Y309,Z309,AF309,AJ309)&gt;0)),"",IF(AK309&lt;&gt;"","REVISAR",IF(OR(G309="",H309="",M309="",N309="",O309="",P309="",X309=""),"INCOMPLETO",IF(AI309&lt;&gt;"","REVISAR",IF(AND(AF309&lt;&gt;"",AG309="ESCANEADO"),"LISTO_COMPLETO","LISTO_SIN_BARCODE")))))</f>
        <v/>
      </c>
      <c r="AI309" s="17">
        <f>IF(NOT(OR(B309="EXISTENTE",COUNTA(G309,H309,I309,J309,K309,M309,N309,U309,V309,X309,Y309,Z309,AF309,AJ309)&gt;0)),"",TEXTJOIN(" | ",TRUE,IF(A309="","Falta ID staging",""),IF(COUNTIF($A$5:$A$445,A309)&gt;1,"ID staging duplicado",""),IF(G309="","Falta nombre",""),IF(LEN(G309)&gt;150,"Nombre &gt;150 caracteres",""),IF(H309="","Falta categoría",IF(COUNTIF(CategoriasLista,H309)=0,"Categoría inválida","")),IF(M309="","Falta precio compra",IF(OR(NOT(ISNUMBER(M309)),M309&lt;0),"Precio compra inválido","")),IF(N309="","Falta precio venta",IF(OR(NOT(ISNUMBER(N309)),N309&lt;=0,N309&lt;M309),"Precio venta inválido","")),IF(O309="","Falta stock mínimo",IF(OR(NOT(ISNUMBER(O309)),O309&lt;0,MOD(O309,1)&lt;&gt;0),"Stock mínimo inválido","")),IF(P309="","Falta unidad",IF(COUNTIF(UnidadesLista,P309)=0,"Unidad inválida","")),IF(AND(K309&lt;&gt;"",COUNTIF(ProveedoresLista,K309)=0),"Proveedor no catalogado",""),IF(X309="","Falta cantidad contada",IF(OR(NOT(ISNUMBER(X309)),X309&lt;0,ABS(X309*1000-ROUND(X309*1000,0))&gt;0.0000001),"Cantidad inválida",IF(AND(Q309="NO",MOD(X309,1)&lt;&gt;0),"Cantidad fraccionaria no permitida",""))),IF(AND(R309="SI",OR(NOT(ISNUMBER(S309)),S309&lt;1,MOD(S309,1)&lt;&gt;0)),"Empaque inválido",""),IF(OR(AND(AF309="",AG309="ESCANEADO"),AND(AF309&lt;&gt;"",AG309&lt;&gt;"ESCANEADO")),"Barcode/estado inconsistente",""),IF(AK309&lt;&gt;"",AK309,"")))</f>
        <v/>
      </c>
      <c r="AJ309" s="21" t="n"/>
      <c r="AK309" s="17">
        <f>IF(G309="","",IF(OR(COUNTIFS($G$5:$G$445,G309,$I$5:$I$445,I309,$J$5:$J$445,J309,$P$5:$P$445,P309)&gt;1,AND(AF309&lt;&gt;"",COUNTIF($AF$5:$AF$445,AF309)&gt;1)),"REVISAR_POSIBLE_DUPLICADO",""))</f>
        <v/>
      </c>
    </row>
    <row r="310">
      <c r="A310" s="17" t="inlineStr">
        <is>
          <t>fcc51298-c490-50f2-b851-d54d8f2e7bff</t>
        </is>
      </c>
      <c r="B310" s="18" t="inlineStr">
        <is>
          <t>NUEVO</t>
        </is>
      </c>
      <c r="C310" s="18" t="inlineStr">
        <is>
          <t>ACTIVO</t>
        </is>
      </c>
      <c r="D310" s="18" t="n"/>
      <c r="E310" s="17" t="n"/>
      <c r="F310" s="17" t="n"/>
      <c r="G310" s="19" t="n"/>
      <c r="H310" s="19" t="n"/>
      <c r="I310" s="20" t="n"/>
      <c r="J310" s="20" t="n"/>
      <c r="K310" s="21" t="n"/>
      <c r="L310" s="18" t="n"/>
      <c r="M310" s="22" t="n"/>
      <c r="N310" s="22" t="n"/>
      <c r="O310" s="23" t="n">
        <v>10</v>
      </c>
      <c r="P310" s="24" t="inlineStr">
        <is>
          <t>UNIDAD</t>
        </is>
      </c>
      <c r="Q310" s="20" t="inlineStr">
        <is>
          <t>NO</t>
        </is>
      </c>
      <c r="R310" s="20" t="inlineStr">
        <is>
          <t>NO</t>
        </is>
      </c>
      <c r="S310" s="25" t="n">
        <v>1</v>
      </c>
      <c r="T310" s="20" t="inlineStr">
        <is>
          <t>NO</t>
        </is>
      </c>
      <c r="U310" s="20" t="n"/>
      <c r="V310" s="21" t="n"/>
      <c r="W310" s="26" t="n"/>
      <c r="X310" s="27" t="n"/>
      <c r="Y310" s="20" t="n"/>
      <c r="Z310" s="20" t="n"/>
      <c r="AA310" s="26">
        <f>IF(X310="","",X310-IF(W310="",0,W310))</f>
        <v/>
      </c>
      <c r="AB310" s="28">
        <f>IF(OR(X310="",M310=""),"",X310*M310)</f>
        <v/>
      </c>
      <c r="AC310" s="28">
        <f>IF(OR(X310="",N310=""),"",X310*N310)</f>
        <v/>
      </c>
      <c r="AD310" s="28">
        <f>IF(OR(M310="",N310=""),"",N310-M310)</f>
        <v/>
      </c>
      <c r="AE310" s="29">
        <f>IFERROR(IF(M310&gt;0,(N310-M310)/M310,""),"")</f>
        <v/>
      </c>
      <c r="AF310" s="30" t="n"/>
      <c r="AG310" s="30" t="inlineStr">
        <is>
          <t>PENDIENTE</t>
        </is>
      </c>
      <c r="AH310" s="18">
        <f>IF(NOT(OR(B310="EXISTENTE",COUNTA(G310,H310,I310,J310,K310,M310,N310,U310,V310,X310,Y310,Z310,AF310,AJ310)&gt;0)),"",IF(AK310&lt;&gt;"","REVISAR",IF(OR(G310="",H310="",M310="",N310="",O310="",P310="",X310=""),"INCOMPLETO",IF(AI310&lt;&gt;"","REVISAR",IF(AND(AF310&lt;&gt;"",AG310="ESCANEADO"),"LISTO_COMPLETO","LISTO_SIN_BARCODE")))))</f>
        <v/>
      </c>
      <c r="AI310" s="17">
        <f>IF(NOT(OR(B310="EXISTENTE",COUNTA(G310,H310,I310,J310,K310,M310,N310,U310,V310,X310,Y310,Z310,AF310,AJ310)&gt;0)),"",TEXTJOIN(" | ",TRUE,IF(A310="","Falta ID staging",""),IF(COUNTIF($A$5:$A$445,A310)&gt;1,"ID staging duplicado",""),IF(G310="","Falta nombre",""),IF(LEN(G310)&gt;150,"Nombre &gt;150 caracteres",""),IF(H310="","Falta categoría",IF(COUNTIF(CategoriasLista,H310)=0,"Categoría inválida","")),IF(M310="","Falta precio compra",IF(OR(NOT(ISNUMBER(M310)),M310&lt;0),"Precio compra inválido","")),IF(N310="","Falta precio venta",IF(OR(NOT(ISNUMBER(N310)),N310&lt;=0,N310&lt;M310),"Precio venta inválido","")),IF(O310="","Falta stock mínimo",IF(OR(NOT(ISNUMBER(O310)),O310&lt;0,MOD(O310,1)&lt;&gt;0),"Stock mínimo inválido","")),IF(P310="","Falta unidad",IF(COUNTIF(UnidadesLista,P310)=0,"Unidad inválida","")),IF(AND(K310&lt;&gt;"",COUNTIF(ProveedoresLista,K310)=0),"Proveedor no catalogado",""),IF(X310="","Falta cantidad contada",IF(OR(NOT(ISNUMBER(X310)),X310&lt;0,ABS(X310*1000-ROUND(X310*1000,0))&gt;0.0000001),"Cantidad inválida",IF(AND(Q310="NO",MOD(X310,1)&lt;&gt;0),"Cantidad fraccionaria no permitida",""))),IF(AND(R310="SI",OR(NOT(ISNUMBER(S310)),S310&lt;1,MOD(S310,1)&lt;&gt;0)),"Empaque inválido",""),IF(OR(AND(AF310="",AG310="ESCANEADO"),AND(AF310&lt;&gt;"",AG310&lt;&gt;"ESCANEADO")),"Barcode/estado inconsistente",""),IF(AK310&lt;&gt;"",AK310,"")))</f>
        <v/>
      </c>
      <c r="AJ310" s="21" t="n"/>
      <c r="AK310" s="17">
        <f>IF(G310="","",IF(OR(COUNTIFS($G$5:$G$445,G310,$I$5:$I$445,I310,$J$5:$J$445,J310,$P$5:$P$445,P310)&gt;1,AND(AF310&lt;&gt;"",COUNTIF($AF$5:$AF$445,AF310)&gt;1)),"REVISAR_POSIBLE_DUPLICADO",""))</f>
        <v/>
      </c>
    </row>
    <row r="311">
      <c r="A311" s="17" t="inlineStr">
        <is>
          <t>4cafc92e-a5ba-5fd6-a6c2-756a73f3279e</t>
        </is>
      </c>
      <c r="B311" s="18" t="inlineStr">
        <is>
          <t>NUEVO</t>
        </is>
      </c>
      <c r="C311" s="18" t="inlineStr">
        <is>
          <t>ACTIVO</t>
        </is>
      </c>
      <c r="D311" s="18" t="n"/>
      <c r="E311" s="17" t="n"/>
      <c r="F311" s="17" t="n"/>
      <c r="G311" s="19" t="n"/>
      <c r="H311" s="19" t="n"/>
      <c r="I311" s="20" t="n"/>
      <c r="J311" s="20" t="n"/>
      <c r="K311" s="21" t="n"/>
      <c r="L311" s="18" t="n"/>
      <c r="M311" s="22" t="n"/>
      <c r="N311" s="22" t="n"/>
      <c r="O311" s="23" t="n">
        <v>10</v>
      </c>
      <c r="P311" s="24" t="inlineStr">
        <is>
          <t>UNIDAD</t>
        </is>
      </c>
      <c r="Q311" s="20" t="inlineStr">
        <is>
          <t>NO</t>
        </is>
      </c>
      <c r="R311" s="20" t="inlineStr">
        <is>
          <t>NO</t>
        </is>
      </c>
      <c r="S311" s="25" t="n">
        <v>1</v>
      </c>
      <c r="T311" s="20" t="inlineStr">
        <is>
          <t>NO</t>
        </is>
      </c>
      <c r="U311" s="20" t="n"/>
      <c r="V311" s="21" t="n"/>
      <c r="W311" s="26" t="n"/>
      <c r="X311" s="27" t="n"/>
      <c r="Y311" s="20" t="n"/>
      <c r="Z311" s="20" t="n"/>
      <c r="AA311" s="26">
        <f>IF(X311="","",X311-IF(W311="",0,W311))</f>
        <v/>
      </c>
      <c r="AB311" s="28">
        <f>IF(OR(X311="",M311=""),"",X311*M311)</f>
        <v/>
      </c>
      <c r="AC311" s="28">
        <f>IF(OR(X311="",N311=""),"",X311*N311)</f>
        <v/>
      </c>
      <c r="AD311" s="28">
        <f>IF(OR(M311="",N311=""),"",N311-M311)</f>
        <v/>
      </c>
      <c r="AE311" s="29">
        <f>IFERROR(IF(M311&gt;0,(N311-M311)/M311,""),"")</f>
        <v/>
      </c>
      <c r="AF311" s="30" t="n"/>
      <c r="AG311" s="30" t="inlineStr">
        <is>
          <t>PENDIENTE</t>
        </is>
      </c>
      <c r="AH311" s="18">
        <f>IF(NOT(OR(B311="EXISTENTE",COUNTA(G311,H311,I311,J311,K311,M311,N311,U311,V311,X311,Y311,Z311,AF311,AJ311)&gt;0)),"",IF(AK311&lt;&gt;"","REVISAR",IF(OR(G311="",H311="",M311="",N311="",O311="",P311="",X311=""),"INCOMPLETO",IF(AI311&lt;&gt;"","REVISAR",IF(AND(AF311&lt;&gt;"",AG311="ESCANEADO"),"LISTO_COMPLETO","LISTO_SIN_BARCODE")))))</f>
        <v/>
      </c>
      <c r="AI311" s="17">
        <f>IF(NOT(OR(B311="EXISTENTE",COUNTA(G311,H311,I311,J311,K311,M311,N311,U311,V311,X311,Y311,Z311,AF311,AJ311)&gt;0)),"",TEXTJOIN(" | ",TRUE,IF(A311="","Falta ID staging",""),IF(COUNTIF($A$5:$A$445,A311)&gt;1,"ID staging duplicado",""),IF(G311="","Falta nombre",""),IF(LEN(G311)&gt;150,"Nombre &gt;150 caracteres",""),IF(H311="","Falta categoría",IF(COUNTIF(CategoriasLista,H311)=0,"Categoría inválida","")),IF(M311="","Falta precio compra",IF(OR(NOT(ISNUMBER(M311)),M311&lt;0),"Precio compra inválido","")),IF(N311="","Falta precio venta",IF(OR(NOT(ISNUMBER(N311)),N311&lt;=0,N311&lt;M311),"Precio venta inválido","")),IF(O311="","Falta stock mínimo",IF(OR(NOT(ISNUMBER(O311)),O311&lt;0,MOD(O311,1)&lt;&gt;0),"Stock mínimo inválido","")),IF(P311="","Falta unidad",IF(COUNTIF(UnidadesLista,P311)=0,"Unidad inválida","")),IF(AND(K311&lt;&gt;"",COUNTIF(ProveedoresLista,K311)=0),"Proveedor no catalogado",""),IF(X311="","Falta cantidad contada",IF(OR(NOT(ISNUMBER(X311)),X311&lt;0,ABS(X311*1000-ROUND(X311*1000,0))&gt;0.0000001),"Cantidad inválida",IF(AND(Q311="NO",MOD(X311,1)&lt;&gt;0),"Cantidad fraccionaria no permitida",""))),IF(AND(R311="SI",OR(NOT(ISNUMBER(S311)),S311&lt;1,MOD(S311,1)&lt;&gt;0)),"Empaque inválido",""),IF(OR(AND(AF311="",AG311="ESCANEADO"),AND(AF311&lt;&gt;"",AG311&lt;&gt;"ESCANEADO")),"Barcode/estado inconsistente",""),IF(AK311&lt;&gt;"",AK311,"")))</f>
        <v/>
      </c>
      <c r="AJ311" s="21" t="n"/>
      <c r="AK311" s="17">
        <f>IF(G311="","",IF(OR(COUNTIFS($G$5:$G$445,G311,$I$5:$I$445,I311,$J$5:$J$445,J311,$P$5:$P$445,P311)&gt;1,AND(AF311&lt;&gt;"",COUNTIF($AF$5:$AF$445,AF311)&gt;1)),"REVISAR_POSIBLE_DUPLICADO",""))</f>
        <v/>
      </c>
    </row>
    <row r="312">
      <c r="A312" s="17" t="inlineStr">
        <is>
          <t>503013c1-a2ba-50a4-969c-70c09f2b98da</t>
        </is>
      </c>
      <c r="B312" s="18" t="inlineStr">
        <is>
          <t>NUEVO</t>
        </is>
      </c>
      <c r="C312" s="18" t="inlineStr">
        <is>
          <t>ACTIVO</t>
        </is>
      </c>
      <c r="D312" s="18" t="n"/>
      <c r="E312" s="17" t="n"/>
      <c r="F312" s="17" t="n"/>
      <c r="G312" s="19" t="n"/>
      <c r="H312" s="19" t="n"/>
      <c r="I312" s="20" t="n"/>
      <c r="J312" s="20" t="n"/>
      <c r="K312" s="21" t="n"/>
      <c r="L312" s="18" t="n"/>
      <c r="M312" s="22" t="n"/>
      <c r="N312" s="22" t="n"/>
      <c r="O312" s="23" t="n">
        <v>10</v>
      </c>
      <c r="P312" s="24" t="inlineStr">
        <is>
          <t>UNIDAD</t>
        </is>
      </c>
      <c r="Q312" s="20" t="inlineStr">
        <is>
          <t>NO</t>
        </is>
      </c>
      <c r="R312" s="20" t="inlineStr">
        <is>
          <t>NO</t>
        </is>
      </c>
      <c r="S312" s="25" t="n">
        <v>1</v>
      </c>
      <c r="T312" s="20" t="inlineStr">
        <is>
          <t>NO</t>
        </is>
      </c>
      <c r="U312" s="20" t="n"/>
      <c r="V312" s="21" t="n"/>
      <c r="W312" s="26" t="n"/>
      <c r="X312" s="27" t="n"/>
      <c r="Y312" s="20" t="n"/>
      <c r="Z312" s="20" t="n"/>
      <c r="AA312" s="26">
        <f>IF(X312="","",X312-IF(W312="",0,W312))</f>
        <v/>
      </c>
      <c r="AB312" s="28">
        <f>IF(OR(X312="",M312=""),"",X312*M312)</f>
        <v/>
      </c>
      <c r="AC312" s="28">
        <f>IF(OR(X312="",N312=""),"",X312*N312)</f>
        <v/>
      </c>
      <c r="AD312" s="28">
        <f>IF(OR(M312="",N312=""),"",N312-M312)</f>
        <v/>
      </c>
      <c r="AE312" s="29">
        <f>IFERROR(IF(M312&gt;0,(N312-M312)/M312,""),"")</f>
        <v/>
      </c>
      <c r="AF312" s="30" t="n"/>
      <c r="AG312" s="30" t="inlineStr">
        <is>
          <t>PENDIENTE</t>
        </is>
      </c>
      <c r="AH312" s="18">
        <f>IF(NOT(OR(B312="EXISTENTE",COUNTA(G312,H312,I312,J312,K312,M312,N312,U312,V312,X312,Y312,Z312,AF312,AJ312)&gt;0)),"",IF(AK312&lt;&gt;"","REVISAR",IF(OR(G312="",H312="",M312="",N312="",O312="",P312="",X312=""),"INCOMPLETO",IF(AI312&lt;&gt;"","REVISAR",IF(AND(AF312&lt;&gt;"",AG312="ESCANEADO"),"LISTO_COMPLETO","LISTO_SIN_BARCODE")))))</f>
        <v/>
      </c>
      <c r="AI312" s="17">
        <f>IF(NOT(OR(B312="EXISTENTE",COUNTA(G312,H312,I312,J312,K312,M312,N312,U312,V312,X312,Y312,Z312,AF312,AJ312)&gt;0)),"",TEXTJOIN(" | ",TRUE,IF(A312="","Falta ID staging",""),IF(COUNTIF($A$5:$A$445,A312)&gt;1,"ID staging duplicado",""),IF(G312="","Falta nombre",""),IF(LEN(G312)&gt;150,"Nombre &gt;150 caracteres",""),IF(H312="","Falta categoría",IF(COUNTIF(CategoriasLista,H312)=0,"Categoría inválida","")),IF(M312="","Falta precio compra",IF(OR(NOT(ISNUMBER(M312)),M312&lt;0),"Precio compra inválido","")),IF(N312="","Falta precio venta",IF(OR(NOT(ISNUMBER(N312)),N312&lt;=0,N312&lt;M312),"Precio venta inválido","")),IF(O312="","Falta stock mínimo",IF(OR(NOT(ISNUMBER(O312)),O312&lt;0,MOD(O312,1)&lt;&gt;0),"Stock mínimo inválido","")),IF(P312="","Falta unidad",IF(COUNTIF(UnidadesLista,P312)=0,"Unidad inválida","")),IF(AND(K312&lt;&gt;"",COUNTIF(ProveedoresLista,K312)=0),"Proveedor no catalogado",""),IF(X312="","Falta cantidad contada",IF(OR(NOT(ISNUMBER(X312)),X312&lt;0,ABS(X312*1000-ROUND(X312*1000,0))&gt;0.0000001),"Cantidad inválida",IF(AND(Q312="NO",MOD(X312,1)&lt;&gt;0),"Cantidad fraccionaria no permitida",""))),IF(AND(R312="SI",OR(NOT(ISNUMBER(S312)),S312&lt;1,MOD(S312,1)&lt;&gt;0)),"Empaque inválido",""),IF(OR(AND(AF312="",AG312="ESCANEADO"),AND(AF312&lt;&gt;"",AG312&lt;&gt;"ESCANEADO")),"Barcode/estado inconsistente",""),IF(AK312&lt;&gt;"",AK312,"")))</f>
        <v/>
      </c>
      <c r="AJ312" s="21" t="n"/>
      <c r="AK312" s="17">
        <f>IF(G312="","",IF(OR(COUNTIFS($G$5:$G$445,G312,$I$5:$I$445,I312,$J$5:$J$445,J312,$P$5:$P$445,P312)&gt;1,AND(AF312&lt;&gt;"",COUNTIF($AF$5:$AF$445,AF312)&gt;1)),"REVISAR_POSIBLE_DUPLICADO",""))</f>
        <v/>
      </c>
    </row>
    <row r="313">
      <c r="A313" s="17" t="inlineStr">
        <is>
          <t>7cd92f82-9188-506d-b764-5bf23b85a742</t>
        </is>
      </c>
      <c r="B313" s="18" t="inlineStr">
        <is>
          <t>NUEVO</t>
        </is>
      </c>
      <c r="C313" s="18" t="inlineStr">
        <is>
          <t>ACTIVO</t>
        </is>
      </c>
      <c r="D313" s="18" t="n"/>
      <c r="E313" s="17" t="n"/>
      <c r="F313" s="17" t="n"/>
      <c r="G313" s="19" t="n"/>
      <c r="H313" s="19" t="n"/>
      <c r="I313" s="20" t="n"/>
      <c r="J313" s="20" t="n"/>
      <c r="K313" s="21" t="n"/>
      <c r="L313" s="18" t="n"/>
      <c r="M313" s="22" t="n"/>
      <c r="N313" s="22" t="n"/>
      <c r="O313" s="23" t="n">
        <v>10</v>
      </c>
      <c r="P313" s="24" t="inlineStr">
        <is>
          <t>UNIDAD</t>
        </is>
      </c>
      <c r="Q313" s="20" t="inlineStr">
        <is>
          <t>NO</t>
        </is>
      </c>
      <c r="R313" s="20" t="inlineStr">
        <is>
          <t>NO</t>
        </is>
      </c>
      <c r="S313" s="25" t="n">
        <v>1</v>
      </c>
      <c r="T313" s="20" t="inlineStr">
        <is>
          <t>NO</t>
        </is>
      </c>
      <c r="U313" s="20" t="n"/>
      <c r="V313" s="21" t="n"/>
      <c r="W313" s="26" t="n"/>
      <c r="X313" s="27" t="n"/>
      <c r="Y313" s="20" t="n"/>
      <c r="Z313" s="20" t="n"/>
      <c r="AA313" s="26">
        <f>IF(X313="","",X313-IF(W313="",0,W313))</f>
        <v/>
      </c>
      <c r="AB313" s="28">
        <f>IF(OR(X313="",M313=""),"",X313*M313)</f>
        <v/>
      </c>
      <c r="AC313" s="28">
        <f>IF(OR(X313="",N313=""),"",X313*N313)</f>
        <v/>
      </c>
      <c r="AD313" s="28">
        <f>IF(OR(M313="",N313=""),"",N313-M313)</f>
        <v/>
      </c>
      <c r="AE313" s="29">
        <f>IFERROR(IF(M313&gt;0,(N313-M313)/M313,""),"")</f>
        <v/>
      </c>
      <c r="AF313" s="30" t="n"/>
      <c r="AG313" s="30" t="inlineStr">
        <is>
          <t>PENDIENTE</t>
        </is>
      </c>
      <c r="AH313" s="18">
        <f>IF(NOT(OR(B313="EXISTENTE",COUNTA(G313,H313,I313,J313,K313,M313,N313,U313,V313,X313,Y313,Z313,AF313,AJ313)&gt;0)),"",IF(AK313&lt;&gt;"","REVISAR",IF(OR(G313="",H313="",M313="",N313="",O313="",P313="",X313=""),"INCOMPLETO",IF(AI313&lt;&gt;"","REVISAR",IF(AND(AF313&lt;&gt;"",AG313="ESCANEADO"),"LISTO_COMPLETO","LISTO_SIN_BARCODE")))))</f>
        <v/>
      </c>
      <c r="AI313" s="17">
        <f>IF(NOT(OR(B313="EXISTENTE",COUNTA(G313,H313,I313,J313,K313,M313,N313,U313,V313,X313,Y313,Z313,AF313,AJ313)&gt;0)),"",TEXTJOIN(" | ",TRUE,IF(A313="","Falta ID staging",""),IF(COUNTIF($A$5:$A$445,A313)&gt;1,"ID staging duplicado",""),IF(G313="","Falta nombre",""),IF(LEN(G313)&gt;150,"Nombre &gt;150 caracteres",""),IF(H313="","Falta categoría",IF(COUNTIF(CategoriasLista,H313)=0,"Categoría inválida","")),IF(M313="","Falta precio compra",IF(OR(NOT(ISNUMBER(M313)),M313&lt;0),"Precio compra inválido","")),IF(N313="","Falta precio venta",IF(OR(NOT(ISNUMBER(N313)),N313&lt;=0,N313&lt;M313),"Precio venta inválido","")),IF(O313="","Falta stock mínimo",IF(OR(NOT(ISNUMBER(O313)),O313&lt;0,MOD(O313,1)&lt;&gt;0),"Stock mínimo inválido","")),IF(P313="","Falta unidad",IF(COUNTIF(UnidadesLista,P313)=0,"Unidad inválida","")),IF(AND(K313&lt;&gt;"",COUNTIF(ProveedoresLista,K313)=0),"Proveedor no catalogado",""),IF(X313="","Falta cantidad contada",IF(OR(NOT(ISNUMBER(X313)),X313&lt;0,ABS(X313*1000-ROUND(X313*1000,0))&gt;0.0000001),"Cantidad inválida",IF(AND(Q313="NO",MOD(X313,1)&lt;&gt;0),"Cantidad fraccionaria no permitida",""))),IF(AND(R313="SI",OR(NOT(ISNUMBER(S313)),S313&lt;1,MOD(S313,1)&lt;&gt;0)),"Empaque inválido",""),IF(OR(AND(AF313="",AG313="ESCANEADO"),AND(AF313&lt;&gt;"",AG313&lt;&gt;"ESCANEADO")),"Barcode/estado inconsistente",""),IF(AK313&lt;&gt;"",AK313,"")))</f>
        <v/>
      </c>
      <c r="AJ313" s="21" t="n"/>
      <c r="AK313" s="17">
        <f>IF(G313="","",IF(OR(COUNTIFS($G$5:$G$445,G313,$I$5:$I$445,I313,$J$5:$J$445,J313,$P$5:$P$445,P313)&gt;1,AND(AF313&lt;&gt;"",COUNTIF($AF$5:$AF$445,AF313)&gt;1)),"REVISAR_POSIBLE_DUPLICADO",""))</f>
        <v/>
      </c>
    </row>
    <row r="314">
      <c r="A314" s="17" t="inlineStr">
        <is>
          <t>88b7b5cb-2a7f-577e-9eff-4c330bafb024</t>
        </is>
      </c>
      <c r="B314" s="18" t="inlineStr">
        <is>
          <t>NUEVO</t>
        </is>
      </c>
      <c r="C314" s="18" t="inlineStr">
        <is>
          <t>ACTIVO</t>
        </is>
      </c>
      <c r="D314" s="18" t="n"/>
      <c r="E314" s="17" t="n"/>
      <c r="F314" s="17" t="n"/>
      <c r="G314" s="19" t="n"/>
      <c r="H314" s="19" t="n"/>
      <c r="I314" s="20" t="n"/>
      <c r="J314" s="20" t="n"/>
      <c r="K314" s="21" t="n"/>
      <c r="L314" s="18" t="n"/>
      <c r="M314" s="22" t="n"/>
      <c r="N314" s="22" t="n"/>
      <c r="O314" s="23" t="n">
        <v>10</v>
      </c>
      <c r="P314" s="24" t="inlineStr">
        <is>
          <t>UNIDAD</t>
        </is>
      </c>
      <c r="Q314" s="20" t="inlineStr">
        <is>
          <t>NO</t>
        </is>
      </c>
      <c r="R314" s="20" t="inlineStr">
        <is>
          <t>NO</t>
        </is>
      </c>
      <c r="S314" s="25" t="n">
        <v>1</v>
      </c>
      <c r="T314" s="20" t="inlineStr">
        <is>
          <t>NO</t>
        </is>
      </c>
      <c r="U314" s="20" t="n"/>
      <c r="V314" s="21" t="n"/>
      <c r="W314" s="26" t="n"/>
      <c r="X314" s="27" t="n"/>
      <c r="Y314" s="20" t="n"/>
      <c r="Z314" s="20" t="n"/>
      <c r="AA314" s="26">
        <f>IF(X314="","",X314-IF(W314="",0,W314))</f>
        <v/>
      </c>
      <c r="AB314" s="28">
        <f>IF(OR(X314="",M314=""),"",X314*M314)</f>
        <v/>
      </c>
      <c r="AC314" s="28">
        <f>IF(OR(X314="",N314=""),"",X314*N314)</f>
        <v/>
      </c>
      <c r="AD314" s="28">
        <f>IF(OR(M314="",N314=""),"",N314-M314)</f>
        <v/>
      </c>
      <c r="AE314" s="29">
        <f>IFERROR(IF(M314&gt;0,(N314-M314)/M314,""),"")</f>
        <v/>
      </c>
      <c r="AF314" s="30" t="n"/>
      <c r="AG314" s="30" t="inlineStr">
        <is>
          <t>PENDIENTE</t>
        </is>
      </c>
      <c r="AH314" s="18">
        <f>IF(NOT(OR(B314="EXISTENTE",COUNTA(G314,H314,I314,J314,K314,M314,N314,U314,V314,X314,Y314,Z314,AF314,AJ314)&gt;0)),"",IF(AK314&lt;&gt;"","REVISAR",IF(OR(G314="",H314="",M314="",N314="",O314="",P314="",X314=""),"INCOMPLETO",IF(AI314&lt;&gt;"","REVISAR",IF(AND(AF314&lt;&gt;"",AG314="ESCANEADO"),"LISTO_COMPLETO","LISTO_SIN_BARCODE")))))</f>
        <v/>
      </c>
      <c r="AI314" s="17">
        <f>IF(NOT(OR(B314="EXISTENTE",COUNTA(G314,H314,I314,J314,K314,M314,N314,U314,V314,X314,Y314,Z314,AF314,AJ314)&gt;0)),"",TEXTJOIN(" | ",TRUE,IF(A314="","Falta ID staging",""),IF(COUNTIF($A$5:$A$445,A314)&gt;1,"ID staging duplicado",""),IF(G314="","Falta nombre",""),IF(LEN(G314)&gt;150,"Nombre &gt;150 caracteres",""),IF(H314="","Falta categoría",IF(COUNTIF(CategoriasLista,H314)=0,"Categoría inválida","")),IF(M314="","Falta precio compra",IF(OR(NOT(ISNUMBER(M314)),M314&lt;0),"Precio compra inválido","")),IF(N314="","Falta precio venta",IF(OR(NOT(ISNUMBER(N314)),N314&lt;=0,N314&lt;M314),"Precio venta inválido","")),IF(O314="","Falta stock mínimo",IF(OR(NOT(ISNUMBER(O314)),O314&lt;0,MOD(O314,1)&lt;&gt;0),"Stock mínimo inválido","")),IF(P314="","Falta unidad",IF(COUNTIF(UnidadesLista,P314)=0,"Unidad inválida","")),IF(AND(K314&lt;&gt;"",COUNTIF(ProveedoresLista,K314)=0),"Proveedor no catalogado",""),IF(X314="","Falta cantidad contada",IF(OR(NOT(ISNUMBER(X314)),X314&lt;0,ABS(X314*1000-ROUND(X314*1000,0))&gt;0.0000001),"Cantidad inválida",IF(AND(Q314="NO",MOD(X314,1)&lt;&gt;0),"Cantidad fraccionaria no permitida",""))),IF(AND(R314="SI",OR(NOT(ISNUMBER(S314)),S314&lt;1,MOD(S314,1)&lt;&gt;0)),"Empaque inválido",""),IF(OR(AND(AF314="",AG314="ESCANEADO"),AND(AF314&lt;&gt;"",AG314&lt;&gt;"ESCANEADO")),"Barcode/estado inconsistente",""),IF(AK314&lt;&gt;"",AK314,"")))</f>
        <v/>
      </c>
      <c r="AJ314" s="21" t="n"/>
      <c r="AK314" s="17">
        <f>IF(G314="","",IF(OR(COUNTIFS($G$5:$G$445,G314,$I$5:$I$445,I314,$J$5:$J$445,J314,$P$5:$P$445,P314)&gt;1,AND(AF314&lt;&gt;"",COUNTIF($AF$5:$AF$445,AF314)&gt;1)),"REVISAR_POSIBLE_DUPLICADO",""))</f>
        <v/>
      </c>
    </row>
    <row r="315">
      <c r="A315" s="17" t="inlineStr">
        <is>
          <t>4d9f7e6b-2f8d-5184-9bc2-4bef592c733e</t>
        </is>
      </c>
      <c r="B315" s="18" t="inlineStr">
        <is>
          <t>NUEVO</t>
        </is>
      </c>
      <c r="C315" s="18" t="inlineStr">
        <is>
          <t>ACTIVO</t>
        </is>
      </c>
      <c r="D315" s="18" t="n"/>
      <c r="E315" s="17" t="n"/>
      <c r="F315" s="17" t="n"/>
      <c r="G315" s="19" t="n"/>
      <c r="H315" s="19" t="n"/>
      <c r="I315" s="20" t="n"/>
      <c r="J315" s="20" t="n"/>
      <c r="K315" s="21" t="n"/>
      <c r="L315" s="18" t="n"/>
      <c r="M315" s="22" t="n"/>
      <c r="N315" s="22" t="n"/>
      <c r="O315" s="23" t="n">
        <v>10</v>
      </c>
      <c r="P315" s="24" t="inlineStr">
        <is>
          <t>UNIDAD</t>
        </is>
      </c>
      <c r="Q315" s="20" t="inlineStr">
        <is>
          <t>NO</t>
        </is>
      </c>
      <c r="R315" s="20" t="inlineStr">
        <is>
          <t>NO</t>
        </is>
      </c>
      <c r="S315" s="25" t="n">
        <v>1</v>
      </c>
      <c r="T315" s="20" t="inlineStr">
        <is>
          <t>NO</t>
        </is>
      </c>
      <c r="U315" s="20" t="n"/>
      <c r="V315" s="21" t="n"/>
      <c r="W315" s="26" t="n"/>
      <c r="X315" s="27" t="n"/>
      <c r="Y315" s="20" t="n"/>
      <c r="Z315" s="20" t="n"/>
      <c r="AA315" s="26">
        <f>IF(X315="","",X315-IF(W315="",0,W315))</f>
        <v/>
      </c>
      <c r="AB315" s="28">
        <f>IF(OR(X315="",M315=""),"",X315*M315)</f>
        <v/>
      </c>
      <c r="AC315" s="28">
        <f>IF(OR(X315="",N315=""),"",X315*N315)</f>
        <v/>
      </c>
      <c r="AD315" s="28">
        <f>IF(OR(M315="",N315=""),"",N315-M315)</f>
        <v/>
      </c>
      <c r="AE315" s="29">
        <f>IFERROR(IF(M315&gt;0,(N315-M315)/M315,""),"")</f>
        <v/>
      </c>
      <c r="AF315" s="30" t="n"/>
      <c r="AG315" s="30" t="inlineStr">
        <is>
          <t>PENDIENTE</t>
        </is>
      </c>
      <c r="AH315" s="18">
        <f>IF(NOT(OR(B315="EXISTENTE",COUNTA(G315,H315,I315,J315,K315,M315,N315,U315,V315,X315,Y315,Z315,AF315,AJ315)&gt;0)),"",IF(AK315&lt;&gt;"","REVISAR",IF(OR(G315="",H315="",M315="",N315="",O315="",P315="",X315=""),"INCOMPLETO",IF(AI315&lt;&gt;"","REVISAR",IF(AND(AF315&lt;&gt;"",AG315="ESCANEADO"),"LISTO_COMPLETO","LISTO_SIN_BARCODE")))))</f>
        <v/>
      </c>
      <c r="AI315" s="17">
        <f>IF(NOT(OR(B315="EXISTENTE",COUNTA(G315,H315,I315,J315,K315,M315,N315,U315,V315,X315,Y315,Z315,AF315,AJ315)&gt;0)),"",TEXTJOIN(" | ",TRUE,IF(A315="","Falta ID staging",""),IF(COUNTIF($A$5:$A$445,A315)&gt;1,"ID staging duplicado",""),IF(G315="","Falta nombre",""),IF(LEN(G315)&gt;150,"Nombre &gt;150 caracteres",""),IF(H315="","Falta categoría",IF(COUNTIF(CategoriasLista,H315)=0,"Categoría inválida","")),IF(M315="","Falta precio compra",IF(OR(NOT(ISNUMBER(M315)),M315&lt;0),"Precio compra inválido","")),IF(N315="","Falta precio venta",IF(OR(NOT(ISNUMBER(N315)),N315&lt;=0,N315&lt;M315),"Precio venta inválido","")),IF(O315="","Falta stock mínimo",IF(OR(NOT(ISNUMBER(O315)),O315&lt;0,MOD(O315,1)&lt;&gt;0),"Stock mínimo inválido","")),IF(P315="","Falta unidad",IF(COUNTIF(UnidadesLista,P315)=0,"Unidad inválida","")),IF(AND(K315&lt;&gt;"",COUNTIF(ProveedoresLista,K315)=0),"Proveedor no catalogado",""),IF(X315="","Falta cantidad contada",IF(OR(NOT(ISNUMBER(X315)),X315&lt;0,ABS(X315*1000-ROUND(X315*1000,0))&gt;0.0000001),"Cantidad inválida",IF(AND(Q315="NO",MOD(X315,1)&lt;&gt;0),"Cantidad fraccionaria no permitida",""))),IF(AND(R315="SI",OR(NOT(ISNUMBER(S315)),S315&lt;1,MOD(S315,1)&lt;&gt;0)),"Empaque inválido",""),IF(OR(AND(AF315="",AG315="ESCANEADO"),AND(AF315&lt;&gt;"",AG315&lt;&gt;"ESCANEADO")),"Barcode/estado inconsistente",""),IF(AK315&lt;&gt;"",AK315,"")))</f>
        <v/>
      </c>
      <c r="AJ315" s="21" t="n"/>
      <c r="AK315" s="17">
        <f>IF(G315="","",IF(OR(COUNTIFS($G$5:$G$445,G315,$I$5:$I$445,I315,$J$5:$J$445,J315,$P$5:$P$445,P315)&gt;1,AND(AF315&lt;&gt;"",COUNTIF($AF$5:$AF$445,AF315)&gt;1)),"REVISAR_POSIBLE_DUPLICADO",""))</f>
        <v/>
      </c>
    </row>
    <row r="316">
      <c r="A316" s="17" t="inlineStr">
        <is>
          <t>88e68cf7-4fcb-5c61-8044-45b163cd8c78</t>
        </is>
      </c>
      <c r="B316" s="18" t="inlineStr">
        <is>
          <t>NUEVO</t>
        </is>
      </c>
      <c r="C316" s="18" t="inlineStr">
        <is>
          <t>ACTIVO</t>
        </is>
      </c>
      <c r="D316" s="18" t="n"/>
      <c r="E316" s="17" t="n"/>
      <c r="F316" s="17" t="n"/>
      <c r="G316" s="19" t="n"/>
      <c r="H316" s="19" t="n"/>
      <c r="I316" s="20" t="n"/>
      <c r="J316" s="20" t="n"/>
      <c r="K316" s="21" t="n"/>
      <c r="L316" s="18" t="n"/>
      <c r="M316" s="22" t="n"/>
      <c r="N316" s="22" t="n"/>
      <c r="O316" s="23" t="n">
        <v>10</v>
      </c>
      <c r="P316" s="24" t="inlineStr">
        <is>
          <t>UNIDAD</t>
        </is>
      </c>
      <c r="Q316" s="20" t="inlineStr">
        <is>
          <t>NO</t>
        </is>
      </c>
      <c r="R316" s="20" t="inlineStr">
        <is>
          <t>NO</t>
        </is>
      </c>
      <c r="S316" s="25" t="n">
        <v>1</v>
      </c>
      <c r="T316" s="20" t="inlineStr">
        <is>
          <t>NO</t>
        </is>
      </c>
      <c r="U316" s="20" t="n"/>
      <c r="V316" s="21" t="n"/>
      <c r="W316" s="26" t="n"/>
      <c r="X316" s="27" t="n"/>
      <c r="Y316" s="20" t="n"/>
      <c r="Z316" s="20" t="n"/>
      <c r="AA316" s="26">
        <f>IF(X316="","",X316-IF(W316="",0,W316))</f>
        <v/>
      </c>
      <c r="AB316" s="28">
        <f>IF(OR(X316="",M316=""),"",X316*M316)</f>
        <v/>
      </c>
      <c r="AC316" s="28">
        <f>IF(OR(X316="",N316=""),"",X316*N316)</f>
        <v/>
      </c>
      <c r="AD316" s="28">
        <f>IF(OR(M316="",N316=""),"",N316-M316)</f>
        <v/>
      </c>
      <c r="AE316" s="29">
        <f>IFERROR(IF(M316&gt;0,(N316-M316)/M316,""),"")</f>
        <v/>
      </c>
      <c r="AF316" s="30" t="n"/>
      <c r="AG316" s="30" t="inlineStr">
        <is>
          <t>PENDIENTE</t>
        </is>
      </c>
      <c r="AH316" s="18">
        <f>IF(NOT(OR(B316="EXISTENTE",COUNTA(G316,H316,I316,J316,K316,M316,N316,U316,V316,X316,Y316,Z316,AF316,AJ316)&gt;0)),"",IF(AK316&lt;&gt;"","REVISAR",IF(OR(G316="",H316="",M316="",N316="",O316="",P316="",X316=""),"INCOMPLETO",IF(AI316&lt;&gt;"","REVISAR",IF(AND(AF316&lt;&gt;"",AG316="ESCANEADO"),"LISTO_COMPLETO","LISTO_SIN_BARCODE")))))</f>
        <v/>
      </c>
      <c r="AI316" s="17">
        <f>IF(NOT(OR(B316="EXISTENTE",COUNTA(G316,H316,I316,J316,K316,M316,N316,U316,V316,X316,Y316,Z316,AF316,AJ316)&gt;0)),"",TEXTJOIN(" | ",TRUE,IF(A316="","Falta ID staging",""),IF(COUNTIF($A$5:$A$445,A316)&gt;1,"ID staging duplicado",""),IF(G316="","Falta nombre",""),IF(LEN(G316)&gt;150,"Nombre &gt;150 caracteres",""),IF(H316="","Falta categoría",IF(COUNTIF(CategoriasLista,H316)=0,"Categoría inválida","")),IF(M316="","Falta precio compra",IF(OR(NOT(ISNUMBER(M316)),M316&lt;0),"Precio compra inválido","")),IF(N316="","Falta precio venta",IF(OR(NOT(ISNUMBER(N316)),N316&lt;=0,N316&lt;M316),"Precio venta inválido","")),IF(O316="","Falta stock mínimo",IF(OR(NOT(ISNUMBER(O316)),O316&lt;0,MOD(O316,1)&lt;&gt;0),"Stock mínimo inválido","")),IF(P316="","Falta unidad",IF(COUNTIF(UnidadesLista,P316)=0,"Unidad inválida","")),IF(AND(K316&lt;&gt;"",COUNTIF(ProveedoresLista,K316)=0),"Proveedor no catalogado",""),IF(X316="","Falta cantidad contada",IF(OR(NOT(ISNUMBER(X316)),X316&lt;0,ABS(X316*1000-ROUND(X316*1000,0))&gt;0.0000001),"Cantidad inválida",IF(AND(Q316="NO",MOD(X316,1)&lt;&gt;0),"Cantidad fraccionaria no permitida",""))),IF(AND(R316="SI",OR(NOT(ISNUMBER(S316)),S316&lt;1,MOD(S316,1)&lt;&gt;0)),"Empaque inválido",""),IF(OR(AND(AF316="",AG316="ESCANEADO"),AND(AF316&lt;&gt;"",AG316&lt;&gt;"ESCANEADO")),"Barcode/estado inconsistente",""),IF(AK316&lt;&gt;"",AK316,"")))</f>
        <v/>
      </c>
      <c r="AJ316" s="21" t="n"/>
      <c r="AK316" s="17">
        <f>IF(G316="","",IF(OR(COUNTIFS($G$5:$G$445,G316,$I$5:$I$445,I316,$J$5:$J$445,J316,$P$5:$P$445,P316)&gt;1,AND(AF316&lt;&gt;"",COUNTIF($AF$5:$AF$445,AF316)&gt;1)),"REVISAR_POSIBLE_DUPLICADO",""))</f>
        <v/>
      </c>
    </row>
    <row r="317">
      <c r="A317" s="17" t="inlineStr">
        <is>
          <t>32b2463d-18af-5d48-9974-038f21c14ffd</t>
        </is>
      </c>
      <c r="B317" s="18" t="inlineStr">
        <is>
          <t>NUEVO</t>
        </is>
      </c>
      <c r="C317" s="18" t="inlineStr">
        <is>
          <t>ACTIVO</t>
        </is>
      </c>
      <c r="D317" s="18" t="n"/>
      <c r="E317" s="17" t="n"/>
      <c r="F317" s="17" t="n"/>
      <c r="G317" s="19" t="n"/>
      <c r="H317" s="19" t="n"/>
      <c r="I317" s="20" t="n"/>
      <c r="J317" s="20" t="n"/>
      <c r="K317" s="21" t="n"/>
      <c r="L317" s="18" t="n"/>
      <c r="M317" s="22" t="n"/>
      <c r="N317" s="22" t="n"/>
      <c r="O317" s="23" t="n">
        <v>10</v>
      </c>
      <c r="P317" s="24" t="inlineStr">
        <is>
          <t>UNIDAD</t>
        </is>
      </c>
      <c r="Q317" s="20" t="inlineStr">
        <is>
          <t>NO</t>
        </is>
      </c>
      <c r="R317" s="20" t="inlineStr">
        <is>
          <t>NO</t>
        </is>
      </c>
      <c r="S317" s="25" t="n">
        <v>1</v>
      </c>
      <c r="T317" s="20" t="inlineStr">
        <is>
          <t>NO</t>
        </is>
      </c>
      <c r="U317" s="20" t="n"/>
      <c r="V317" s="21" t="n"/>
      <c r="W317" s="26" t="n"/>
      <c r="X317" s="27" t="n"/>
      <c r="Y317" s="20" t="n"/>
      <c r="Z317" s="20" t="n"/>
      <c r="AA317" s="26">
        <f>IF(X317="","",X317-IF(W317="",0,W317))</f>
        <v/>
      </c>
      <c r="AB317" s="28">
        <f>IF(OR(X317="",M317=""),"",X317*M317)</f>
        <v/>
      </c>
      <c r="AC317" s="28">
        <f>IF(OR(X317="",N317=""),"",X317*N317)</f>
        <v/>
      </c>
      <c r="AD317" s="28">
        <f>IF(OR(M317="",N317=""),"",N317-M317)</f>
        <v/>
      </c>
      <c r="AE317" s="29">
        <f>IFERROR(IF(M317&gt;0,(N317-M317)/M317,""),"")</f>
        <v/>
      </c>
      <c r="AF317" s="30" t="n"/>
      <c r="AG317" s="30" t="inlineStr">
        <is>
          <t>PENDIENTE</t>
        </is>
      </c>
      <c r="AH317" s="18">
        <f>IF(NOT(OR(B317="EXISTENTE",COUNTA(G317,H317,I317,J317,K317,M317,N317,U317,V317,X317,Y317,Z317,AF317,AJ317)&gt;0)),"",IF(AK317&lt;&gt;"","REVISAR",IF(OR(G317="",H317="",M317="",N317="",O317="",P317="",X317=""),"INCOMPLETO",IF(AI317&lt;&gt;"","REVISAR",IF(AND(AF317&lt;&gt;"",AG317="ESCANEADO"),"LISTO_COMPLETO","LISTO_SIN_BARCODE")))))</f>
        <v/>
      </c>
      <c r="AI317" s="17">
        <f>IF(NOT(OR(B317="EXISTENTE",COUNTA(G317,H317,I317,J317,K317,M317,N317,U317,V317,X317,Y317,Z317,AF317,AJ317)&gt;0)),"",TEXTJOIN(" | ",TRUE,IF(A317="","Falta ID staging",""),IF(COUNTIF($A$5:$A$445,A317)&gt;1,"ID staging duplicado",""),IF(G317="","Falta nombre",""),IF(LEN(G317)&gt;150,"Nombre &gt;150 caracteres",""),IF(H317="","Falta categoría",IF(COUNTIF(CategoriasLista,H317)=0,"Categoría inválida","")),IF(M317="","Falta precio compra",IF(OR(NOT(ISNUMBER(M317)),M317&lt;0),"Precio compra inválido","")),IF(N317="","Falta precio venta",IF(OR(NOT(ISNUMBER(N317)),N317&lt;=0,N317&lt;M317),"Precio venta inválido","")),IF(O317="","Falta stock mínimo",IF(OR(NOT(ISNUMBER(O317)),O317&lt;0,MOD(O317,1)&lt;&gt;0),"Stock mínimo inválido","")),IF(P317="","Falta unidad",IF(COUNTIF(UnidadesLista,P317)=0,"Unidad inválida","")),IF(AND(K317&lt;&gt;"",COUNTIF(ProveedoresLista,K317)=0),"Proveedor no catalogado",""),IF(X317="","Falta cantidad contada",IF(OR(NOT(ISNUMBER(X317)),X317&lt;0,ABS(X317*1000-ROUND(X317*1000,0))&gt;0.0000001),"Cantidad inválida",IF(AND(Q317="NO",MOD(X317,1)&lt;&gt;0),"Cantidad fraccionaria no permitida",""))),IF(AND(R317="SI",OR(NOT(ISNUMBER(S317)),S317&lt;1,MOD(S317,1)&lt;&gt;0)),"Empaque inválido",""),IF(OR(AND(AF317="",AG317="ESCANEADO"),AND(AF317&lt;&gt;"",AG317&lt;&gt;"ESCANEADO")),"Barcode/estado inconsistente",""),IF(AK317&lt;&gt;"",AK317,"")))</f>
        <v/>
      </c>
      <c r="AJ317" s="21" t="n"/>
      <c r="AK317" s="17">
        <f>IF(G317="","",IF(OR(COUNTIFS($G$5:$G$445,G317,$I$5:$I$445,I317,$J$5:$J$445,J317,$P$5:$P$445,P317)&gt;1,AND(AF317&lt;&gt;"",COUNTIF($AF$5:$AF$445,AF317)&gt;1)),"REVISAR_POSIBLE_DUPLICADO",""))</f>
        <v/>
      </c>
    </row>
    <row r="318">
      <c r="A318" s="17" t="inlineStr">
        <is>
          <t>840023e2-b872-52b7-a3fc-b33a4dd6133f</t>
        </is>
      </c>
      <c r="B318" s="18" t="inlineStr">
        <is>
          <t>NUEVO</t>
        </is>
      </c>
      <c r="C318" s="18" t="inlineStr">
        <is>
          <t>ACTIVO</t>
        </is>
      </c>
      <c r="D318" s="18" t="n"/>
      <c r="E318" s="17" t="n"/>
      <c r="F318" s="17" t="n"/>
      <c r="G318" s="19" t="n"/>
      <c r="H318" s="19" t="n"/>
      <c r="I318" s="20" t="n"/>
      <c r="J318" s="20" t="n"/>
      <c r="K318" s="21" t="n"/>
      <c r="L318" s="18" t="n"/>
      <c r="M318" s="22" t="n"/>
      <c r="N318" s="22" t="n"/>
      <c r="O318" s="23" t="n">
        <v>10</v>
      </c>
      <c r="P318" s="24" t="inlineStr">
        <is>
          <t>UNIDAD</t>
        </is>
      </c>
      <c r="Q318" s="20" t="inlineStr">
        <is>
          <t>NO</t>
        </is>
      </c>
      <c r="R318" s="20" t="inlineStr">
        <is>
          <t>NO</t>
        </is>
      </c>
      <c r="S318" s="25" t="n">
        <v>1</v>
      </c>
      <c r="T318" s="20" t="inlineStr">
        <is>
          <t>NO</t>
        </is>
      </c>
      <c r="U318" s="20" t="n"/>
      <c r="V318" s="21" t="n"/>
      <c r="W318" s="26" t="n"/>
      <c r="X318" s="27" t="n"/>
      <c r="Y318" s="20" t="n"/>
      <c r="Z318" s="20" t="n"/>
      <c r="AA318" s="26">
        <f>IF(X318="","",X318-IF(W318="",0,W318))</f>
        <v/>
      </c>
      <c r="AB318" s="28">
        <f>IF(OR(X318="",M318=""),"",X318*M318)</f>
        <v/>
      </c>
      <c r="AC318" s="28">
        <f>IF(OR(X318="",N318=""),"",X318*N318)</f>
        <v/>
      </c>
      <c r="AD318" s="28">
        <f>IF(OR(M318="",N318=""),"",N318-M318)</f>
        <v/>
      </c>
      <c r="AE318" s="29">
        <f>IFERROR(IF(M318&gt;0,(N318-M318)/M318,""),"")</f>
        <v/>
      </c>
      <c r="AF318" s="30" t="n"/>
      <c r="AG318" s="30" t="inlineStr">
        <is>
          <t>PENDIENTE</t>
        </is>
      </c>
      <c r="AH318" s="18">
        <f>IF(NOT(OR(B318="EXISTENTE",COUNTA(G318,H318,I318,J318,K318,M318,N318,U318,V318,X318,Y318,Z318,AF318,AJ318)&gt;0)),"",IF(AK318&lt;&gt;"","REVISAR",IF(OR(G318="",H318="",M318="",N318="",O318="",P318="",X318=""),"INCOMPLETO",IF(AI318&lt;&gt;"","REVISAR",IF(AND(AF318&lt;&gt;"",AG318="ESCANEADO"),"LISTO_COMPLETO","LISTO_SIN_BARCODE")))))</f>
        <v/>
      </c>
      <c r="AI318" s="17">
        <f>IF(NOT(OR(B318="EXISTENTE",COUNTA(G318,H318,I318,J318,K318,M318,N318,U318,V318,X318,Y318,Z318,AF318,AJ318)&gt;0)),"",TEXTJOIN(" | ",TRUE,IF(A318="","Falta ID staging",""),IF(COUNTIF($A$5:$A$445,A318)&gt;1,"ID staging duplicado",""),IF(G318="","Falta nombre",""),IF(LEN(G318)&gt;150,"Nombre &gt;150 caracteres",""),IF(H318="","Falta categoría",IF(COUNTIF(CategoriasLista,H318)=0,"Categoría inválida","")),IF(M318="","Falta precio compra",IF(OR(NOT(ISNUMBER(M318)),M318&lt;0),"Precio compra inválido","")),IF(N318="","Falta precio venta",IF(OR(NOT(ISNUMBER(N318)),N318&lt;=0,N318&lt;M318),"Precio venta inválido","")),IF(O318="","Falta stock mínimo",IF(OR(NOT(ISNUMBER(O318)),O318&lt;0,MOD(O318,1)&lt;&gt;0),"Stock mínimo inválido","")),IF(P318="","Falta unidad",IF(COUNTIF(UnidadesLista,P318)=0,"Unidad inválida","")),IF(AND(K318&lt;&gt;"",COUNTIF(ProveedoresLista,K318)=0),"Proveedor no catalogado",""),IF(X318="","Falta cantidad contada",IF(OR(NOT(ISNUMBER(X318)),X318&lt;0,ABS(X318*1000-ROUND(X318*1000,0))&gt;0.0000001),"Cantidad inválida",IF(AND(Q318="NO",MOD(X318,1)&lt;&gt;0),"Cantidad fraccionaria no permitida",""))),IF(AND(R318="SI",OR(NOT(ISNUMBER(S318)),S318&lt;1,MOD(S318,1)&lt;&gt;0)),"Empaque inválido",""),IF(OR(AND(AF318="",AG318="ESCANEADO"),AND(AF318&lt;&gt;"",AG318&lt;&gt;"ESCANEADO")),"Barcode/estado inconsistente",""),IF(AK318&lt;&gt;"",AK318,"")))</f>
        <v/>
      </c>
      <c r="AJ318" s="21" t="n"/>
      <c r="AK318" s="17">
        <f>IF(G318="","",IF(OR(COUNTIFS($G$5:$G$445,G318,$I$5:$I$445,I318,$J$5:$J$445,J318,$P$5:$P$445,P318)&gt;1,AND(AF318&lt;&gt;"",COUNTIF($AF$5:$AF$445,AF318)&gt;1)),"REVISAR_POSIBLE_DUPLICADO",""))</f>
        <v/>
      </c>
    </row>
    <row r="319">
      <c r="A319" s="17" t="inlineStr">
        <is>
          <t>0035276c-6828-560b-ac4c-c9d575857384</t>
        </is>
      </c>
      <c r="B319" s="18" t="inlineStr">
        <is>
          <t>NUEVO</t>
        </is>
      </c>
      <c r="C319" s="18" t="inlineStr">
        <is>
          <t>ACTIVO</t>
        </is>
      </c>
      <c r="D319" s="18" t="n"/>
      <c r="E319" s="17" t="n"/>
      <c r="F319" s="17" t="n"/>
      <c r="G319" s="19" t="n"/>
      <c r="H319" s="19" t="n"/>
      <c r="I319" s="20" t="n"/>
      <c r="J319" s="20" t="n"/>
      <c r="K319" s="21" t="n"/>
      <c r="L319" s="18" t="n"/>
      <c r="M319" s="22" t="n"/>
      <c r="N319" s="22" t="n"/>
      <c r="O319" s="23" t="n">
        <v>10</v>
      </c>
      <c r="P319" s="24" t="inlineStr">
        <is>
          <t>UNIDAD</t>
        </is>
      </c>
      <c r="Q319" s="20" t="inlineStr">
        <is>
          <t>NO</t>
        </is>
      </c>
      <c r="R319" s="20" t="inlineStr">
        <is>
          <t>NO</t>
        </is>
      </c>
      <c r="S319" s="25" t="n">
        <v>1</v>
      </c>
      <c r="T319" s="20" t="inlineStr">
        <is>
          <t>NO</t>
        </is>
      </c>
      <c r="U319" s="20" t="n"/>
      <c r="V319" s="21" t="n"/>
      <c r="W319" s="26" t="n"/>
      <c r="X319" s="27" t="n"/>
      <c r="Y319" s="20" t="n"/>
      <c r="Z319" s="20" t="n"/>
      <c r="AA319" s="26">
        <f>IF(X319="","",X319-IF(W319="",0,W319))</f>
        <v/>
      </c>
      <c r="AB319" s="28">
        <f>IF(OR(X319="",M319=""),"",X319*M319)</f>
        <v/>
      </c>
      <c r="AC319" s="28">
        <f>IF(OR(X319="",N319=""),"",X319*N319)</f>
        <v/>
      </c>
      <c r="AD319" s="28">
        <f>IF(OR(M319="",N319=""),"",N319-M319)</f>
        <v/>
      </c>
      <c r="AE319" s="29">
        <f>IFERROR(IF(M319&gt;0,(N319-M319)/M319,""),"")</f>
        <v/>
      </c>
      <c r="AF319" s="30" t="n"/>
      <c r="AG319" s="30" t="inlineStr">
        <is>
          <t>PENDIENTE</t>
        </is>
      </c>
      <c r="AH319" s="18">
        <f>IF(NOT(OR(B319="EXISTENTE",COUNTA(G319,H319,I319,J319,K319,M319,N319,U319,V319,X319,Y319,Z319,AF319,AJ319)&gt;0)),"",IF(AK319&lt;&gt;"","REVISAR",IF(OR(G319="",H319="",M319="",N319="",O319="",P319="",X319=""),"INCOMPLETO",IF(AI319&lt;&gt;"","REVISAR",IF(AND(AF319&lt;&gt;"",AG319="ESCANEADO"),"LISTO_COMPLETO","LISTO_SIN_BARCODE")))))</f>
        <v/>
      </c>
      <c r="AI319" s="17">
        <f>IF(NOT(OR(B319="EXISTENTE",COUNTA(G319,H319,I319,J319,K319,M319,N319,U319,V319,X319,Y319,Z319,AF319,AJ319)&gt;0)),"",TEXTJOIN(" | ",TRUE,IF(A319="","Falta ID staging",""),IF(COUNTIF($A$5:$A$445,A319)&gt;1,"ID staging duplicado",""),IF(G319="","Falta nombre",""),IF(LEN(G319)&gt;150,"Nombre &gt;150 caracteres",""),IF(H319="","Falta categoría",IF(COUNTIF(CategoriasLista,H319)=0,"Categoría inválida","")),IF(M319="","Falta precio compra",IF(OR(NOT(ISNUMBER(M319)),M319&lt;0),"Precio compra inválido","")),IF(N319="","Falta precio venta",IF(OR(NOT(ISNUMBER(N319)),N319&lt;=0,N319&lt;M319),"Precio venta inválido","")),IF(O319="","Falta stock mínimo",IF(OR(NOT(ISNUMBER(O319)),O319&lt;0,MOD(O319,1)&lt;&gt;0),"Stock mínimo inválido","")),IF(P319="","Falta unidad",IF(COUNTIF(UnidadesLista,P319)=0,"Unidad inválida","")),IF(AND(K319&lt;&gt;"",COUNTIF(ProveedoresLista,K319)=0),"Proveedor no catalogado",""),IF(X319="","Falta cantidad contada",IF(OR(NOT(ISNUMBER(X319)),X319&lt;0,ABS(X319*1000-ROUND(X319*1000,0))&gt;0.0000001),"Cantidad inválida",IF(AND(Q319="NO",MOD(X319,1)&lt;&gt;0),"Cantidad fraccionaria no permitida",""))),IF(AND(R319="SI",OR(NOT(ISNUMBER(S319)),S319&lt;1,MOD(S319,1)&lt;&gt;0)),"Empaque inválido",""),IF(OR(AND(AF319="",AG319="ESCANEADO"),AND(AF319&lt;&gt;"",AG319&lt;&gt;"ESCANEADO")),"Barcode/estado inconsistente",""),IF(AK319&lt;&gt;"",AK319,"")))</f>
        <v/>
      </c>
      <c r="AJ319" s="21" t="n"/>
      <c r="AK319" s="17">
        <f>IF(G319="","",IF(OR(COUNTIFS($G$5:$G$445,G319,$I$5:$I$445,I319,$J$5:$J$445,J319,$P$5:$P$445,P319)&gt;1,AND(AF319&lt;&gt;"",COUNTIF($AF$5:$AF$445,AF319)&gt;1)),"REVISAR_POSIBLE_DUPLICADO",""))</f>
        <v/>
      </c>
    </row>
    <row r="320">
      <c r="A320" s="17" t="inlineStr">
        <is>
          <t>be425757-20b4-5757-9f8c-f758c3632096</t>
        </is>
      </c>
      <c r="B320" s="18" t="inlineStr">
        <is>
          <t>NUEVO</t>
        </is>
      </c>
      <c r="C320" s="18" t="inlineStr">
        <is>
          <t>ACTIVO</t>
        </is>
      </c>
      <c r="D320" s="18" t="n"/>
      <c r="E320" s="17" t="n"/>
      <c r="F320" s="17" t="n"/>
      <c r="G320" s="19" t="n"/>
      <c r="H320" s="19" t="n"/>
      <c r="I320" s="20" t="n"/>
      <c r="J320" s="20" t="n"/>
      <c r="K320" s="21" t="n"/>
      <c r="L320" s="18" t="n"/>
      <c r="M320" s="22" t="n"/>
      <c r="N320" s="22" t="n"/>
      <c r="O320" s="23" t="n">
        <v>10</v>
      </c>
      <c r="P320" s="24" t="inlineStr">
        <is>
          <t>UNIDAD</t>
        </is>
      </c>
      <c r="Q320" s="20" t="inlineStr">
        <is>
          <t>NO</t>
        </is>
      </c>
      <c r="R320" s="20" t="inlineStr">
        <is>
          <t>NO</t>
        </is>
      </c>
      <c r="S320" s="25" t="n">
        <v>1</v>
      </c>
      <c r="T320" s="20" t="inlineStr">
        <is>
          <t>NO</t>
        </is>
      </c>
      <c r="U320" s="20" t="n"/>
      <c r="V320" s="21" t="n"/>
      <c r="W320" s="26" t="n"/>
      <c r="X320" s="27" t="n"/>
      <c r="Y320" s="20" t="n"/>
      <c r="Z320" s="20" t="n"/>
      <c r="AA320" s="26">
        <f>IF(X320="","",X320-IF(W320="",0,W320))</f>
        <v/>
      </c>
      <c r="AB320" s="28">
        <f>IF(OR(X320="",M320=""),"",X320*M320)</f>
        <v/>
      </c>
      <c r="AC320" s="28">
        <f>IF(OR(X320="",N320=""),"",X320*N320)</f>
        <v/>
      </c>
      <c r="AD320" s="28">
        <f>IF(OR(M320="",N320=""),"",N320-M320)</f>
        <v/>
      </c>
      <c r="AE320" s="29">
        <f>IFERROR(IF(M320&gt;0,(N320-M320)/M320,""),"")</f>
        <v/>
      </c>
      <c r="AF320" s="30" t="n"/>
      <c r="AG320" s="30" t="inlineStr">
        <is>
          <t>PENDIENTE</t>
        </is>
      </c>
      <c r="AH320" s="18">
        <f>IF(NOT(OR(B320="EXISTENTE",COUNTA(G320,H320,I320,J320,K320,M320,N320,U320,V320,X320,Y320,Z320,AF320,AJ320)&gt;0)),"",IF(AK320&lt;&gt;"","REVISAR",IF(OR(G320="",H320="",M320="",N320="",O320="",P320="",X320=""),"INCOMPLETO",IF(AI320&lt;&gt;"","REVISAR",IF(AND(AF320&lt;&gt;"",AG320="ESCANEADO"),"LISTO_COMPLETO","LISTO_SIN_BARCODE")))))</f>
        <v/>
      </c>
      <c r="AI320" s="17">
        <f>IF(NOT(OR(B320="EXISTENTE",COUNTA(G320,H320,I320,J320,K320,M320,N320,U320,V320,X320,Y320,Z320,AF320,AJ320)&gt;0)),"",TEXTJOIN(" | ",TRUE,IF(A320="","Falta ID staging",""),IF(COUNTIF($A$5:$A$445,A320)&gt;1,"ID staging duplicado",""),IF(G320="","Falta nombre",""),IF(LEN(G320)&gt;150,"Nombre &gt;150 caracteres",""),IF(H320="","Falta categoría",IF(COUNTIF(CategoriasLista,H320)=0,"Categoría inválida","")),IF(M320="","Falta precio compra",IF(OR(NOT(ISNUMBER(M320)),M320&lt;0),"Precio compra inválido","")),IF(N320="","Falta precio venta",IF(OR(NOT(ISNUMBER(N320)),N320&lt;=0,N320&lt;M320),"Precio venta inválido","")),IF(O320="","Falta stock mínimo",IF(OR(NOT(ISNUMBER(O320)),O320&lt;0,MOD(O320,1)&lt;&gt;0),"Stock mínimo inválido","")),IF(P320="","Falta unidad",IF(COUNTIF(UnidadesLista,P320)=0,"Unidad inválida","")),IF(AND(K320&lt;&gt;"",COUNTIF(ProveedoresLista,K320)=0),"Proveedor no catalogado",""),IF(X320="","Falta cantidad contada",IF(OR(NOT(ISNUMBER(X320)),X320&lt;0,ABS(X320*1000-ROUND(X320*1000,0))&gt;0.0000001),"Cantidad inválida",IF(AND(Q320="NO",MOD(X320,1)&lt;&gt;0),"Cantidad fraccionaria no permitida",""))),IF(AND(R320="SI",OR(NOT(ISNUMBER(S320)),S320&lt;1,MOD(S320,1)&lt;&gt;0)),"Empaque inválido",""),IF(OR(AND(AF320="",AG320="ESCANEADO"),AND(AF320&lt;&gt;"",AG320&lt;&gt;"ESCANEADO")),"Barcode/estado inconsistente",""),IF(AK320&lt;&gt;"",AK320,"")))</f>
        <v/>
      </c>
      <c r="AJ320" s="21" t="n"/>
      <c r="AK320" s="17">
        <f>IF(G320="","",IF(OR(COUNTIFS($G$5:$G$445,G320,$I$5:$I$445,I320,$J$5:$J$445,J320,$P$5:$P$445,P320)&gt;1,AND(AF320&lt;&gt;"",COUNTIF($AF$5:$AF$445,AF320)&gt;1)),"REVISAR_POSIBLE_DUPLICADO",""))</f>
        <v/>
      </c>
    </row>
    <row r="321">
      <c r="A321" s="17" t="inlineStr">
        <is>
          <t>364f55d7-5550-5a45-b635-51cc8d44f0a2</t>
        </is>
      </c>
      <c r="B321" s="18" t="inlineStr">
        <is>
          <t>NUEVO</t>
        </is>
      </c>
      <c r="C321" s="18" t="inlineStr">
        <is>
          <t>ACTIVO</t>
        </is>
      </c>
      <c r="D321" s="18" t="n"/>
      <c r="E321" s="17" t="n"/>
      <c r="F321" s="17" t="n"/>
      <c r="G321" s="19" t="n"/>
      <c r="H321" s="19" t="n"/>
      <c r="I321" s="20" t="n"/>
      <c r="J321" s="20" t="n"/>
      <c r="K321" s="21" t="n"/>
      <c r="L321" s="18" t="n"/>
      <c r="M321" s="22" t="n"/>
      <c r="N321" s="22" t="n"/>
      <c r="O321" s="23" t="n">
        <v>10</v>
      </c>
      <c r="P321" s="24" t="inlineStr">
        <is>
          <t>UNIDAD</t>
        </is>
      </c>
      <c r="Q321" s="20" t="inlineStr">
        <is>
          <t>NO</t>
        </is>
      </c>
      <c r="R321" s="20" t="inlineStr">
        <is>
          <t>NO</t>
        </is>
      </c>
      <c r="S321" s="25" t="n">
        <v>1</v>
      </c>
      <c r="T321" s="20" t="inlineStr">
        <is>
          <t>NO</t>
        </is>
      </c>
      <c r="U321" s="20" t="n"/>
      <c r="V321" s="21" t="n"/>
      <c r="W321" s="26" t="n"/>
      <c r="X321" s="27" t="n"/>
      <c r="Y321" s="20" t="n"/>
      <c r="Z321" s="20" t="n"/>
      <c r="AA321" s="26">
        <f>IF(X321="","",X321-IF(W321="",0,W321))</f>
        <v/>
      </c>
      <c r="AB321" s="28">
        <f>IF(OR(X321="",M321=""),"",X321*M321)</f>
        <v/>
      </c>
      <c r="AC321" s="28">
        <f>IF(OR(X321="",N321=""),"",X321*N321)</f>
        <v/>
      </c>
      <c r="AD321" s="28">
        <f>IF(OR(M321="",N321=""),"",N321-M321)</f>
        <v/>
      </c>
      <c r="AE321" s="29">
        <f>IFERROR(IF(M321&gt;0,(N321-M321)/M321,""),"")</f>
        <v/>
      </c>
      <c r="AF321" s="30" t="n"/>
      <c r="AG321" s="30" t="inlineStr">
        <is>
          <t>PENDIENTE</t>
        </is>
      </c>
      <c r="AH321" s="18">
        <f>IF(NOT(OR(B321="EXISTENTE",COUNTA(G321,H321,I321,J321,K321,M321,N321,U321,V321,X321,Y321,Z321,AF321,AJ321)&gt;0)),"",IF(AK321&lt;&gt;"","REVISAR",IF(OR(G321="",H321="",M321="",N321="",O321="",P321="",X321=""),"INCOMPLETO",IF(AI321&lt;&gt;"","REVISAR",IF(AND(AF321&lt;&gt;"",AG321="ESCANEADO"),"LISTO_COMPLETO","LISTO_SIN_BARCODE")))))</f>
        <v/>
      </c>
      <c r="AI321" s="17">
        <f>IF(NOT(OR(B321="EXISTENTE",COUNTA(G321,H321,I321,J321,K321,M321,N321,U321,V321,X321,Y321,Z321,AF321,AJ321)&gt;0)),"",TEXTJOIN(" | ",TRUE,IF(A321="","Falta ID staging",""),IF(COUNTIF($A$5:$A$445,A321)&gt;1,"ID staging duplicado",""),IF(G321="","Falta nombre",""),IF(LEN(G321)&gt;150,"Nombre &gt;150 caracteres",""),IF(H321="","Falta categoría",IF(COUNTIF(CategoriasLista,H321)=0,"Categoría inválida","")),IF(M321="","Falta precio compra",IF(OR(NOT(ISNUMBER(M321)),M321&lt;0),"Precio compra inválido","")),IF(N321="","Falta precio venta",IF(OR(NOT(ISNUMBER(N321)),N321&lt;=0,N321&lt;M321),"Precio venta inválido","")),IF(O321="","Falta stock mínimo",IF(OR(NOT(ISNUMBER(O321)),O321&lt;0,MOD(O321,1)&lt;&gt;0),"Stock mínimo inválido","")),IF(P321="","Falta unidad",IF(COUNTIF(UnidadesLista,P321)=0,"Unidad inválida","")),IF(AND(K321&lt;&gt;"",COUNTIF(ProveedoresLista,K321)=0),"Proveedor no catalogado",""),IF(X321="","Falta cantidad contada",IF(OR(NOT(ISNUMBER(X321)),X321&lt;0,ABS(X321*1000-ROUND(X321*1000,0))&gt;0.0000001),"Cantidad inválida",IF(AND(Q321="NO",MOD(X321,1)&lt;&gt;0),"Cantidad fraccionaria no permitida",""))),IF(AND(R321="SI",OR(NOT(ISNUMBER(S321)),S321&lt;1,MOD(S321,1)&lt;&gt;0)),"Empaque inválido",""),IF(OR(AND(AF321="",AG321="ESCANEADO"),AND(AF321&lt;&gt;"",AG321&lt;&gt;"ESCANEADO")),"Barcode/estado inconsistente",""),IF(AK321&lt;&gt;"",AK321,"")))</f>
        <v/>
      </c>
      <c r="AJ321" s="21" t="n"/>
      <c r="AK321" s="17">
        <f>IF(G321="","",IF(OR(COUNTIFS($G$5:$G$445,G321,$I$5:$I$445,I321,$J$5:$J$445,J321,$P$5:$P$445,P321)&gt;1,AND(AF321&lt;&gt;"",COUNTIF($AF$5:$AF$445,AF321)&gt;1)),"REVISAR_POSIBLE_DUPLICADO",""))</f>
        <v/>
      </c>
    </row>
    <row r="322">
      <c r="A322" s="17" t="inlineStr">
        <is>
          <t>4ff1ba15-c6f6-561c-a00e-3e040f3869a4</t>
        </is>
      </c>
      <c r="B322" s="18" t="inlineStr">
        <is>
          <t>NUEVO</t>
        </is>
      </c>
      <c r="C322" s="18" t="inlineStr">
        <is>
          <t>ACTIVO</t>
        </is>
      </c>
      <c r="D322" s="18" t="n"/>
      <c r="E322" s="17" t="n"/>
      <c r="F322" s="17" t="n"/>
      <c r="G322" s="19" t="n"/>
      <c r="H322" s="19" t="n"/>
      <c r="I322" s="20" t="n"/>
      <c r="J322" s="20" t="n"/>
      <c r="K322" s="21" t="n"/>
      <c r="L322" s="18" t="n"/>
      <c r="M322" s="22" t="n"/>
      <c r="N322" s="22" t="n"/>
      <c r="O322" s="23" t="n">
        <v>10</v>
      </c>
      <c r="P322" s="24" t="inlineStr">
        <is>
          <t>UNIDAD</t>
        </is>
      </c>
      <c r="Q322" s="20" t="inlineStr">
        <is>
          <t>NO</t>
        </is>
      </c>
      <c r="R322" s="20" t="inlineStr">
        <is>
          <t>NO</t>
        </is>
      </c>
      <c r="S322" s="25" t="n">
        <v>1</v>
      </c>
      <c r="T322" s="20" t="inlineStr">
        <is>
          <t>NO</t>
        </is>
      </c>
      <c r="U322" s="20" t="n"/>
      <c r="V322" s="21" t="n"/>
      <c r="W322" s="26" t="n"/>
      <c r="X322" s="27" t="n"/>
      <c r="Y322" s="20" t="n"/>
      <c r="Z322" s="20" t="n"/>
      <c r="AA322" s="26">
        <f>IF(X322="","",X322-IF(W322="",0,W322))</f>
        <v/>
      </c>
      <c r="AB322" s="28">
        <f>IF(OR(X322="",M322=""),"",X322*M322)</f>
        <v/>
      </c>
      <c r="AC322" s="28">
        <f>IF(OR(X322="",N322=""),"",X322*N322)</f>
        <v/>
      </c>
      <c r="AD322" s="28">
        <f>IF(OR(M322="",N322=""),"",N322-M322)</f>
        <v/>
      </c>
      <c r="AE322" s="29">
        <f>IFERROR(IF(M322&gt;0,(N322-M322)/M322,""),"")</f>
        <v/>
      </c>
      <c r="AF322" s="30" t="n"/>
      <c r="AG322" s="30" t="inlineStr">
        <is>
          <t>PENDIENTE</t>
        </is>
      </c>
      <c r="AH322" s="18">
        <f>IF(NOT(OR(B322="EXISTENTE",COUNTA(G322,H322,I322,J322,K322,M322,N322,U322,V322,X322,Y322,Z322,AF322,AJ322)&gt;0)),"",IF(AK322&lt;&gt;"","REVISAR",IF(OR(G322="",H322="",M322="",N322="",O322="",P322="",X322=""),"INCOMPLETO",IF(AI322&lt;&gt;"","REVISAR",IF(AND(AF322&lt;&gt;"",AG322="ESCANEADO"),"LISTO_COMPLETO","LISTO_SIN_BARCODE")))))</f>
        <v/>
      </c>
      <c r="AI322" s="17">
        <f>IF(NOT(OR(B322="EXISTENTE",COUNTA(G322,H322,I322,J322,K322,M322,N322,U322,V322,X322,Y322,Z322,AF322,AJ322)&gt;0)),"",TEXTJOIN(" | ",TRUE,IF(A322="","Falta ID staging",""),IF(COUNTIF($A$5:$A$445,A322)&gt;1,"ID staging duplicado",""),IF(G322="","Falta nombre",""),IF(LEN(G322)&gt;150,"Nombre &gt;150 caracteres",""),IF(H322="","Falta categoría",IF(COUNTIF(CategoriasLista,H322)=0,"Categoría inválida","")),IF(M322="","Falta precio compra",IF(OR(NOT(ISNUMBER(M322)),M322&lt;0),"Precio compra inválido","")),IF(N322="","Falta precio venta",IF(OR(NOT(ISNUMBER(N322)),N322&lt;=0,N322&lt;M322),"Precio venta inválido","")),IF(O322="","Falta stock mínimo",IF(OR(NOT(ISNUMBER(O322)),O322&lt;0,MOD(O322,1)&lt;&gt;0),"Stock mínimo inválido","")),IF(P322="","Falta unidad",IF(COUNTIF(UnidadesLista,P322)=0,"Unidad inválida","")),IF(AND(K322&lt;&gt;"",COUNTIF(ProveedoresLista,K322)=0),"Proveedor no catalogado",""),IF(X322="","Falta cantidad contada",IF(OR(NOT(ISNUMBER(X322)),X322&lt;0,ABS(X322*1000-ROUND(X322*1000,0))&gt;0.0000001),"Cantidad inválida",IF(AND(Q322="NO",MOD(X322,1)&lt;&gt;0),"Cantidad fraccionaria no permitida",""))),IF(AND(R322="SI",OR(NOT(ISNUMBER(S322)),S322&lt;1,MOD(S322,1)&lt;&gt;0)),"Empaque inválido",""),IF(OR(AND(AF322="",AG322="ESCANEADO"),AND(AF322&lt;&gt;"",AG322&lt;&gt;"ESCANEADO")),"Barcode/estado inconsistente",""),IF(AK322&lt;&gt;"",AK322,"")))</f>
        <v/>
      </c>
      <c r="AJ322" s="21" t="n"/>
      <c r="AK322" s="17">
        <f>IF(G322="","",IF(OR(COUNTIFS($G$5:$G$445,G322,$I$5:$I$445,I322,$J$5:$J$445,J322,$P$5:$P$445,P322)&gt;1,AND(AF322&lt;&gt;"",COUNTIF($AF$5:$AF$445,AF322)&gt;1)),"REVISAR_POSIBLE_DUPLICADO",""))</f>
        <v/>
      </c>
    </row>
    <row r="323">
      <c r="A323" s="17" t="inlineStr">
        <is>
          <t>41f5387b-c98c-502f-962b-10036eb49074</t>
        </is>
      </c>
      <c r="B323" s="18" t="inlineStr">
        <is>
          <t>NUEVO</t>
        </is>
      </c>
      <c r="C323" s="18" t="inlineStr">
        <is>
          <t>ACTIVO</t>
        </is>
      </c>
      <c r="D323" s="18" t="n"/>
      <c r="E323" s="17" t="n"/>
      <c r="F323" s="17" t="n"/>
      <c r="G323" s="19" t="n"/>
      <c r="H323" s="19" t="n"/>
      <c r="I323" s="20" t="n"/>
      <c r="J323" s="20" t="n"/>
      <c r="K323" s="21" t="n"/>
      <c r="L323" s="18" t="n"/>
      <c r="M323" s="22" t="n"/>
      <c r="N323" s="22" t="n"/>
      <c r="O323" s="23" t="n">
        <v>10</v>
      </c>
      <c r="P323" s="24" t="inlineStr">
        <is>
          <t>UNIDAD</t>
        </is>
      </c>
      <c r="Q323" s="20" t="inlineStr">
        <is>
          <t>NO</t>
        </is>
      </c>
      <c r="R323" s="20" t="inlineStr">
        <is>
          <t>NO</t>
        </is>
      </c>
      <c r="S323" s="25" t="n">
        <v>1</v>
      </c>
      <c r="T323" s="20" t="inlineStr">
        <is>
          <t>NO</t>
        </is>
      </c>
      <c r="U323" s="20" t="n"/>
      <c r="V323" s="21" t="n"/>
      <c r="W323" s="26" t="n"/>
      <c r="X323" s="27" t="n"/>
      <c r="Y323" s="20" t="n"/>
      <c r="Z323" s="20" t="n"/>
      <c r="AA323" s="26">
        <f>IF(X323="","",X323-IF(W323="",0,W323))</f>
        <v/>
      </c>
      <c r="AB323" s="28">
        <f>IF(OR(X323="",M323=""),"",X323*M323)</f>
        <v/>
      </c>
      <c r="AC323" s="28">
        <f>IF(OR(X323="",N323=""),"",X323*N323)</f>
        <v/>
      </c>
      <c r="AD323" s="28">
        <f>IF(OR(M323="",N323=""),"",N323-M323)</f>
        <v/>
      </c>
      <c r="AE323" s="29">
        <f>IFERROR(IF(M323&gt;0,(N323-M323)/M323,""),"")</f>
        <v/>
      </c>
      <c r="AF323" s="30" t="n"/>
      <c r="AG323" s="30" t="inlineStr">
        <is>
          <t>PENDIENTE</t>
        </is>
      </c>
      <c r="AH323" s="18">
        <f>IF(NOT(OR(B323="EXISTENTE",COUNTA(G323,H323,I323,J323,K323,M323,N323,U323,V323,X323,Y323,Z323,AF323,AJ323)&gt;0)),"",IF(AK323&lt;&gt;"","REVISAR",IF(OR(G323="",H323="",M323="",N323="",O323="",P323="",X323=""),"INCOMPLETO",IF(AI323&lt;&gt;"","REVISAR",IF(AND(AF323&lt;&gt;"",AG323="ESCANEADO"),"LISTO_COMPLETO","LISTO_SIN_BARCODE")))))</f>
        <v/>
      </c>
      <c r="AI323" s="17">
        <f>IF(NOT(OR(B323="EXISTENTE",COUNTA(G323,H323,I323,J323,K323,M323,N323,U323,V323,X323,Y323,Z323,AF323,AJ323)&gt;0)),"",TEXTJOIN(" | ",TRUE,IF(A323="","Falta ID staging",""),IF(COUNTIF($A$5:$A$445,A323)&gt;1,"ID staging duplicado",""),IF(G323="","Falta nombre",""),IF(LEN(G323)&gt;150,"Nombre &gt;150 caracteres",""),IF(H323="","Falta categoría",IF(COUNTIF(CategoriasLista,H323)=0,"Categoría inválida","")),IF(M323="","Falta precio compra",IF(OR(NOT(ISNUMBER(M323)),M323&lt;0),"Precio compra inválido","")),IF(N323="","Falta precio venta",IF(OR(NOT(ISNUMBER(N323)),N323&lt;=0,N323&lt;M323),"Precio venta inválido","")),IF(O323="","Falta stock mínimo",IF(OR(NOT(ISNUMBER(O323)),O323&lt;0,MOD(O323,1)&lt;&gt;0),"Stock mínimo inválido","")),IF(P323="","Falta unidad",IF(COUNTIF(UnidadesLista,P323)=0,"Unidad inválida","")),IF(AND(K323&lt;&gt;"",COUNTIF(ProveedoresLista,K323)=0),"Proveedor no catalogado",""),IF(X323="","Falta cantidad contada",IF(OR(NOT(ISNUMBER(X323)),X323&lt;0,ABS(X323*1000-ROUND(X323*1000,0))&gt;0.0000001),"Cantidad inválida",IF(AND(Q323="NO",MOD(X323,1)&lt;&gt;0),"Cantidad fraccionaria no permitida",""))),IF(AND(R323="SI",OR(NOT(ISNUMBER(S323)),S323&lt;1,MOD(S323,1)&lt;&gt;0)),"Empaque inválido",""),IF(OR(AND(AF323="",AG323="ESCANEADO"),AND(AF323&lt;&gt;"",AG323&lt;&gt;"ESCANEADO")),"Barcode/estado inconsistente",""),IF(AK323&lt;&gt;"",AK323,"")))</f>
        <v/>
      </c>
      <c r="AJ323" s="21" t="n"/>
      <c r="AK323" s="17">
        <f>IF(G323="","",IF(OR(COUNTIFS($G$5:$G$445,G323,$I$5:$I$445,I323,$J$5:$J$445,J323,$P$5:$P$445,P323)&gt;1,AND(AF323&lt;&gt;"",COUNTIF($AF$5:$AF$445,AF323)&gt;1)),"REVISAR_POSIBLE_DUPLICADO",""))</f>
        <v/>
      </c>
    </row>
    <row r="324">
      <c r="A324" s="17" t="inlineStr">
        <is>
          <t>02924730-f2d5-52d8-a3c8-b773bc2a9379</t>
        </is>
      </c>
      <c r="B324" s="18" t="inlineStr">
        <is>
          <t>NUEVO</t>
        </is>
      </c>
      <c r="C324" s="18" t="inlineStr">
        <is>
          <t>ACTIVO</t>
        </is>
      </c>
      <c r="D324" s="18" t="n"/>
      <c r="E324" s="17" t="n"/>
      <c r="F324" s="17" t="n"/>
      <c r="G324" s="19" t="n"/>
      <c r="H324" s="19" t="n"/>
      <c r="I324" s="20" t="n"/>
      <c r="J324" s="20" t="n"/>
      <c r="K324" s="21" t="n"/>
      <c r="L324" s="18" t="n"/>
      <c r="M324" s="22" t="n"/>
      <c r="N324" s="22" t="n"/>
      <c r="O324" s="23" t="n">
        <v>10</v>
      </c>
      <c r="P324" s="24" t="inlineStr">
        <is>
          <t>UNIDAD</t>
        </is>
      </c>
      <c r="Q324" s="20" t="inlineStr">
        <is>
          <t>NO</t>
        </is>
      </c>
      <c r="R324" s="20" t="inlineStr">
        <is>
          <t>NO</t>
        </is>
      </c>
      <c r="S324" s="25" t="n">
        <v>1</v>
      </c>
      <c r="T324" s="20" t="inlineStr">
        <is>
          <t>NO</t>
        </is>
      </c>
      <c r="U324" s="20" t="n"/>
      <c r="V324" s="21" t="n"/>
      <c r="W324" s="26" t="n"/>
      <c r="X324" s="27" t="n"/>
      <c r="Y324" s="20" t="n"/>
      <c r="Z324" s="20" t="n"/>
      <c r="AA324" s="26">
        <f>IF(X324="","",X324-IF(W324="",0,W324))</f>
        <v/>
      </c>
      <c r="AB324" s="28">
        <f>IF(OR(X324="",M324=""),"",X324*M324)</f>
        <v/>
      </c>
      <c r="AC324" s="28">
        <f>IF(OR(X324="",N324=""),"",X324*N324)</f>
        <v/>
      </c>
      <c r="AD324" s="28">
        <f>IF(OR(M324="",N324=""),"",N324-M324)</f>
        <v/>
      </c>
      <c r="AE324" s="29">
        <f>IFERROR(IF(M324&gt;0,(N324-M324)/M324,""),"")</f>
        <v/>
      </c>
      <c r="AF324" s="30" t="n"/>
      <c r="AG324" s="30" t="inlineStr">
        <is>
          <t>PENDIENTE</t>
        </is>
      </c>
      <c r="AH324" s="18">
        <f>IF(NOT(OR(B324="EXISTENTE",COUNTA(G324,H324,I324,J324,K324,M324,N324,U324,V324,X324,Y324,Z324,AF324,AJ324)&gt;0)),"",IF(AK324&lt;&gt;"","REVISAR",IF(OR(G324="",H324="",M324="",N324="",O324="",P324="",X324=""),"INCOMPLETO",IF(AI324&lt;&gt;"","REVISAR",IF(AND(AF324&lt;&gt;"",AG324="ESCANEADO"),"LISTO_COMPLETO","LISTO_SIN_BARCODE")))))</f>
        <v/>
      </c>
      <c r="AI324" s="17">
        <f>IF(NOT(OR(B324="EXISTENTE",COUNTA(G324,H324,I324,J324,K324,M324,N324,U324,V324,X324,Y324,Z324,AF324,AJ324)&gt;0)),"",TEXTJOIN(" | ",TRUE,IF(A324="","Falta ID staging",""),IF(COUNTIF($A$5:$A$445,A324)&gt;1,"ID staging duplicado",""),IF(G324="","Falta nombre",""),IF(LEN(G324)&gt;150,"Nombre &gt;150 caracteres",""),IF(H324="","Falta categoría",IF(COUNTIF(CategoriasLista,H324)=0,"Categoría inválida","")),IF(M324="","Falta precio compra",IF(OR(NOT(ISNUMBER(M324)),M324&lt;0),"Precio compra inválido","")),IF(N324="","Falta precio venta",IF(OR(NOT(ISNUMBER(N324)),N324&lt;=0,N324&lt;M324),"Precio venta inválido","")),IF(O324="","Falta stock mínimo",IF(OR(NOT(ISNUMBER(O324)),O324&lt;0,MOD(O324,1)&lt;&gt;0),"Stock mínimo inválido","")),IF(P324="","Falta unidad",IF(COUNTIF(UnidadesLista,P324)=0,"Unidad inválida","")),IF(AND(K324&lt;&gt;"",COUNTIF(ProveedoresLista,K324)=0),"Proveedor no catalogado",""),IF(X324="","Falta cantidad contada",IF(OR(NOT(ISNUMBER(X324)),X324&lt;0,ABS(X324*1000-ROUND(X324*1000,0))&gt;0.0000001),"Cantidad inválida",IF(AND(Q324="NO",MOD(X324,1)&lt;&gt;0),"Cantidad fraccionaria no permitida",""))),IF(AND(R324="SI",OR(NOT(ISNUMBER(S324)),S324&lt;1,MOD(S324,1)&lt;&gt;0)),"Empaque inválido",""),IF(OR(AND(AF324="",AG324="ESCANEADO"),AND(AF324&lt;&gt;"",AG324&lt;&gt;"ESCANEADO")),"Barcode/estado inconsistente",""),IF(AK324&lt;&gt;"",AK324,"")))</f>
        <v/>
      </c>
      <c r="AJ324" s="21" t="n"/>
      <c r="AK324" s="17">
        <f>IF(G324="","",IF(OR(COUNTIFS($G$5:$G$445,G324,$I$5:$I$445,I324,$J$5:$J$445,J324,$P$5:$P$445,P324)&gt;1,AND(AF324&lt;&gt;"",COUNTIF($AF$5:$AF$445,AF324)&gt;1)),"REVISAR_POSIBLE_DUPLICADO",""))</f>
        <v/>
      </c>
    </row>
    <row r="325">
      <c r="A325" s="17" t="inlineStr">
        <is>
          <t>7219a615-6820-50c3-8a9a-27b09cc9e84e</t>
        </is>
      </c>
      <c r="B325" s="18" t="inlineStr">
        <is>
          <t>NUEVO</t>
        </is>
      </c>
      <c r="C325" s="18" t="inlineStr">
        <is>
          <t>ACTIVO</t>
        </is>
      </c>
      <c r="D325" s="18" t="n"/>
      <c r="E325" s="17" t="n"/>
      <c r="F325" s="17" t="n"/>
      <c r="G325" s="19" t="n"/>
      <c r="H325" s="19" t="n"/>
      <c r="I325" s="20" t="n"/>
      <c r="J325" s="20" t="n"/>
      <c r="K325" s="21" t="n"/>
      <c r="L325" s="18" t="n"/>
      <c r="M325" s="22" t="n"/>
      <c r="N325" s="22" t="n"/>
      <c r="O325" s="23" t="n">
        <v>10</v>
      </c>
      <c r="P325" s="24" t="inlineStr">
        <is>
          <t>UNIDAD</t>
        </is>
      </c>
      <c r="Q325" s="20" t="inlineStr">
        <is>
          <t>NO</t>
        </is>
      </c>
      <c r="R325" s="20" t="inlineStr">
        <is>
          <t>NO</t>
        </is>
      </c>
      <c r="S325" s="25" t="n">
        <v>1</v>
      </c>
      <c r="T325" s="20" t="inlineStr">
        <is>
          <t>NO</t>
        </is>
      </c>
      <c r="U325" s="20" t="n"/>
      <c r="V325" s="21" t="n"/>
      <c r="W325" s="26" t="n"/>
      <c r="X325" s="27" t="n"/>
      <c r="Y325" s="20" t="n"/>
      <c r="Z325" s="20" t="n"/>
      <c r="AA325" s="26">
        <f>IF(X325="","",X325-IF(W325="",0,W325))</f>
        <v/>
      </c>
      <c r="AB325" s="28">
        <f>IF(OR(X325="",M325=""),"",X325*M325)</f>
        <v/>
      </c>
      <c r="AC325" s="28">
        <f>IF(OR(X325="",N325=""),"",X325*N325)</f>
        <v/>
      </c>
      <c r="AD325" s="28">
        <f>IF(OR(M325="",N325=""),"",N325-M325)</f>
        <v/>
      </c>
      <c r="AE325" s="29">
        <f>IFERROR(IF(M325&gt;0,(N325-M325)/M325,""),"")</f>
        <v/>
      </c>
      <c r="AF325" s="30" t="n"/>
      <c r="AG325" s="30" t="inlineStr">
        <is>
          <t>PENDIENTE</t>
        </is>
      </c>
      <c r="AH325" s="18">
        <f>IF(NOT(OR(B325="EXISTENTE",COUNTA(G325,H325,I325,J325,K325,M325,N325,U325,V325,X325,Y325,Z325,AF325,AJ325)&gt;0)),"",IF(AK325&lt;&gt;"","REVISAR",IF(OR(G325="",H325="",M325="",N325="",O325="",P325="",X325=""),"INCOMPLETO",IF(AI325&lt;&gt;"","REVISAR",IF(AND(AF325&lt;&gt;"",AG325="ESCANEADO"),"LISTO_COMPLETO","LISTO_SIN_BARCODE")))))</f>
        <v/>
      </c>
      <c r="AI325" s="17">
        <f>IF(NOT(OR(B325="EXISTENTE",COUNTA(G325,H325,I325,J325,K325,M325,N325,U325,V325,X325,Y325,Z325,AF325,AJ325)&gt;0)),"",TEXTJOIN(" | ",TRUE,IF(A325="","Falta ID staging",""),IF(COUNTIF($A$5:$A$445,A325)&gt;1,"ID staging duplicado",""),IF(G325="","Falta nombre",""),IF(LEN(G325)&gt;150,"Nombre &gt;150 caracteres",""),IF(H325="","Falta categoría",IF(COUNTIF(CategoriasLista,H325)=0,"Categoría inválida","")),IF(M325="","Falta precio compra",IF(OR(NOT(ISNUMBER(M325)),M325&lt;0),"Precio compra inválido","")),IF(N325="","Falta precio venta",IF(OR(NOT(ISNUMBER(N325)),N325&lt;=0,N325&lt;M325),"Precio venta inválido","")),IF(O325="","Falta stock mínimo",IF(OR(NOT(ISNUMBER(O325)),O325&lt;0,MOD(O325,1)&lt;&gt;0),"Stock mínimo inválido","")),IF(P325="","Falta unidad",IF(COUNTIF(UnidadesLista,P325)=0,"Unidad inválida","")),IF(AND(K325&lt;&gt;"",COUNTIF(ProveedoresLista,K325)=0),"Proveedor no catalogado",""),IF(X325="","Falta cantidad contada",IF(OR(NOT(ISNUMBER(X325)),X325&lt;0,ABS(X325*1000-ROUND(X325*1000,0))&gt;0.0000001),"Cantidad inválida",IF(AND(Q325="NO",MOD(X325,1)&lt;&gt;0),"Cantidad fraccionaria no permitida",""))),IF(AND(R325="SI",OR(NOT(ISNUMBER(S325)),S325&lt;1,MOD(S325,1)&lt;&gt;0)),"Empaque inválido",""),IF(OR(AND(AF325="",AG325="ESCANEADO"),AND(AF325&lt;&gt;"",AG325&lt;&gt;"ESCANEADO")),"Barcode/estado inconsistente",""),IF(AK325&lt;&gt;"",AK325,"")))</f>
        <v/>
      </c>
      <c r="AJ325" s="21" t="n"/>
      <c r="AK325" s="17">
        <f>IF(G325="","",IF(OR(COUNTIFS($G$5:$G$445,G325,$I$5:$I$445,I325,$J$5:$J$445,J325,$P$5:$P$445,P325)&gt;1,AND(AF325&lt;&gt;"",COUNTIF($AF$5:$AF$445,AF325)&gt;1)),"REVISAR_POSIBLE_DUPLICADO",""))</f>
        <v/>
      </c>
    </row>
    <row r="326">
      <c r="A326" s="17" t="inlineStr">
        <is>
          <t>af023262-3b16-544d-aaa9-dd87bc19c70a</t>
        </is>
      </c>
      <c r="B326" s="18" t="inlineStr">
        <is>
          <t>NUEVO</t>
        </is>
      </c>
      <c r="C326" s="18" t="inlineStr">
        <is>
          <t>ACTIVO</t>
        </is>
      </c>
      <c r="D326" s="18" t="n"/>
      <c r="E326" s="17" t="n"/>
      <c r="F326" s="17" t="n"/>
      <c r="G326" s="19" t="n"/>
      <c r="H326" s="19" t="n"/>
      <c r="I326" s="20" t="n"/>
      <c r="J326" s="20" t="n"/>
      <c r="K326" s="21" t="n"/>
      <c r="L326" s="18" t="n"/>
      <c r="M326" s="22" t="n"/>
      <c r="N326" s="22" t="n"/>
      <c r="O326" s="23" t="n">
        <v>10</v>
      </c>
      <c r="P326" s="24" t="inlineStr">
        <is>
          <t>UNIDAD</t>
        </is>
      </c>
      <c r="Q326" s="20" t="inlineStr">
        <is>
          <t>NO</t>
        </is>
      </c>
      <c r="R326" s="20" t="inlineStr">
        <is>
          <t>NO</t>
        </is>
      </c>
      <c r="S326" s="25" t="n">
        <v>1</v>
      </c>
      <c r="T326" s="20" t="inlineStr">
        <is>
          <t>NO</t>
        </is>
      </c>
      <c r="U326" s="20" t="n"/>
      <c r="V326" s="21" t="n"/>
      <c r="W326" s="26" t="n"/>
      <c r="X326" s="27" t="n"/>
      <c r="Y326" s="20" t="n"/>
      <c r="Z326" s="20" t="n"/>
      <c r="AA326" s="26">
        <f>IF(X326="","",X326-IF(W326="",0,W326))</f>
        <v/>
      </c>
      <c r="AB326" s="28">
        <f>IF(OR(X326="",M326=""),"",X326*M326)</f>
        <v/>
      </c>
      <c r="AC326" s="28">
        <f>IF(OR(X326="",N326=""),"",X326*N326)</f>
        <v/>
      </c>
      <c r="AD326" s="28">
        <f>IF(OR(M326="",N326=""),"",N326-M326)</f>
        <v/>
      </c>
      <c r="AE326" s="29">
        <f>IFERROR(IF(M326&gt;0,(N326-M326)/M326,""),"")</f>
        <v/>
      </c>
      <c r="AF326" s="30" t="n"/>
      <c r="AG326" s="30" t="inlineStr">
        <is>
          <t>PENDIENTE</t>
        </is>
      </c>
      <c r="AH326" s="18">
        <f>IF(NOT(OR(B326="EXISTENTE",COUNTA(G326,H326,I326,J326,K326,M326,N326,U326,V326,X326,Y326,Z326,AF326,AJ326)&gt;0)),"",IF(AK326&lt;&gt;"","REVISAR",IF(OR(G326="",H326="",M326="",N326="",O326="",P326="",X326=""),"INCOMPLETO",IF(AI326&lt;&gt;"","REVISAR",IF(AND(AF326&lt;&gt;"",AG326="ESCANEADO"),"LISTO_COMPLETO","LISTO_SIN_BARCODE")))))</f>
        <v/>
      </c>
      <c r="AI326" s="17">
        <f>IF(NOT(OR(B326="EXISTENTE",COUNTA(G326,H326,I326,J326,K326,M326,N326,U326,V326,X326,Y326,Z326,AF326,AJ326)&gt;0)),"",TEXTJOIN(" | ",TRUE,IF(A326="","Falta ID staging",""),IF(COUNTIF($A$5:$A$445,A326)&gt;1,"ID staging duplicado",""),IF(G326="","Falta nombre",""),IF(LEN(G326)&gt;150,"Nombre &gt;150 caracteres",""),IF(H326="","Falta categoría",IF(COUNTIF(CategoriasLista,H326)=0,"Categoría inválida","")),IF(M326="","Falta precio compra",IF(OR(NOT(ISNUMBER(M326)),M326&lt;0),"Precio compra inválido","")),IF(N326="","Falta precio venta",IF(OR(NOT(ISNUMBER(N326)),N326&lt;=0,N326&lt;M326),"Precio venta inválido","")),IF(O326="","Falta stock mínimo",IF(OR(NOT(ISNUMBER(O326)),O326&lt;0,MOD(O326,1)&lt;&gt;0),"Stock mínimo inválido","")),IF(P326="","Falta unidad",IF(COUNTIF(UnidadesLista,P326)=0,"Unidad inválida","")),IF(AND(K326&lt;&gt;"",COUNTIF(ProveedoresLista,K326)=0),"Proveedor no catalogado",""),IF(X326="","Falta cantidad contada",IF(OR(NOT(ISNUMBER(X326)),X326&lt;0,ABS(X326*1000-ROUND(X326*1000,0))&gt;0.0000001),"Cantidad inválida",IF(AND(Q326="NO",MOD(X326,1)&lt;&gt;0),"Cantidad fraccionaria no permitida",""))),IF(AND(R326="SI",OR(NOT(ISNUMBER(S326)),S326&lt;1,MOD(S326,1)&lt;&gt;0)),"Empaque inválido",""),IF(OR(AND(AF326="",AG326="ESCANEADO"),AND(AF326&lt;&gt;"",AG326&lt;&gt;"ESCANEADO")),"Barcode/estado inconsistente",""),IF(AK326&lt;&gt;"",AK326,"")))</f>
        <v/>
      </c>
      <c r="AJ326" s="21" t="n"/>
      <c r="AK326" s="17">
        <f>IF(G326="","",IF(OR(COUNTIFS($G$5:$G$445,G326,$I$5:$I$445,I326,$J$5:$J$445,J326,$P$5:$P$445,P326)&gt;1,AND(AF326&lt;&gt;"",COUNTIF($AF$5:$AF$445,AF326)&gt;1)),"REVISAR_POSIBLE_DUPLICADO",""))</f>
        <v/>
      </c>
    </row>
    <row r="327">
      <c r="A327" s="17" t="inlineStr">
        <is>
          <t>9582087d-e2f6-5704-ad96-85733f78cf5b</t>
        </is>
      </c>
      <c r="B327" s="18" t="inlineStr">
        <is>
          <t>NUEVO</t>
        </is>
      </c>
      <c r="C327" s="18" t="inlineStr">
        <is>
          <t>ACTIVO</t>
        </is>
      </c>
      <c r="D327" s="18" t="n"/>
      <c r="E327" s="17" t="n"/>
      <c r="F327" s="17" t="n"/>
      <c r="G327" s="19" t="n"/>
      <c r="H327" s="19" t="n"/>
      <c r="I327" s="20" t="n"/>
      <c r="J327" s="20" t="n"/>
      <c r="K327" s="21" t="n"/>
      <c r="L327" s="18" t="n"/>
      <c r="M327" s="22" t="n"/>
      <c r="N327" s="22" t="n"/>
      <c r="O327" s="23" t="n">
        <v>10</v>
      </c>
      <c r="P327" s="24" t="inlineStr">
        <is>
          <t>UNIDAD</t>
        </is>
      </c>
      <c r="Q327" s="20" t="inlineStr">
        <is>
          <t>NO</t>
        </is>
      </c>
      <c r="R327" s="20" t="inlineStr">
        <is>
          <t>NO</t>
        </is>
      </c>
      <c r="S327" s="25" t="n">
        <v>1</v>
      </c>
      <c r="T327" s="20" t="inlineStr">
        <is>
          <t>NO</t>
        </is>
      </c>
      <c r="U327" s="20" t="n"/>
      <c r="V327" s="21" t="n"/>
      <c r="W327" s="26" t="n"/>
      <c r="X327" s="27" t="n"/>
      <c r="Y327" s="20" t="n"/>
      <c r="Z327" s="20" t="n"/>
      <c r="AA327" s="26">
        <f>IF(X327="","",X327-IF(W327="",0,W327))</f>
        <v/>
      </c>
      <c r="AB327" s="28">
        <f>IF(OR(X327="",M327=""),"",X327*M327)</f>
        <v/>
      </c>
      <c r="AC327" s="28">
        <f>IF(OR(X327="",N327=""),"",X327*N327)</f>
        <v/>
      </c>
      <c r="AD327" s="28">
        <f>IF(OR(M327="",N327=""),"",N327-M327)</f>
        <v/>
      </c>
      <c r="AE327" s="29">
        <f>IFERROR(IF(M327&gt;0,(N327-M327)/M327,""),"")</f>
        <v/>
      </c>
      <c r="AF327" s="30" t="n"/>
      <c r="AG327" s="30" t="inlineStr">
        <is>
          <t>PENDIENTE</t>
        </is>
      </c>
      <c r="AH327" s="18">
        <f>IF(NOT(OR(B327="EXISTENTE",COUNTA(G327,H327,I327,J327,K327,M327,N327,U327,V327,X327,Y327,Z327,AF327,AJ327)&gt;0)),"",IF(AK327&lt;&gt;"","REVISAR",IF(OR(G327="",H327="",M327="",N327="",O327="",P327="",X327=""),"INCOMPLETO",IF(AI327&lt;&gt;"","REVISAR",IF(AND(AF327&lt;&gt;"",AG327="ESCANEADO"),"LISTO_COMPLETO","LISTO_SIN_BARCODE")))))</f>
        <v/>
      </c>
      <c r="AI327" s="17">
        <f>IF(NOT(OR(B327="EXISTENTE",COUNTA(G327,H327,I327,J327,K327,M327,N327,U327,V327,X327,Y327,Z327,AF327,AJ327)&gt;0)),"",TEXTJOIN(" | ",TRUE,IF(A327="","Falta ID staging",""),IF(COUNTIF($A$5:$A$445,A327)&gt;1,"ID staging duplicado",""),IF(G327="","Falta nombre",""),IF(LEN(G327)&gt;150,"Nombre &gt;150 caracteres",""),IF(H327="","Falta categoría",IF(COUNTIF(CategoriasLista,H327)=0,"Categoría inválida","")),IF(M327="","Falta precio compra",IF(OR(NOT(ISNUMBER(M327)),M327&lt;0),"Precio compra inválido","")),IF(N327="","Falta precio venta",IF(OR(NOT(ISNUMBER(N327)),N327&lt;=0,N327&lt;M327),"Precio venta inválido","")),IF(O327="","Falta stock mínimo",IF(OR(NOT(ISNUMBER(O327)),O327&lt;0,MOD(O327,1)&lt;&gt;0),"Stock mínimo inválido","")),IF(P327="","Falta unidad",IF(COUNTIF(UnidadesLista,P327)=0,"Unidad inválida","")),IF(AND(K327&lt;&gt;"",COUNTIF(ProveedoresLista,K327)=0),"Proveedor no catalogado",""),IF(X327="","Falta cantidad contada",IF(OR(NOT(ISNUMBER(X327)),X327&lt;0,ABS(X327*1000-ROUND(X327*1000,0))&gt;0.0000001),"Cantidad inválida",IF(AND(Q327="NO",MOD(X327,1)&lt;&gt;0),"Cantidad fraccionaria no permitida",""))),IF(AND(R327="SI",OR(NOT(ISNUMBER(S327)),S327&lt;1,MOD(S327,1)&lt;&gt;0)),"Empaque inválido",""),IF(OR(AND(AF327="",AG327="ESCANEADO"),AND(AF327&lt;&gt;"",AG327&lt;&gt;"ESCANEADO")),"Barcode/estado inconsistente",""),IF(AK327&lt;&gt;"",AK327,"")))</f>
        <v/>
      </c>
      <c r="AJ327" s="21" t="n"/>
      <c r="AK327" s="17">
        <f>IF(G327="","",IF(OR(COUNTIFS($G$5:$G$445,G327,$I$5:$I$445,I327,$J$5:$J$445,J327,$P$5:$P$445,P327)&gt;1,AND(AF327&lt;&gt;"",COUNTIF($AF$5:$AF$445,AF327)&gt;1)),"REVISAR_POSIBLE_DUPLICADO",""))</f>
        <v/>
      </c>
    </row>
    <row r="328">
      <c r="A328" s="17" t="inlineStr">
        <is>
          <t>042a433c-5c30-53e2-b18a-9e7e969c11f0</t>
        </is>
      </c>
      <c r="B328" s="18" t="inlineStr">
        <is>
          <t>NUEVO</t>
        </is>
      </c>
      <c r="C328" s="18" t="inlineStr">
        <is>
          <t>ACTIVO</t>
        </is>
      </c>
      <c r="D328" s="18" t="n"/>
      <c r="E328" s="17" t="n"/>
      <c r="F328" s="17" t="n"/>
      <c r="G328" s="19" t="n"/>
      <c r="H328" s="19" t="n"/>
      <c r="I328" s="20" t="n"/>
      <c r="J328" s="20" t="n"/>
      <c r="K328" s="21" t="n"/>
      <c r="L328" s="18" t="n"/>
      <c r="M328" s="22" t="n"/>
      <c r="N328" s="22" t="n"/>
      <c r="O328" s="23" t="n">
        <v>10</v>
      </c>
      <c r="P328" s="24" t="inlineStr">
        <is>
          <t>UNIDAD</t>
        </is>
      </c>
      <c r="Q328" s="20" t="inlineStr">
        <is>
          <t>NO</t>
        </is>
      </c>
      <c r="R328" s="20" t="inlineStr">
        <is>
          <t>NO</t>
        </is>
      </c>
      <c r="S328" s="25" t="n">
        <v>1</v>
      </c>
      <c r="T328" s="20" t="inlineStr">
        <is>
          <t>NO</t>
        </is>
      </c>
      <c r="U328" s="20" t="n"/>
      <c r="V328" s="21" t="n"/>
      <c r="W328" s="26" t="n"/>
      <c r="X328" s="27" t="n"/>
      <c r="Y328" s="20" t="n"/>
      <c r="Z328" s="20" t="n"/>
      <c r="AA328" s="26">
        <f>IF(X328="","",X328-IF(W328="",0,W328))</f>
        <v/>
      </c>
      <c r="AB328" s="28">
        <f>IF(OR(X328="",M328=""),"",X328*M328)</f>
        <v/>
      </c>
      <c r="AC328" s="28">
        <f>IF(OR(X328="",N328=""),"",X328*N328)</f>
        <v/>
      </c>
      <c r="AD328" s="28">
        <f>IF(OR(M328="",N328=""),"",N328-M328)</f>
        <v/>
      </c>
      <c r="AE328" s="29">
        <f>IFERROR(IF(M328&gt;0,(N328-M328)/M328,""),"")</f>
        <v/>
      </c>
      <c r="AF328" s="30" t="n"/>
      <c r="AG328" s="30" t="inlineStr">
        <is>
          <t>PENDIENTE</t>
        </is>
      </c>
      <c r="AH328" s="18">
        <f>IF(NOT(OR(B328="EXISTENTE",COUNTA(G328,H328,I328,J328,K328,M328,N328,U328,V328,X328,Y328,Z328,AF328,AJ328)&gt;0)),"",IF(AK328&lt;&gt;"","REVISAR",IF(OR(G328="",H328="",M328="",N328="",O328="",P328="",X328=""),"INCOMPLETO",IF(AI328&lt;&gt;"","REVISAR",IF(AND(AF328&lt;&gt;"",AG328="ESCANEADO"),"LISTO_COMPLETO","LISTO_SIN_BARCODE")))))</f>
        <v/>
      </c>
      <c r="AI328" s="17">
        <f>IF(NOT(OR(B328="EXISTENTE",COUNTA(G328,H328,I328,J328,K328,M328,N328,U328,V328,X328,Y328,Z328,AF328,AJ328)&gt;0)),"",TEXTJOIN(" | ",TRUE,IF(A328="","Falta ID staging",""),IF(COUNTIF($A$5:$A$445,A328)&gt;1,"ID staging duplicado",""),IF(G328="","Falta nombre",""),IF(LEN(G328)&gt;150,"Nombre &gt;150 caracteres",""),IF(H328="","Falta categoría",IF(COUNTIF(CategoriasLista,H328)=0,"Categoría inválida","")),IF(M328="","Falta precio compra",IF(OR(NOT(ISNUMBER(M328)),M328&lt;0),"Precio compra inválido","")),IF(N328="","Falta precio venta",IF(OR(NOT(ISNUMBER(N328)),N328&lt;=0,N328&lt;M328),"Precio venta inválido","")),IF(O328="","Falta stock mínimo",IF(OR(NOT(ISNUMBER(O328)),O328&lt;0,MOD(O328,1)&lt;&gt;0),"Stock mínimo inválido","")),IF(P328="","Falta unidad",IF(COUNTIF(UnidadesLista,P328)=0,"Unidad inválida","")),IF(AND(K328&lt;&gt;"",COUNTIF(ProveedoresLista,K328)=0),"Proveedor no catalogado",""),IF(X328="","Falta cantidad contada",IF(OR(NOT(ISNUMBER(X328)),X328&lt;0,ABS(X328*1000-ROUND(X328*1000,0))&gt;0.0000001),"Cantidad inválida",IF(AND(Q328="NO",MOD(X328,1)&lt;&gt;0),"Cantidad fraccionaria no permitida",""))),IF(AND(R328="SI",OR(NOT(ISNUMBER(S328)),S328&lt;1,MOD(S328,1)&lt;&gt;0)),"Empaque inválido",""),IF(OR(AND(AF328="",AG328="ESCANEADO"),AND(AF328&lt;&gt;"",AG328&lt;&gt;"ESCANEADO")),"Barcode/estado inconsistente",""),IF(AK328&lt;&gt;"",AK328,"")))</f>
        <v/>
      </c>
      <c r="AJ328" s="21" t="n"/>
      <c r="AK328" s="17">
        <f>IF(G328="","",IF(OR(COUNTIFS($G$5:$G$445,G328,$I$5:$I$445,I328,$J$5:$J$445,J328,$P$5:$P$445,P328)&gt;1,AND(AF328&lt;&gt;"",COUNTIF($AF$5:$AF$445,AF328)&gt;1)),"REVISAR_POSIBLE_DUPLICADO",""))</f>
        <v/>
      </c>
    </row>
    <row r="329">
      <c r="A329" s="17" t="inlineStr">
        <is>
          <t>c555b339-88de-5cee-89df-bb83d5604688</t>
        </is>
      </c>
      <c r="B329" s="18" t="inlineStr">
        <is>
          <t>NUEVO</t>
        </is>
      </c>
      <c r="C329" s="18" t="inlineStr">
        <is>
          <t>ACTIVO</t>
        </is>
      </c>
      <c r="D329" s="18" t="n"/>
      <c r="E329" s="17" t="n"/>
      <c r="F329" s="17" t="n"/>
      <c r="G329" s="19" t="n"/>
      <c r="H329" s="19" t="n"/>
      <c r="I329" s="20" t="n"/>
      <c r="J329" s="20" t="n"/>
      <c r="K329" s="21" t="n"/>
      <c r="L329" s="18" t="n"/>
      <c r="M329" s="22" t="n"/>
      <c r="N329" s="22" t="n"/>
      <c r="O329" s="23" t="n">
        <v>10</v>
      </c>
      <c r="P329" s="24" t="inlineStr">
        <is>
          <t>UNIDAD</t>
        </is>
      </c>
      <c r="Q329" s="20" t="inlineStr">
        <is>
          <t>NO</t>
        </is>
      </c>
      <c r="R329" s="20" t="inlineStr">
        <is>
          <t>NO</t>
        </is>
      </c>
      <c r="S329" s="25" t="n">
        <v>1</v>
      </c>
      <c r="T329" s="20" t="inlineStr">
        <is>
          <t>NO</t>
        </is>
      </c>
      <c r="U329" s="20" t="n"/>
      <c r="V329" s="21" t="n"/>
      <c r="W329" s="26" t="n"/>
      <c r="X329" s="27" t="n"/>
      <c r="Y329" s="20" t="n"/>
      <c r="Z329" s="20" t="n"/>
      <c r="AA329" s="26">
        <f>IF(X329="","",X329-IF(W329="",0,W329))</f>
        <v/>
      </c>
      <c r="AB329" s="28">
        <f>IF(OR(X329="",M329=""),"",X329*M329)</f>
        <v/>
      </c>
      <c r="AC329" s="28">
        <f>IF(OR(X329="",N329=""),"",X329*N329)</f>
        <v/>
      </c>
      <c r="AD329" s="28">
        <f>IF(OR(M329="",N329=""),"",N329-M329)</f>
        <v/>
      </c>
      <c r="AE329" s="29">
        <f>IFERROR(IF(M329&gt;0,(N329-M329)/M329,""),"")</f>
        <v/>
      </c>
      <c r="AF329" s="30" t="n"/>
      <c r="AG329" s="30" t="inlineStr">
        <is>
          <t>PENDIENTE</t>
        </is>
      </c>
      <c r="AH329" s="18">
        <f>IF(NOT(OR(B329="EXISTENTE",COUNTA(G329,H329,I329,J329,K329,M329,N329,U329,V329,X329,Y329,Z329,AF329,AJ329)&gt;0)),"",IF(AK329&lt;&gt;"","REVISAR",IF(OR(G329="",H329="",M329="",N329="",O329="",P329="",X329=""),"INCOMPLETO",IF(AI329&lt;&gt;"","REVISAR",IF(AND(AF329&lt;&gt;"",AG329="ESCANEADO"),"LISTO_COMPLETO","LISTO_SIN_BARCODE")))))</f>
        <v/>
      </c>
      <c r="AI329" s="17">
        <f>IF(NOT(OR(B329="EXISTENTE",COUNTA(G329,H329,I329,J329,K329,M329,N329,U329,V329,X329,Y329,Z329,AF329,AJ329)&gt;0)),"",TEXTJOIN(" | ",TRUE,IF(A329="","Falta ID staging",""),IF(COUNTIF($A$5:$A$445,A329)&gt;1,"ID staging duplicado",""),IF(G329="","Falta nombre",""),IF(LEN(G329)&gt;150,"Nombre &gt;150 caracteres",""),IF(H329="","Falta categoría",IF(COUNTIF(CategoriasLista,H329)=0,"Categoría inválida","")),IF(M329="","Falta precio compra",IF(OR(NOT(ISNUMBER(M329)),M329&lt;0),"Precio compra inválido","")),IF(N329="","Falta precio venta",IF(OR(NOT(ISNUMBER(N329)),N329&lt;=0,N329&lt;M329),"Precio venta inválido","")),IF(O329="","Falta stock mínimo",IF(OR(NOT(ISNUMBER(O329)),O329&lt;0,MOD(O329,1)&lt;&gt;0),"Stock mínimo inválido","")),IF(P329="","Falta unidad",IF(COUNTIF(UnidadesLista,P329)=0,"Unidad inválida","")),IF(AND(K329&lt;&gt;"",COUNTIF(ProveedoresLista,K329)=0),"Proveedor no catalogado",""),IF(X329="","Falta cantidad contada",IF(OR(NOT(ISNUMBER(X329)),X329&lt;0,ABS(X329*1000-ROUND(X329*1000,0))&gt;0.0000001),"Cantidad inválida",IF(AND(Q329="NO",MOD(X329,1)&lt;&gt;0),"Cantidad fraccionaria no permitida",""))),IF(AND(R329="SI",OR(NOT(ISNUMBER(S329)),S329&lt;1,MOD(S329,1)&lt;&gt;0)),"Empaque inválido",""),IF(OR(AND(AF329="",AG329="ESCANEADO"),AND(AF329&lt;&gt;"",AG329&lt;&gt;"ESCANEADO")),"Barcode/estado inconsistente",""),IF(AK329&lt;&gt;"",AK329,"")))</f>
        <v/>
      </c>
      <c r="AJ329" s="21" t="n"/>
      <c r="AK329" s="17">
        <f>IF(G329="","",IF(OR(COUNTIFS($G$5:$G$445,G329,$I$5:$I$445,I329,$J$5:$J$445,J329,$P$5:$P$445,P329)&gt;1,AND(AF329&lt;&gt;"",COUNTIF($AF$5:$AF$445,AF329)&gt;1)),"REVISAR_POSIBLE_DUPLICADO",""))</f>
        <v/>
      </c>
    </row>
    <row r="330">
      <c r="A330" s="17" t="inlineStr">
        <is>
          <t>9d107db3-8350-5cf9-8854-3cfe36cf3a4c</t>
        </is>
      </c>
      <c r="B330" s="18" t="inlineStr">
        <is>
          <t>NUEVO</t>
        </is>
      </c>
      <c r="C330" s="18" t="inlineStr">
        <is>
          <t>ACTIVO</t>
        </is>
      </c>
      <c r="D330" s="18" t="n"/>
      <c r="E330" s="17" t="n"/>
      <c r="F330" s="17" t="n"/>
      <c r="G330" s="19" t="n"/>
      <c r="H330" s="19" t="n"/>
      <c r="I330" s="20" t="n"/>
      <c r="J330" s="20" t="n"/>
      <c r="K330" s="21" t="n"/>
      <c r="L330" s="18" t="n"/>
      <c r="M330" s="22" t="n"/>
      <c r="N330" s="22" t="n"/>
      <c r="O330" s="23" t="n">
        <v>10</v>
      </c>
      <c r="P330" s="24" t="inlineStr">
        <is>
          <t>UNIDAD</t>
        </is>
      </c>
      <c r="Q330" s="20" t="inlineStr">
        <is>
          <t>NO</t>
        </is>
      </c>
      <c r="R330" s="20" t="inlineStr">
        <is>
          <t>NO</t>
        </is>
      </c>
      <c r="S330" s="25" t="n">
        <v>1</v>
      </c>
      <c r="T330" s="20" t="inlineStr">
        <is>
          <t>NO</t>
        </is>
      </c>
      <c r="U330" s="20" t="n"/>
      <c r="V330" s="21" t="n"/>
      <c r="W330" s="26" t="n"/>
      <c r="X330" s="27" t="n"/>
      <c r="Y330" s="20" t="n"/>
      <c r="Z330" s="20" t="n"/>
      <c r="AA330" s="26">
        <f>IF(X330="","",X330-IF(W330="",0,W330))</f>
        <v/>
      </c>
      <c r="AB330" s="28">
        <f>IF(OR(X330="",M330=""),"",X330*M330)</f>
        <v/>
      </c>
      <c r="AC330" s="28">
        <f>IF(OR(X330="",N330=""),"",X330*N330)</f>
        <v/>
      </c>
      <c r="AD330" s="28">
        <f>IF(OR(M330="",N330=""),"",N330-M330)</f>
        <v/>
      </c>
      <c r="AE330" s="29">
        <f>IFERROR(IF(M330&gt;0,(N330-M330)/M330,""),"")</f>
        <v/>
      </c>
      <c r="AF330" s="30" t="n"/>
      <c r="AG330" s="30" t="inlineStr">
        <is>
          <t>PENDIENTE</t>
        </is>
      </c>
      <c r="AH330" s="18">
        <f>IF(NOT(OR(B330="EXISTENTE",COUNTA(G330,H330,I330,J330,K330,M330,N330,U330,V330,X330,Y330,Z330,AF330,AJ330)&gt;0)),"",IF(AK330&lt;&gt;"","REVISAR",IF(OR(G330="",H330="",M330="",N330="",O330="",P330="",X330=""),"INCOMPLETO",IF(AI330&lt;&gt;"","REVISAR",IF(AND(AF330&lt;&gt;"",AG330="ESCANEADO"),"LISTO_COMPLETO","LISTO_SIN_BARCODE")))))</f>
        <v/>
      </c>
      <c r="AI330" s="17">
        <f>IF(NOT(OR(B330="EXISTENTE",COUNTA(G330,H330,I330,J330,K330,M330,N330,U330,V330,X330,Y330,Z330,AF330,AJ330)&gt;0)),"",TEXTJOIN(" | ",TRUE,IF(A330="","Falta ID staging",""),IF(COUNTIF($A$5:$A$445,A330)&gt;1,"ID staging duplicado",""),IF(G330="","Falta nombre",""),IF(LEN(G330)&gt;150,"Nombre &gt;150 caracteres",""),IF(H330="","Falta categoría",IF(COUNTIF(CategoriasLista,H330)=0,"Categoría inválida","")),IF(M330="","Falta precio compra",IF(OR(NOT(ISNUMBER(M330)),M330&lt;0),"Precio compra inválido","")),IF(N330="","Falta precio venta",IF(OR(NOT(ISNUMBER(N330)),N330&lt;=0,N330&lt;M330),"Precio venta inválido","")),IF(O330="","Falta stock mínimo",IF(OR(NOT(ISNUMBER(O330)),O330&lt;0,MOD(O330,1)&lt;&gt;0),"Stock mínimo inválido","")),IF(P330="","Falta unidad",IF(COUNTIF(UnidadesLista,P330)=0,"Unidad inválida","")),IF(AND(K330&lt;&gt;"",COUNTIF(ProveedoresLista,K330)=0),"Proveedor no catalogado",""),IF(X330="","Falta cantidad contada",IF(OR(NOT(ISNUMBER(X330)),X330&lt;0,ABS(X330*1000-ROUND(X330*1000,0))&gt;0.0000001),"Cantidad inválida",IF(AND(Q330="NO",MOD(X330,1)&lt;&gt;0),"Cantidad fraccionaria no permitida",""))),IF(AND(R330="SI",OR(NOT(ISNUMBER(S330)),S330&lt;1,MOD(S330,1)&lt;&gt;0)),"Empaque inválido",""),IF(OR(AND(AF330="",AG330="ESCANEADO"),AND(AF330&lt;&gt;"",AG330&lt;&gt;"ESCANEADO")),"Barcode/estado inconsistente",""),IF(AK330&lt;&gt;"",AK330,"")))</f>
        <v/>
      </c>
      <c r="AJ330" s="21" t="n"/>
      <c r="AK330" s="17">
        <f>IF(G330="","",IF(OR(COUNTIFS($G$5:$G$445,G330,$I$5:$I$445,I330,$J$5:$J$445,J330,$P$5:$P$445,P330)&gt;1,AND(AF330&lt;&gt;"",COUNTIF($AF$5:$AF$445,AF330)&gt;1)),"REVISAR_POSIBLE_DUPLICADO",""))</f>
        <v/>
      </c>
    </row>
    <row r="331">
      <c r="A331" s="17" t="inlineStr">
        <is>
          <t>6cb5017e-e1d6-50c7-98ee-3756eaa277a4</t>
        </is>
      </c>
      <c r="B331" s="18" t="inlineStr">
        <is>
          <t>NUEVO</t>
        </is>
      </c>
      <c r="C331" s="18" t="inlineStr">
        <is>
          <t>ACTIVO</t>
        </is>
      </c>
      <c r="D331" s="18" t="n"/>
      <c r="E331" s="17" t="n"/>
      <c r="F331" s="17" t="n"/>
      <c r="G331" s="19" t="n"/>
      <c r="H331" s="19" t="n"/>
      <c r="I331" s="20" t="n"/>
      <c r="J331" s="20" t="n"/>
      <c r="K331" s="21" t="n"/>
      <c r="L331" s="18" t="n"/>
      <c r="M331" s="22" t="n"/>
      <c r="N331" s="22" t="n"/>
      <c r="O331" s="23" t="n">
        <v>10</v>
      </c>
      <c r="P331" s="24" t="inlineStr">
        <is>
          <t>UNIDAD</t>
        </is>
      </c>
      <c r="Q331" s="20" t="inlineStr">
        <is>
          <t>NO</t>
        </is>
      </c>
      <c r="R331" s="20" t="inlineStr">
        <is>
          <t>NO</t>
        </is>
      </c>
      <c r="S331" s="25" t="n">
        <v>1</v>
      </c>
      <c r="T331" s="20" t="inlineStr">
        <is>
          <t>NO</t>
        </is>
      </c>
      <c r="U331" s="20" t="n"/>
      <c r="V331" s="21" t="n"/>
      <c r="W331" s="26" t="n"/>
      <c r="X331" s="27" t="n"/>
      <c r="Y331" s="20" t="n"/>
      <c r="Z331" s="20" t="n"/>
      <c r="AA331" s="26">
        <f>IF(X331="","",X331-IF(W331="",0,W331))</f>
        <v/>
      </c>
      <c r="AB331" s="28">
        <f>IF(OR(X331="",M331=""),"",X331*M331)</f>
        <v/>
      </c>
      <c r="AC331" s="28">
        <f>IF(OR(X331="",N331=""),"",X331*N331)</f>
        <v/>
      </c>
      <c r="AD331" s="28">
        <f>IF(OR(M331="",N331=""),"",N331-M331)</f>
        <v/>
      </c>
      <c r="AE331" s="29">
        <f>IFERROR(IF(M331&gt;0,(N331-M331)/M331,""),"")</f>
        <v/>
      </c>
      <c r="AF331" s="30" t="n"/>
      <c r="AG331" s="30" t="inlineStr">
        <is>
          <t>PENDIENTE</t>
        </is>
      </c>
      <c r="AH331" s="18">
        <f>IF(NOT(OR(B331="EXISTENTE",COUNTA(G331,H331,I331,J331,K331,M331,N331,U331,V331,X331,Y331,Z331,AF331,AJ331)&gt;0)),"",IF(AK331&lt;&gt;"","REVISAR",IF(OR(G331="",H331="",M331="",N331="",O331="",P331="",X331=""),"INCOMPLETO",IF(AI331&lt;&gt;"","REVISAR",IF(AND(AF331&lt;&gt;"",AG331="ESCANEADO"),"LISTO_COMPLETO","LISTO_SIN_BARCODE")))))</f>
        <v/>
      </c>
      <c r="AI331" s="17">
        <f>IF(NOT(OR(B331="EXISTENTE",COUNTA(G331,H331,I331,J331,K331,M331,N331,U331,V331,X331,Y331,Z331,AF331,AJ331)&gt;0)),"",TEXTJOIN(" | ",TRUE,IF(A331="","Falta ID staging",""),IF(COUNTIF($A$5:$A$445,A331)&gt;1,"ID staging duplicado",""),IF(G331="","Falta nombre",""),IF(LEN(G331)&gt;150,"Nombre &gt;150 caracteres",""),IF(H331="","Falta categoría",IF(COUNTIF(CategoriasLista,H331)=0,"Categoría inválida","")),IF(M331="","Falta precio compra",IF(OR(NOT(ISNUMBER(M331)),M331&lt;0),"Precio compra inválido","")),IF(N331="","Falta precio venta",IF(OR(NOT(ISNUMBER(N331)),N331&lt;=0,N331&lt;M331),"Precio venta inválido","")),IF(O331="","Falta stock mínimo",IF(OR(NOT(ISNUMBER(O331)),O331&lt;0,MOD(O331,1)&lt;&gt;0),"Stock mínimo inválido","")),IF(P331="","Falta unidad",IF(COUNTIF(UnidadesLista,P331)=0,"Unidad inválida","")),IF(AND(K331&lt;&gt;"",COUNTIF(ProveedoresLista,K331)=0),"Proveedor no catalogado",""),IF(X331="","Falta cantidad contada",IF(OR(NOT(ISNUMBER(X331)),X331&lt;0,ABS(X331*1000-ROUND(X331*1000,0))&gt;0.0000001),"Cantidad inválida",IF(AND(Q331="NO",MOD(X331,1)&lt;&gt;0),"Cantidad fraccionaria no permitida",""))),IF(AND(R331="SI",OR(NOT(ISNUMBER(S331)),S331&lt;1,MOD(S331,1)&lt;&gt;0)),"Empaque inválido",""),IF(OR(AND(AF331="",AG331="ESCANEADO"),AND(AF331&lt;&gt;"",AG331&lt;&gt;"ESCANEADO")),"Barcode/estado inconsistente",""),IF(AK331&lt;&gt;"",AK331,"")))</f>
        <v/>
      </c>
      <c r="AJ331" s="21" t="n"/>
      <c r="AK331" s="17">
        <f>IF(G331="","",IF(OR(COUNTIFS($G$5:$G$445,G331,$I$5:$I$445,I331,$J$5:$J$445,J331,$P$5:$P$445,P331)&gt;1,AND(AF331&lt;&gt;"",COUNTIF($AF$5:$AF$445,AF331)&gt;1)),"REVISAR_POSIBLE_DUPLICADO",""))</f>
        <v/>
      </c>
    </row>
    <row r="332">
      <c r="A332" s="17" t="inlineStr">
        <is>
          <t>7258003e-cabe-5c90-a945-dcf7f1326893</t>
        </is>
      </c>
      <c r="B332" s="18" t="inlineStr">
        <is>
          <t>NUEVO</t>
        </is>
      </c>
      <c r="C332" s="18" t="inlineStr">
        <is>
          <t>ACTIVO</t>
        </is>
      </c>
      <c r="D332" s="18" t="n"/>
      <c r="E332" s="17" t="n"/>
      <c r="F332" s="17" t="n"/>
      <c r="G332" s="19" t="n"/>
      <c r="H332" s="19" t="n"/>
      <c r="I332" s="20" t="n"/>
      <c r="J332" s="20" t="n"/>
      <c r="K332" s="21" t="n"/>
      <c r="L332" s="18" t="n"/>
      <c r="M332" s="22" t="n"/>
      <c r="N332" s="22" t="n"/>
      <c r="O332" s="23" t="n">
        <v>10</v>
      </c>
      <c r="P332" s="24" t="inlineStr">
        <is>
          <t>UNIDAD</t>
        </is>
      </c>
      <c r="Q332" s="20" t="inlineStr">
        <is>
          <t>NO</t>
        </is>
      </c>
      <c r="R332" s="20" t="inlineStr">
        <is>
          <t>NO</t>
        </is>
      </c>
      <c r="S332" s="25" t="n">
        <v>1</v>
      </c>
      <c r="T332" s="20" t="inlineStr">
        <is>
          <t>NO</t>
        </is>
      </c>
      <c r="U332" s="20" t="n"/>
      <c r="V332" s="21" t="n"/>
      <c r="W332" s="26" t="n"/>
      <c r="X332" s="27" t="n"/>
      <c r="Y332" s="20" t="n"/>
      <c r="Z332" s="20" t="n"/>
      <c r="AA332" s="26">
        <f>IF(X332="","",X332-IF(W332="",0,W332))</f>
        <v/>
      </c>
      <c r="AB332" s="28">
        <f>IF(OR(X332="",M332=""),"",X332*M332)</f>
        <v/>
      </c>
      <c r="AC332" s="28">
        <f>IF(OR(X332="",N332=""),"",X332*N332)</f>
        <v/>
      </c>
      <c r="AD332" s="28">
        <f>IF(OR(M332="",N332=""),"",N332-M332)</f>
        <v/>
      </c>
      <c r="AE332" s="29">
        <f>IFERROR(IF(M332&gt;0,(N332-M332)/M332,""),"")</f>
        <v/>
      </c>
      <c r="AF332" s="30" t="n"/>
      <c r="AG332" s="30" t="inlineStr">
        <is>
          <t>PENDIENTE</t>
        </is>
      </c>
      <c r="AH332" s="18">
        <f>IF(NOT(OR(B332="EXISTENTE",COUNTA(G332,H332,I332,J332,K332,M332,N332,U332,V332,X332,Y332,Z332,AF332,AJ332)&gt;0)),"",IF(AK332&lt;&gt;"","REVISAR",IF(OR(G332="",H332="",M332="",N332="",O332="",P332="",X332=""),"INCOMPLETO",IF(AI332&lt;&gt;"","REVISAR",IF(AND(AF332&lt;&gt;"",AG332="ESCANEADO"),"LISTO_COMPLETO","LISTO_SIN_BARCODE")))))</f>
        <v/>
      </c>
      <c r="AI332" s="17">
        <f>IF(NOT(OR(B332="EXISTENTE",COUNTA(G332,H332,I332,J332,K332,M332,N332,U332,V332,X332,Y332,Z332,AF332,AJ332)&gt;0)),"",TEXTJOIN(" | ",TRUE,IF(A332="","Falta ID staging",""),IF(COUNTIF($A$5:$A$445,A332)&gt;1,"ID staging duplicado",""),IF(G332="","Falta nombre",""),IF(LEN(G332)&gt;150,"Nombre &gt;150 caracteres",""),IF(H332="","Falta categoría",IF(COUNTIF(CategoriasLista,H332)=0,"Categoría inválida","")),IF(M332="","Falta precio compra",IF(OR(NOT(ISNUMBER(M332)),M332&lt;0),"Precio compra inválido","")),IF(N332="","Falta precio venta",IF(OR(NOT(ISNUMBER(N332)),N332&lt;=0,N332&lt;M332),"Precio venta inválido","")),IF(O332="","Falta stock mínimo",IF(OR(NOT(ISNUMBER(O332)),O332&lt;0,MOD(O332,1)&lt;&gt;0),"Stock mínimo inválido","")),IF(P332="","Falta unidad",IF(COUNTIF(UnidadesLista,P332)=0,"Unidad inválida","")),IF(AND(K332&lt;&gt;"",COUNTIF(ProveedoresLista,K332)=0),"Proveedor no catalogado",""),IF(X332="","Falta cantidad contada",IF(OR(NOT(ISNUMBER(X332)),X332&lt;0,ABS(X332*1000-ROUND(X332*1000,0))&gt;0.0000001),"Cantidad inválida",IF(AND(Q332="NO",MOD(X332,1)&lt;&gt;0),"Cantidad fraccionaria no permitida",""))),IF(AND(R332="SI",OR(NOT(ISNUMBER(S332)),S332&lt;1,MOD(S332,1)&lt;&gt;0)),"Empaque inválido",""),IF(OR(AND(AF332="",AG332="ESCANEADO"),AND(AF332&lt;&gt;"",AG332&lt;&gt;"ESCANEADO")),"Barcode/estado inconsistente",""),IF(AK332&lt;&gt;"",AK332,"")))</f>
        <v/>
      </c>
      <c r="AJ332" s="21" t="n"/>
      <c r="AK332" s="17">
        <f>IF(G332="","",IF(OR(COUNTIFS($G$5:$G$445,G332,$I$5:$I$445,I332,$J$5:$J$445,J332,$P$5:$P$445,P332)&gt;1,AND(AF332&lt;&gt;"",COUNTIF($AF$5:$AF$445,AF332)&gt;1)),"REVISAR_POSIBLE_DUPLICADO",""))</f>
        <v/>
      </c>
    </row>
    <row r="333">
      <c r="A333" s="17" t="inlineStr">
        <is>
          <t>422f73a6-a118-5407-a670-b7c824a834ba</t>
        </is>
      </c>
      <c r="B333" s="18" t="inlineStr">
        <is>
          <t>NUEVO</t>
        </is>
      </c>
      <c r="C333" s="18" t="inlineStr">
        <is>
          <t>ACTIVO</t>
        </is>
      </c>
      <c r="D333" s="18" t="n"/>
      <c r="E333" s="17" t="n"/>
      <c r="F333" s="17" t="n"/>
      <c r="G333" s="19" t="n"/>
      <c r="H333" s="19" t="n"/>
      <c r="I333" s="20" t="n"/>
      <c r="J333" s="20" t="n"/>
      <c r="K333" s="21" t="n"/>
      <c r="L333" s="18" t="n"/>
      <c r="M333" s="22" t="n"/>
      <c r="N333" s="22" t="n"/>
      <c r="O333" s="23" t="n">
        <v>10</v>
      </c>
      <c r="P333" s="24" t="inlineStr">
        <is>
          <t>UNIDAD</t>
        </is>
      </c>
      <c r="Q333" s="20" t="inlineStr">
        <is>
          <t>NO</t>
        </is>
      </c>
      <c r="R333" s="20" t="inlineStr">
        <is>
          <t>NO</t>
        </is>
      </c>
      <c r="S333" s="25" t="n">
        <v>1</v>
      </c>
      <c r="T333" s="20" t="inlineStr">
        <is>
          <t>NO</t>
        </is>
      </c>
      <c r="U333" s="20" t="n"/>
      <c r="V333" s="21" t="n"/>
      <c r="W333" s="26" t="n"/>
      <c r="X333" s="27" t="n"/>
      <c r="Y333" s="20" t="n"/>
      <c r="Z333" s="20" t="n"/>
      <c r="AA333" s="26">
        <f>IF(X333="","",X333-IF(W333="",0,W333))</f>
        <v/>
      </c>
      <c r="AB333" s="28">
        <f>IF(OR(X333="",M333=""),"",X333*M333)</f>
        <v/>
      </c>
      <c r="AC333" s="28">
        <f>IF(OR(X333="",N333=""),"",X333*N333)</f>
        <v/>
      </c>
      <c r="AD333" s="28">
        <f>IF(OR(M333="",N333=""),"",N333-M333)</f>
        <v/>
      </c>
      <c r="AE333" s="29">
        <f>IFERROR(IF(M333&gt;0,(N333-M333)/M333,""),"")</f>
        <v/>
      </c>
      <c r="AF333" s="30" t="n"/>
      <c r="AG333" s="30" t="inlineStr">
        <is>
          <t>PENDIENTE</t>
        </is>
      </c>
      <c r="AH333" s="18">
        <f>IF(NOT(OR(B333="EXISTENTE",COUNTA(G333,H333,I333,J333,K333,M333,N333,U333,V333,X333,Y333,Z333,AF333,AJ333)&gt;0)),"",IF(AK333&lt;&gt;"","REVISAR",IF(OR(G333="",H333="",M333="",N333="",O333="",P333="",X333=""),"INCOMPLETO",IF(AI333&lt;&gt;"","REVISAR",IF(AND(AF333&lt;&gt;"",AG333="ESCANEADO"),"LISTO_COMPLETO","LISTO_SIN_BARCODE")))))</f>
        <v/>
      </c>
      <c r="AI333" s="17">
        <f>IF(NOT(OR(B333="EXISTENTE",COUNTA(G333,H333,I333,J333,K333,M333,N333,U333,V333,X333,Y333,Z333,AF333,AJ333)&gt;0)),"",TEXTJOIN(" | ",TRUE,IF(A333="","Falta ID staging",""),IF(COUNTIF($A$5:$A$445,A333)&gt;1,"ID staging duplicado",""),IF(G333="","Falta nombre",""),IF(LEN(G333)&gt;150,"Nombre &gt;150 caracteres",""),IF(H333="","Falta categoría",IF(COUNTIF(CategoriasLista,H333)=0,"Categoría inválida","")),IF(M333="","Falta precio compra",IF(OR(NOT(ISNUMBER(M333)),M333&lt;0),"Precio compra inválido","")),IF(N333="","Falta precio venta",IF(OR(NOT(ISNUMBER(N333)),N333&lt;=0,N333&lt;M333),"Precio venta inválido","")),IF(O333="","Falta stock mínimo",IF(OR(NOT(ISNUMBER(O333)),O333&lt;0,MOD(O333,1)&lt;&gt;0),"Stock mínimo inválido","")),IF(P333="","Falta unidad",IF(COUNTIF(UnidadesLista,P333)=0,"Unidad inválida","")),IF(AND(K333&lt;&gt;"",COUNTIF(ProveedoresLista,K333)=0),"Proveedor no catalogado",""),IF(X333="","Falta cantidad contada",IF(OR(NOT(ISNUMBER(X333)),X333&lt;0,ABS(X333*1000-ROUND(X333*1000,0))&gt;0.0000001),"Cantidad inválida",IF(AND(Q333="NO",MOD(X333,1)&lt;&gt;0),"Cantidad fraccionaria no permitida",""))),IF(AND(R333="SI",OR(NOT(ISNUMBER(S333)),S333&lt;1,MOD(S333,1)&lt;&gt;0)),"Empaque inválido",""),IF(OR(AND(AF333="",AG333="ESCANEADO"),AND(AF333&lt;&gt;"",AG333&lt;&gt;"ESCANEADO")),"Barcode/estado inconsistente",""),IF(AK333&lt;&gt;"",AK333,"")))</f>
        <v/>
      </c>
      <c r="AJ333" s="21" t="n"/>
      <c r="AK333" s="17">
        <f>IF(G333="","",IF(OR(COUNTIFS($G$5:$G$445,G333,$I$5:$I$445,I333,$J$5:$J$445,J333,$P$5:$P$445,P333)&gt;1,AND(AF333&lt;&gt;"",COUNTIF($AF$5:$AF$445,AF333)&gt;1)),"REVISAR_POSIBLE_DUPLICADO",""))</f>
        <v/>
      </c>
    </row>
    <row r="334">
      <c r="A334" s="17" t="inlineStr">
        <is>
          <t>a290e108-7abb-5d1c-a22c-b5be00cc27cb</t>
        </is>
      </c>
      <c r="B334" s="18" t="inlineStr">
        <is>
          <t>NUEVO</t>
        </is>
      </c>
      <c r="C334" s="18" t="inlineStr">
        <is>
          <t>ACTIVO</t>
        </is>
      </c>
      <c r="D334" s="18" t="n"/>
      <c r="E334" s="17" t="n"/>
      <c r="F334" s="17" t="n"/>
      <c r="G334" s="19" t="n"/>
      <c r="H334" s="19" t="n"/>
      <c r="I334" s="20" t="n"/>
      <c r="J334" s="20" t="n"/>
      <c r="K334" s="21" t="n"/>
      <c r="L334" s="18" t="n"/>
      <c r="M334" s="22" t="n"/>
      <c r="N334" s="22" t="n"/>
      <c r="O334" s="23" t="n">
        <v>10</v>
      </c>
      <c r="P334" s="24" t="inlineStr">
        <is>
          <t>UNIDAD</t>
        </is>
      </c>
      <c r="Q334" s="20" t="inlineStr">
        <is>
          <t>NO</t>
        </is>
      </c>
      <c r="R334" s="20" t="inlineStr">
        <is>
          <t>NO</t>
        </is>
      </c>
      <c r="S334" s="25" t="n">
        <v>1</v>
      </c>
      <c r="T334" s="20" t="inlineStr">
        <is>
          <t>NO</t>
        </is>
      </c>
      <c r="U334" s="20" t="n"/>
      <c r="V334" s="21" t="n"/>
      <c r="W334" s="26" t="n"/>
      <c r="X334" s="27" t="n"/>
      <c r="Y334" s="20" t="n"/>
      <c r="Z334" s="20" t="n"/>
      <c r="AA334" s="26">
        <f>IF(X334="","",X334-IF(W334="",0,W334))</f>
        <v/>
      </c>
      <c r="AB334" s="28">
        <f>IF(OR(X334="",M334=""),"",X334*M334)</f>
        <v/>
      </c>
      <c r="AC334" s="28">
        <f>IF(OR(X334="",N334=""),"",X334*N334)</f>
        <v/>
      </c>
      <c r="AD334" s="28">
        <f>IF(OR(M334="",N334=""),"",N334-M334)</f>
        <v/>
      </c>
      <c r="AE334" s="29">
        <f>IFERROR(IF(M334&gt;0,(N334-M334)/M334,""),"")</f>
        <v/>
      </c>
      <c r="AF334" s="30" t="n"/>
      <c r="AG334" s="30" t="inlineStr">
        <is>
          <t>PENDIENTE</t>
        </is>
      </c>
      <c r="AH334" s="18">
        <f>IF(NOT(OR(B334="EXISTENTE",COUNTA(G334,H334,I334,J334,K334,M334,N334,U334,V334,X334,Y334,Z334,AF334,AJ334)&gt;0)),"",IF(AK334&lt;&gt;"","REVISAR",IF(OR(G334="",H334="",M334="",N334="",O334="",P334="",X334=""),"INCOMPLETO",IF(AI334&lt;&gt;"","REVISAR",IF(AND(AF334&lt;&gt;"",AG334="ESCANEADO"),"LISTO_COMPLETO","LISTO_SIN_BARCODE")))))</f>
        <v/>
      </c>
      <c r="AI334" s="17">
        <f>IF(NOT(OR(B334="EXISTENTE",COUNTA(G334,H334,I334,J334,K334,M334,N334,U334,V334,X334,Y334,Z334,AF334,AJ334)&gt;0)),"",TEXTJOIN(" | ",TRUE,IF(A334="","Falta ID staging",""),IF(COUNTIF($A$5:$A$445,A334)&gt;1,"ID staging duplicado",""),IF(G334="","Falta nombre",""),IF(LEN(G334)&gt;150,"Nombre &gt;150 caracteres",""),IF(H334="","Falta categoría",IF(COUNTIF(CategoriasLista,H334)=0,"Categoría inválida","")),IF(M334="","Falta precio compra",IF(OR(NOT(ISNUMBER(M334)),M334&lt;0),"Precio compra inválido","")),IF(N334="","Falta precio venta",IF(OR(NOT(ISNUMBER(N334)),N334&lt;=0,N334&lt;M334),"Precio venta inválido","")),IF(O334="","Falta stock mínimo",IF(OR(NOT(ISNUMBER(O334)),O334&lt;0,MOD(O334,1)&lt;&gt;0),"Stock mínimo inválido","")),IF(P334="","Falta unidad",IF(COUNTIF(UnidadesLista,P334)=0,"Unidad inválida","")),IF(AND(K334&lt;&gt;"",COUNTIF(ProveedoresLista,K334)=0),"Proveedor no catalogado",""),IF(X334="","Falta cantidad contada",IF(OR(NOT(ISNUMBER(X334)),X334&lt;0,ABS(X334*1000-ROUND(X334*1000,0))&gt;0.0000001),"Cantidad inválida",IF(AND(Q334="NO",MOD(X334,1)&lt;&gt;0),"Cantidad fraccionaria no permitida",""))),IF(AND(R334="SI",OR(NOT(ISNUMBER(S334)),S334&lt;1,MOD(S334,1)&lt;&gt;0)),"Empaque inválido",""),IF(OR(AND(AF334="",AG334="ESCANEADO"),AND(AF334&lt;&gt;"",AG334&lt;&gt;"ESCANEADO")),"Barcode/estado inconsistente",""),IF(AK334&lt;&gt;"",AK334,"")))</f>
        <v/>
      </c>
      <c r="AJ334" s="21" t="n"/>
      <c r="AK334" s="17">
        <f>IF(G334="","",IF(OR(COUNTIFS($G$5:$G$445,G334,$I$5:$I$445,I334,$J$5:$J$445,J334,$P$5:$P$445,P334)&gt;1,AND(AF334&lt;&gt;"",COUNTIF($AF$5:$AF$445,AF334)&gt;1)),"REVISAR_POSIBLE_DUPLICADO",""))</f>
        <v/>
      </c>
    </row>
    <row r="335">
      <c r="A335" s="17" t="inlineStr">
        <is>
          <t>2909132d-7578-55dd-94b6-37e4625e621d</t>
        </is>
      </c>
      <c r="B335" s="18" t="inlineStr">
        <is>
          <t>NUEVO</t>
        </is>
      </c>
      <c r="C335" s="18" t="inlineStr">
        <is>
          <t>ACTIVO</t>
        </is>
      </c>
      <c r="D335" s="18" t="n"/>
      <c r="E335" s="17" t="n"/>
      <c r="F335" s="17" t="n"/>
      <c r="G335" s="19" t="n"/>
      <c r="H335" s="19" t="n"/>
      <c r="I335" s="20" t="n"/>
      <c r="J335" s="20" t="n"/>
      <c r="K335" s="21" t="n"/>
      <c r="L335" s="18" t="n"/>
      <c r="M335" s="22" t="n"/>
      <c r="N335" s="22" t="n"/>
      <c r="O335" s="23" t="n">
        <v>10</v>
      </c>
      <c r="P335" s="24" t="inlineStr">
        <is>
          <t>UNIDAD</t>
        </is>
      </c>
      <c r="Q335" s="20" t="inlineStr">
        <is>
          <t>NO</t>
        </is>
      </c>
      <c r="R335" s="20" t="inlineStr">
        <is>
          <t>NO</t>
        </is>
      </c>
      <c r="S335" s="25" t="n">
        <v>1</v>
      </c>
      <c r="T335" s="20" t="inlineStr">
        <is>
          <t>NO</t>
        </is>
      </c>
      <c r="U335" s="20" t="n"/>
      <c r="V335" s="21" t="n"/>
      <c r="W335" s="26" t="n"/>
      <c r="X335" s="27" t="n"/>
      <c r="Y335" s="20" t="n"/>
      <c r="Z335" s="20" t="n"/>
      <c r="AA335" s="26">
        <f>IF(X335="","",X335-IF(W335="",0,W335))</f>
        <v/>
      </c>
      <c r="AB335" s="28">
        <f>IF(OR(X335="",M335=""),"",X335*M335)</f>
        <v/>
      </c>
      <c r="AC335" s="28">
        <f>IF(OR(X335="",N335=""),"",X335*N335)</f>
        <v/>
      </c>
      <c r="AD335" s="28">
        <f>IF(OR(M335="",N335=""),"",N335-M335)</f>
        <v/>
      </c>
      <c r="AE335" s="29">
        <f>IFERROR(IF(M335&gt;0,(N335-M335)/M335,""),"")</f>
        <v/>
      </c>
      <c r="AF335" s="30" t="n"/>
      <c r="AG335" s="30" t="inlineStr">
        <is>
          <t>PENDIENTE</t>
        </is>
      </c>
      <c r="AH335" s="18">
        <f>IF(NOT(OR(B335="EXISTENTE",COUNTA(G335,H335,I335,J335,K335,M335,N335,U335,V335,X335,Y335,Z335,AF335,AJ335)&gt;0)),"",IF(AK335&lt;&gt;"","REVISAR",IF(OR(G335="",H335="",M335="",N335="",O335="",P335="",X335=""),"INCOMPLETO",IF(AI335&lt;&gt;"","REVISAR",IF(AND(AF335&lt;&gt;"",AG335="ESCANEADO"),"LISTO_COMPLETO","LISTO_SIN_BARCODE")))))</f>
        <v/>
      </c>
      <c r="AI335" s="17">
        <f>IF(NOT(OR(B335="EXISTENTE",COUNTA(G335,H335,I335,J335,K335,M335,N335,U335,V335,X335,Y335,Z335,AF335,AJ335)&gt;0)),"",TEXTJOIN(" | ",TRUE,IF(A335="","Falta ID staging",""),IF(COUNTIF($A$5:$A$445,A335)&gt;1,"ID staging duplicado",""),IF(G335="","Falta nombre",""),IF(LEN(G335)&gt;150,"Nombre &gt;150 caracteres",""),IF(H335="","Falta categoría",IF(COUNTIF(CategoriasLista,H335)=0,"Categoría inválida","")),IF(M335="","Falta precio compra",IF(OR(NOT(ISNUMBER(M335)),M335&lt;0),"Precio compra inválido","")),IF(N335="","Falta precio venta",IF(OR(NOT(ISNUMBER(N335)),N335&lt;=0,N335&lt;M335),"Precio venta inválido","")),IF(O335="","Falta stock mínimo",IF(OR(NOT(ISNUMBER(O335)),O335&lt;0,MOD(O335,1)&lt;&gt;0),"Stock mínimo inválido","")),IF(P335="","Falta unidad",IF(COUNTIF(UnidadesLista,P335)=0,"Unidad inválida","")),IF(AND(K335&lt;&gt;"",COUNTIF(ProveedoresLista,K335)=0),"Proveedor no catalogado",""),IF(X335="","Falta cantidad contada",IF(OR(NOT(ISNUMBER(X335)),X335&lt;0,ABS(X335*1000-ROUND(X335*1000,0))&gt;0.0000001),"Cantidad inválida",IF(AND(Q335="NO",MOD(X335,1)&lt;&gt;0),"Cantidad fraccionaria no permitida",""))),IF(AND(R335="SI",OR(NOT(ISNUMBER(S335)),S335&lt;1,MOD(S335,1)&lt;&gt;0)),"Empaque inválido",""),IF(OR(AND(AF335="",AG335="ESCANEADO"),AND(AF335&lt;&gt;"",AG335&lt;&gt;"ESCANEADO")),"Barcode/estado inconsistente",""),IF(AK335&lt;&gt;"",AK335,"")))</f>
        <v/>
      </c>
      <c r="AJ335" s="21" t="n"/>
      <c r="AK335" s="17">
        <f>IF(G335="","",IF(OR(COUNTIFS($G$5:$G$445,G335,$I$5:$I$445,I335,$J$5:$J$445,J335,$P$5:$P$445,P335)&gt;1,AND(AF335&lt;&gt;"",COUNTIF($AF$5:$AF$445,AF335)&gt;1)),"REVISAR_POSIBLE_DUPLICADO",""))</f>
        <v/>
      </c>
    </row>
    <row r="336">
      <c r="A336" s="17" t="inlineStr">
        <is>
          <t>1a146878-9f34-5413-b845-38717c247529</t>
        </is>
      </c>
      <c r="B336" s="18" t="inlineStr">
        <is>
          <t>NUEVO</t>
        </is>
      </c>
      <c r="C336" s="18" t="inlineStr">
        <is>
          <t>ACTIVO</t>
        </is>
      </c>
      <c r="D336" s="18" t="n"/>
      <c r="E336" s="17" t="n"/>
      <c r="F336" s="17" t="n"/>
      <c r="G336" s="19" t="n"/>
      <c r="H336" s="19" t="n"/>
      <c r="I336" s="20" t="n"/>
      <c r="J336" s="20" t="n"/>
      <c r="K336" s="21" t="n"/>
      <c r="L336" s="18" t="n"/>
      <c r="M336" s="22" t="n"/>
      <c r="N336" s="22" t="n"/>
      <c r="O336" s="23" t="n">
        <v>10</v>
      </c>
      <c r="P336" s="24" t="inlineStr">
        <is>
          <t>UNIDAD</t>
        </is>
      </c>
      <c r="Q336" s="20" t="inlineStr">
        <is>
          <t>NO</t>
        </is>
      </c>
      <c r="R336" s="20" t="inlineStr">
        <is>
          <t>NO</t>
        </is>
      </c>
      <c r="S336" s="25" t="n">
        <v>1</v>
      </c>
      <c r="T336" s="20" t="inlineStr">
        <is>
          <t>NO</t>
        </is>
      </c>
      <c r="U336" s="20" t="n"/>
      <c r="V336" s="21" t="n"/>
      <c r="W336" s="26" t="n"/>
      <c r="X336" s="27" t="n"/>
      <c r="Y336" s="20" t="n"/>
      <c r="Z336" s="20" t="n"/>
      <c r="AA336" s="26">
        <f>IF(X336="","",X336-IF(W336="",0,W336))</f>
        <v/>
      </c>
      <c r="AB336" s="28">
        <f>IF(OR(X336="",M336=""),"",X336*M336)</f>
        <v/>
      </c>
      <c r="AC336" s="28">
        <f>IF(OR(X336="",N336=""),"",X336*N336)</f>
        <v/>
      </c>
      <c r="AD336" s="28">
        <f>IF(OR(M336="",N336=""),"",N336-M336)</f>
        <v/>
      </c>
      <c r="AE336" s="29">
        <f>IFERROR(IF(M336&gt;0,(N336-M336)/M336,""),"")</f>
        <v/>
      </c>
      <c r="AF336" s="30" t="n"/>
      <c r="AG336" s="30" t="inlineStr">
        <is>
          <t>PENDIENTE</t>
        </is>
      </c>
      <c r="AH336" s="18">
        <f>IF(NOT(OR(B336="EXISTENTE",COUNTA(G336,H336,I336,J336,K336,M336,N336,U336,V336,X336,Y336,Z336,AF336,AJ336)&gt;0)),"",IF(AK336&lt;&gt;"","REVISAR",IF(OR(G336="",H336="",M336="",N336="",O336="",P336="",X336=""),"INCOMPLETO",IF(AI336&lt;&gt;"","REVISAR",IF(AND(AF336&lt;&gt;"",AG336="ESCANEADO"),"LISTO_COMPLETO","LISTO_SIN_BARCODE")))))</f>
        <v/>
      </c>
      <c r="AI336" s="17">
        <f>IF(NOT(OR(B336="EXISTENTE",COUNTA(G336,H336,I336,J336,K336,M336,N336,U336,V336,X336,Y336,Z336,AF336,AJ336)&gt;0)),"",TEXTJOIN(" | ",TRUE,IF(A336="","Falta ID staging",""),IF(COUNTIF($A$5:$A$445,A336)&gt;1,"ID staging duplicado",""),IF(G336="","Falta nombre",""),IF(LEN(G336)&gt;150,"Nombre &gt;150 caracteres",""),IF(H336="","Falta categoría",IF(COUNTIF(CategoriasLista,H336)=0,"Categoría inválida","")),IF(M336="","Falta precio compra",IF(OR(NOT(ISNUMBER(M336)),M336&lt;0),"Precio compra inválido","")),IF(N336="","Falta precio venta",IF(OR(NOT(ISNUMBER(N336)),N336&lt;=0,N336&lt;M336),"Precio venta inválido","")),IF(O336="","Falta stock mínimo",IF(OR(NOT(ISNUMBER(O336)),O336&lt;0,MOD(O336,1)&lt;&gt;0),"Stock mínimo inválido","")),IF(P336="","Falta unidad",IF(COUNTIF(UnidadesLista,P336)=0,"Unidad inválida","")),IF(AND(K336&lt;&gt;"",COUNTIF(ProveedoresLista,K336)=0),"Proveedor no catalogado",""),IF(X336="","Falta cantidad contada",IF(OR(NOT(ISNUMBER(X336)),X336&lt;0,ABS(X336*1000-ROUND(X336*1000,0))&gt;0.0000001),"Cantidad inválida",IF(AND(Q336="NO",MOD(X336,1)&lt;&gt;0),"Cantidad fraccionaria no permitida",""))),IF(AND(R336="SI",OR(NOT(ISNUMBER(S336)),S336&lt;1,MOD(S336,1)&lt;&gt;0)),"Empaque inválido",""),IF(OR(AND(AF336="",AG336="ESCANEADO"),AND(AF336&lt;&gt;"",AG336&lt;&gt;"ESCANEADO")),"Barcode/estado inconsistente",""),IF(AK336&lt;&gt;"",AK336,"")))</f>
        <v/>
      </c>
      <c r="AJ336" s="21" t="n"/>
      <c r="AK336" s="17">
        <f>IF(G336="","",IF(OR(COUNTIFS($G$5:$G$445,G336,$I$5:$I$445,I336,$J$5:$J$445,J336,$P$5:$P$445,P336)&gt;1,AND(AF336&lt;&gt;"",COUNTIF($AF$5:$AF$445,AF336)&gt;1)),"REVISAR_POSIBLE_DUPLICADO",""))</f>
        <v/>
      </c>
    </row>
    <row r="337">
      <c r="A337" s="17" t="inlineStr">
        <is>
          <t>07c7ee27-222a-5d41-bb58-07c2002a2a78</t>
        </is>
      </c>
      <c r="B337" s="18" t="inlineStr">
        <is>
          <t>NUEVO</t>
        </is>
      </c>
      <c r="C337" s="18" t="inlineStr">
        <is>
          <t>ACTIVO</t>
        </is>
      </c>
      <c r="D337" s="18" t="n"/>
      <c r="E337" s="17" t="n"/>
      <c r="F337" s="17" t="n"/>
      <c r="G337" s="19" t="n"/>
      <c r="H337" s="19" t="n"/>
      <c r="I337" s="20" t="n"/>
      <c r="J337" s="20" t="n"/>
      <c r="K337" s="21" t="n"/>
      <c r="L337" s="18" t="n"/>
      <c r="M337" s="22" t="n"/>
      <c r="N337" s="22" t="n"/>
      <c r="O337" s="23" t="n">
        <v>10</v>
      </c>
      <c r="P337" s="24" t="inlineStr">
        <is>
          <t>UNIDAD</t>
        </is>
      </c>
      <c r="Q337" s="20" t="inlineStr">
        <is>
          <t>NO</t>
        </is>
      </c>
      <c r="R337" s="20" t="inlineStr">
        <is>
          <t>NO</t>
        </is>
      </c>
      <c r="S337" s="25" t="n">
        <v>1</v>
      </c>
      <c r="T337" s="20" t="inlineStr">
        <is>
          <t>NO</t>
        </is>
      </c>
      <c r="U337" s="20" t="n"/>
      <c r="V337" s="21" t="n"/>
      <c r="W337" s="26" t="n"/>
      <c r="X337" s="27" t="n"/>
      <c r="Y337" s="20" t="n"/>
      <c r="Z337" s="20" t="n"/>
      <c r="AA337" s="26">
        <f>IF(X337="","",X337-IF(W337="",0,W337))</f>
        <v/>
      </c>
      <c r="AB337" s="28">
        <f>IF(OR(X337="",M337=""),"",X337*M337)</f>
        <v/>
      </c>
      <c r="AC337" s="28">
        <f>IF(OR(X337="",N337=""),"",X337*N337)</f>
        <v/>
      </c>
      <c r="AD337" s="28">
        <f>IF(OR(M337="",N337=""),"",N337-M337)</f>
        <v/>
      </c>
      <c r="AE337" s="29">
        <f>IFERROR(IF(M337&gt;0,(N337-M337)/M337,""),"")</f>
        <v/>
      </c>
      <c r="AF337" s="30" t="n"/>
      <c r="AG337" s="30" t="inlineStr">
        <is>
          <t>PENDIENTE</t>
        </is>
      </c>
      <c r="AH337" s="18">
        <f>IF(NOT(OR(B337="EXISTENTE",COUNTA(G337,H337,I337,J337,K337,M337,N337,U337,V337,X337,Y337,Z337,AF337,AJ337)&gt;0)),"",IF(AK337&lt;&gt;"","REVISAR",IF(OR(G337="",H337="",M337="",N337="",O337="",P337="",X337=""),"INCOMPLETO",IF(AI337&lt;&gt;"","REVISAR",IF(AND(AF337&lt;&gt;"",AG337="ESCANEADO"),"LISTO_COMPLETO","LISTO_SIN_BARCODE")))))</f>
        <v/>
      </c>
      <c r="AI337" s="17">
        <f>IF(NOT(OR(B337="EXISTENTE",COUNTA(G337,H337,I337,J337,K337,M337,N337,U337,V337,X337,Y337,Z337,AF337,AJ337)&gt;0)),"",TEXTJOIN(" | ",TRUE,IF(A337="","Falta ID staging",""),IF(COUNTIF($A$5:$A$445,A337)&gt;1,"ID staging duplicado",""),IF(G337="","Falta nombre",""),IF(LEN(G337)&gt;150,"Nombre &gt;150 caracteres",""),IF(H337="","Falta categoría",IF(COUNTIF(CategoriasLista,H337)=0,"Categoría inválida","")),IF(M337="","Falta precio compra",IF(OR(NOT(ISNUMBER(M337)),M337&lt;0),"Precio compra inválido","")),IF(N337="","Falta precio venta",IF(OR(NOT(ISNUMBER(N337)),N337&lt;=0,N337&lt;M337),"Precio venta inválido","")),IF(O337="","Falta stock mínimo",IF(OR(NOT(ISNUMBER(O337)),O337&lt;0,MOD(O337,1)&lt;&gt;0),"Stock mínimo inválido","")),IF(P337="","Falta unidad",IF(COUNTIF(UnidadesLista,P337)=0,"Unidad inválida","")),IF(AND(K337&lt;&gt;"",COUNTIF(ProveedoresLista,K337)=0),"Proveedor no catalogado",""),IF(X337="","Falta cantidad contada",IF(OR(NOT(ISNUMBER(X337)),X337&lt;0,ABS(X337*1000-ROUND(X337*1000,0))&gt;0.0000001),"Cantidad inválida",IF(AND(Q337="NO",MOD(X337,1)&lt;&gt;0),"Cantidad fraccionaria no permitida",""))),IF(AND(R337="SI",OR(NOT(ISNUMBER(S337)),S337&lt;1,MOD(S337,1)&lt;&gt;0)),"Empaque inválido",""),IF(OR(AND(AF337="",AG337="ESCANEADO"),AND(AF337&lt;&gt;"",AG337&lt;&gt;"ESCANEADO")),"Barcode/estado inconsistente",""),IF(AK337&lt;&gt;"",AK337,"")))</f>
        <v/>
      </c>
      <c r="AJ337" s="21" t="n"/>
      <c r="AK337" s="17">
        <f>IF(G337="","",IF(OR(COUNTIFS($G$5:$G$445,G337,$I$5:$I$445,I337,$J$5:$J$445,J337,$P$5:$P$445,P337)&gt;1,AND(AF337&lt;&gt;"",COUNTIF($AF$5:$AF$445,AF337)&gt;1)),"REVISAR_POSIBLE_DUPLICADO",""))</f>
        <v/>
      </c>
    </row>
    <row r="338">
      <c r="A338" s="17" t="inlineStr">
        <is>
          <t>442c51cb-3a24-5d1b-9548-ff59974f7059</t>
        </is>
      </c>
      <c r="B338" s="18" t="inlineStr">
        <is>
          <t>NUEVO</t>
        </is>
      </c>
      <c r="C338" s="18" t="inlineStr">
        <is>
          <t>ACTIVO</t>
        </is>
      </c>
      <c r="D338" s="18" t="n"/>
      <c r="E338" s="17" t="n"/>
      <c r="F338" s="17" t="n"/>
      <c r="G338" s="19" t="n"/>
      <c r="H338" s="19" t="n"/>
      <c r="I338" s="20" t="n"/>
      <c r="J338" s="20" t="n"/>
      <c r="K338" s="21" t="n"/>
      <c r="L338" s="18" t="n"/>
      <c r="M338" s="22" t="n"/>
      <c r="N338" s="22" t="n"/>
      <c r="O338" s="23" t="n">
        <v>10</v>
      </c>
      <c r="P338" s="24" t="inlineStr">
        <is>
          <t>UNIDAD</t>
        </is>
      </c>
      <c r="Q338" s="20" t="inlineStr">
        <is>
          <t>NO</t>
        </is>
      </c>
      <c r="R338" s="20" t="inlineStr">
        <is>
          <t>NO</t>
        </is>
      </c>
      <c r="S338" s="25" t="n">
        <v>1</v>
      </c>
      <c r="T338" s="20" t="inlineStr">
        <is>
          <t>NO</t>
        </is>
      </c>
      <c r="U338" s="20" t="n"/>
      <c r="V338" s="21" t="n"/>
      <c r="W338" s="26" t="n"/>
      <c r="X338" s="27" t="n"/>
      <c r="Y338" s="20" t="n"/>
      <c r="Z338" s="20" t="n"/>
      <c r="AA338" s="26">
        <f>IF(X338="","",X338-IF(W338="",0,W338))</f>
        <v/>
      </c>
      <c r="AB338" s="28">
        <f>IF(OR(X338="",M338=""),"",X338*M338)</f>
        <v/>
      </c>
      <c r="AC338" s="28">
        <f>IF(OR(X338="",N338=""),"",X338*N338)</f>
        <v/>
      </c>
      <c r="AD338" s="28">
        <f>IF(OR(M338="",N338=""),"",N338-M338)</f>
        <v/>
      </c>
      <c r="AE338" s="29">
        <f>IFERROR(IF(M338&gt;0,(N338-M338)/M338,""),"")</f>
        <v/>
      </c>
      <c r="AF338" s="30" t="n"/>
      <c r="AG338" s="30" t="inlineStr">
        <is>
          <t>PENDIENTE</t>
        </is>
      </c>
      <c r="AH338" s="18">
        <f>IF(NOT(OR(B338="EXISTENTE",COUNTA(G338,H338,I338,J338,K338,M338,N338,U338,V338,X338,Y338,Z338,AF338,AJ338)&gt;0)),"",IF(AK338&lt;&gt;"","REVISAR",IF(OR(G338="",H338="",M338="",N338="",O338="",P338="",X338=""),"INCOMPLETO",IF(AI338&lt;&gt;"","REVISAR",IF(AND(AF338&lt;&gt;"",AG338="ESCANEADO"),"LISTO_COMPLETO","LISTO_SIN_BARCODE")))))</f>
        <v/>
      </c>
      <c r="AI338" s="17">
        <f>IF(NOT(OR(B338="EXISTENTE",COUNTA(G338,H338,I338,J338,K338,M338,N338,U338,V338,X338,Y338,Z338,AF338,AJ338)&gt;0)),"",TEXTJOIN(" | ",TRUE,IF(A338="","Falta ID staging",""),IF(COUNTIF($A$5:$A$445,A338)&gt;1,"ID staging duplicado",""),IF(G338="","Falta nombre",""),IF(LEN(G338)&gt;150,"Nombre &gt;150 caracteres",""),IF(H338="","Falta categoría",IF(COUNTIF(CategoriasLista,H338)=0,"Categoría inválida","")),IF(M338="","Falta precio compra",IF(OR(NOT(ISNUMBER(M338)),M338&lt;0),"Precio compra inválido","")),IF(N338="","Falta precio venta",IF(OR(NOT(ISNUMBER(N338)),N338&lt;=0,N338&lt;M338),"Precio venta inválido","")),IF(O338="","Falta stock mínimo",IF(OR(NOT(ISNUMBER(O338)),O338&lt;0,MOD(O338,1)&lt;&gt;0),"Stock mínimo inválido","")),IF(P338="","Falta unidad",IF(COUNTIF(UnidadesLista,P338)=0,"Unidad inválida","")),IF(AND(K338&lt;&gt;"",COUNTIF(ProveedoresLista,K338)=0),"Proveedor no catalogado",""),IF(X338="","Falta cantidad contada",IF(OR(NOT(ISNUMBER(X338)),X338&lt;0,ABS(X338*1000-ROUND(X338*1000,0))&gt;0.0000001),"Cantidad inválida",IF(AND(Q338="NO",MOD(X338,1)&lt;&gt;0),"Cantidad fraccionaria no permitida",""))),IF(AND(R338="SI",OR(NOT(ISNUMBER(S338)),S338&lt;1,MOD(S338,1)&lt;&gt;0)),"Empaque inválido",""),IF(OR(AND(AF338="",AG338="ESCANEADO"),AND(AF338&lt;&gt;"",AG338&lt;&gt;"ESCANEADO")),"Barcode/estado inconsistente",""),IF(AK338&lt;&gt;"",AK338,"")))</f>
        <v/>
      </c>
      <c r="AJ338" s="21" t="n"/>
      <c r="AK338" s="17">
        <f>IF(G338="","",IF(OR(COUNTIFS($G$5:$G$445,G338,$I$5:$I$445,I338,$J$5:$J$445,J338,$P$5:$P$445,P338)&gt;1,AND(AF338&lt;&gt;"",COUNTIF($AF$5:$AF$445,AF338)&gt;1)),"REVISAR_POSIBLE_DUPLICADO",""))</f>
        <v/>
      </c>
    </row>
    <row r="339">
      <c r="A339" s="17" t="inlineStr">
        <is>
          <t>15accd17-e7ab-51af-aafc-6b99d9162484</t>
        </is>
      </c>
      <c r="B339" s="18" t="inlineStr">
        <is>
          <t>NUEVO</t>
        </is>
      </c>
      <c r="C339" s="18" t="inlineStr">
        <is>
          <t>ACTIVO</t>
        </is>
      </c>
      <c r="D339" s="18" t="n"/>
      <c r="E339" s="17" t="n"/>
      <c r="F339" s="17" t="n"/>
      <c r="G339" s="19" t="n"/>
      <c r="H339" s="19" t="n"/>
      <c r="I339" s="20" t="n"/>
      <c r="J339" s="20" t="n"/>
      <c r="K339" s="21" t="n"/>
      <c r="L339" s="18" t="n"/>
      <c r="M339" s="22" t="n"/>
      <c r="N339" s="22" t="n"/>
      <c r="O339" s="23" t="n">
        <v>10</v>
      </c>
      <c r="P339" s="24" t="inlineStr">
        <is>
          <t>UNIDAD</t>
        </is>
      </c>
      <c r="Q339" s="20" t="inlineStr">
        <is>
          <t>NO</t>
        </is>
      </c>
      <c r="R339" s="20" t="inlineStr">
        <is>
          <t>NO</t>
        </is>
      </c>
      <c r="S339" s="25" t="n">
        <v>1</v>
      </c>
      <c r="T339" s="20" t="inlineStr">
        <is>
          <t>NO</t>
        </is>
      </c>
      <c r="U339" s="20" t="n"/>
      <c r="V339" s="21" t="n"/>
      <c r="W339" s="26" t="n"/>
      <c r="X339" s="27" t="n"/>
      <c r="Y339" s="20" t="n"/>
      <c r="Z339" s="20" t="n"/>
      <c r="AA339" s="26">
        <f>IF(X339="","",X339-IF(W339="",0,W339))</f>
        <v/>
      </c>
      <c r="AB339" s="28">
        <f>IF(OR(X339="",M339=""),"",X339*M339)</f>
        <v/>
      </c>
      <c r="AC339" s="28">
        <f>IF(OR(X339="",N339=""),"",X339*N339)</f>
        <v/>
      </c>
      <c r="AD339" s="28">
        <f>IF(OR(M339="",N339=""),"",N339-M339)</f>
        <v/>
      </c>
      <c r="AE339" s="29">
        <f>IFERROR(IF(M339&gt;0,(N339-M339)/M339,""),"")</f>
        <v/>
      </c>
      <c r="AF339" s="30" t="n"/>
      <c r="AG339" s="30" t="inlineStr">
        <is>
          <t>PENDIENTE</t>
        </is>
      </c>
      <c r="AH339" s="18">
        <f>IF(NOT(OR(B339="EXISTENTE",COUNTA(G339,H339,I339,J339,K339,M339,N339,U339,V339,X339,Y339,Z339,AF339,AJ339)&gt;0)),"",IF(AK339&lt;&gt;"","REVISAR",IF(OR(G339="",H339="",M339="",N339="",O339="",P339="",X339=""),"INCOMPLETO",IF(AI339&lt;&gt;"","REVISAR",IF(AND(AF339&lt;&gt;"",AG339="ESCANEADO"),"LISTO_COMPLETO","LISTO_SIN_BARCODE")))))</f>
        <v/>
      </c>
      <c r="AI339" s="17">
        <f>IF(NOT(OR(B339="EXISTENTE",COUNTA(G339,H339,I339,J339,K339,M339,N339,U339,V339,X339,Y339,Z339,AF339,AJ339)&gt;0)),"",TEXTJOIN(" | ",TRUE,IF(A339="","Falta ID staging",""),IF(COUNTIF($A$5:$A$445,A339)&gt;1,"ID staging duplicado",""),IF(G339="","Falta nombre",""),IF(LEN(G339)&gt;150,"Nombre &gt;150 caracteres",""),IF(H339="","Falta categoría",IF(COUNTIF(CategoriasLista,H339)=0,"Categoría inválida","")),IF(M339="","Falta precio compra",IF(OR(NOT(ISNUMBER(M339)),M339&lt;0),"Precio compra inválido","")),IF(N339="","Falta precio venta",IF(OR(NOT(ISNUMBER(N339)),N339&lt;=0,N339&lt;M339),"Precio venta inválido","")),IF(O339="","Falta stock mínimo",IF(OR(NOT(ISNUMBER(O339)),O339&lt;0,MOD(O339,1)&lt;&gt;0),"Stock mínimo inválido","")),IF(P339="","Falta unidad",IF(COUNTIF(UnidadesLista,P339)=0,"Unidad inválida","")),IF(AND(K339&lt;&gt;"",COUNTIF(ProveedoresLista,K339)=0),"Proveedor no catalogado",""),IF(X339="","Falta cantidad contada",IF(OR(NOT(ISNUMBER(X339)),X339&lt;0,ABS(X339*1000-ROUND(X339*1000,0))&gt;0.0000001),"Cantidad inválida",IF(AND(Q339="NO",MOD(X339,1)&lt;&gt;0),"Cantidad fraccionaria no permitida",""))),IF(AND(R339="SI",OR(NOT(ISNUMBER(S339)),S339&lt;1,MOD(S339,1)&lt;&gt;0)),"Empaque inválido",""),IF(OR(AND(AF339="",AG339="ESCANEADO"),AND(AF339&lt;&gt;"",AG339&lt;&gt;"ESCANEADO")),"Barcode/estado inconsistente",""),IF(AK339&lt;&gt;"",AK339,"")))</f>
        <v/>
      </c>
      <c r="AJ339" s="21" t="n"/>
      <c r="AK339" s="17">
        <f>IF(G339="","",IF(OR(COUNTIFS($G$5:$G$445,G339,$I$5:$I$445,I339,$J$5:$J$445,J339,$P$5:$P$445,P339)&gt;1,AND(AF339&lt;&gt;"",COUNTIF($AF$5:$AF$445,AF339)&gt;1)),"REVISAR_POSIBLE_DUPLICADO",""))</f>
        <v/>
      </c>
    </row>
    <row r="340">
      <c r="A340" s="17" t="inlineStr">
        <is>
          <t>1eb57a4f-0e9d-52fd-9a1b-6f101eced1d8</t>
        </is>
      </c>
      <c r="B340" s="18" t="inlineStr">
        <is>
          <t>NUEVO</t>
        </is>
      </c>
      <c r="C340" s="18" t="inlineStr">
        <is>
          <t>ACTIVO</t>
        </is>
      </c>
      <c r="D340" s="18" t="n"/>
      <c r="E340" s="17" t="n"/>
      <c r="F340" s="17" t="n"/>
      <c r="G340" s="19" t="n"/>
      <c r="H340" s="19" t="n"/>
      <c r="I340" s="20" t="n"/>
      <c r="J340" s="20" t="n"/>
      <c r="K340" s="21" t="n"/>
      <c r="L340" s="18" t="n"/>
      <c r="M340" s="22" t="n"/>
      <c r="N340" s="22" t="n"/>
      <c r="O340" s="23" t="n">
        <v>10</v>
      </c>
      <c r="P340" s="24" t="inlineStr">
        <is>
          <t>UNIDAD</t>
        </is>
      </c>
      <c r="Q340" s="20" t="inlineStr">
        <is>
          <t>NO</t>
        </is>
      </c>
      <c r="R340" s="20" t="inlineStr">
        <is>
          <t>NO</t>
        </is>
      </c>
      <c r="S340" s="25" t="n">
        <v>1</v>
      </c>
      <c r="T340" s="20" t="inlineStr">
        <is>
          <t>NO</t>
        </is>
      </c>
      <c r="U340" s="20" t="n"/>
      <c r="V340" s="21" t="n"/>
      <c r="W340" s="26" t="n"/>
      <c r="X340" s="27" t="n"/>
      <c r="Y340" s="20" t="n"/>
      <c r="Z340" s="20" t="n"/>
      <c r="AA340" s="26">
        <f>IF(X340="","",X340-IF(W340="",0,W340))</f>
        <v/>
      </c>
      <c r="AB340" s="28">
        <f>IF(OR(X340="",M340=""),"",X340*M340)</f>
        <v/>
      </c>
      <c r="AC340" s="28">
        <f>IF(OR(X340="",N340=""),"",X340*N340)</f>
        <v/>
      </c>
      <c r="AD340" s="28">
        <f>IF(OR(M340="",N340=""),"",N340-M340)</f>
        <v/>
      </c>
      <c r="AE340" s="29">
        <f>IFERROR(IF(M340&gt;0,(N340-M340)/M340,""),"")</f>
        <v/>
      </c>
      <c r="AF340" s="30" t="n"/>
      <c r="AG340" s="30" t="inlineStr">
        <is>
          <t>PENDIENTE</t>
        </is>
      </c>
      <c r="AH340" s="18">
        <f>IF(NOT(OR(B340="EXISTENTE",COUNTA(G340,H340,I340,J340,K340,M340,N340,U340,V340,X340,Y340,Z340,AF340,AJ340)&gt;0)),"",IF(AK340&lt;&gt;"","REVISAR",IF(OR(G340="",H340="",M340="",N340="",O340="",P340="",X340=""),"INCOMPLETO",IF(AI340&lt;&gt;"","REVISAR",IF(AND(AF340&lt;&gt;"",AG340="ESCANEADO"),"LISTO_COMPLETO","LISTO_SIN_BARCODE")))))</f>
        <v/>
      </c>
      <c r="AI340" s="17">
        <f>IF(NOT(OR(B340="EXISTENTE",COUNTA(G340,H340,I340,J340,K340,M340,N340,U340,V340,X340,Y340,Z340,AF340,AJ340)&gt;0)),"",TEXTJOIN(" | ",TRUE,IF(A340="","Falta ID staging",""),IF(COUNTIF($A$5:$A$445,A340)&gt;1,"ID staging duplicado",""),IF(G340="","Falta nombre",""),IF(LEN(G340)&gt;150,"Nombre &gt;150 caracteres",""),IF(H340="","Falta categoría",IF(COUNTIF(CategoriasLista,H340)=0,"Categoría inválida","")),IF(M340="","Falta precio compra",IF(OR(NOT(ISNUMBER(M340)),M340&lt;0),"Precio compra inválido","")),IF(N340="","Falta precio venta",IF(OR(NOT(ISNUMBER(N340)),N340&lt;=0,N340&lt;M340),"Precio venta inválido","")),IF(O340="","Falta stock mínimo",IF(OR(NOT(ISNUMBER(O340)),O340&lt;0,MOD(O340,1)&lt;&gt;0),"Stock mínimo inválido","")),IF(P340="","Falta unidad",IF(COUNTIF(UnidadesLista,P340)=0,"Unidad inválida","")),IF(AND(K340&lt;&gt;"",COUNTIF(ProveedoresLista,K340)=0),"Proveedor no catalogado",""),IF(X340="","Falta cantidad contada",IF(OR(NOT(ISNUMBER(X340)),X340&lt;0,ABS(X340*1000-ROUND(X340*1000,0))&gt;0.0000001),"Cantidad inválida",IF(AND(Q340="NO",MOD(X340,1)&lt;&gt;0),"Cantidad fraccionaria no permitida",""))),IF(AND(R340="SI",OR(NOT(ISNUMBER(S340)),S340&lt;1,MOD(S340,1)&lt;&gt;0)),"Empaque inválido",""),IF(OR(AND(AF340="",AG340="ESCANEADO"),AND(AF340&lt;&gt;"",AG340&lt;&gt;"ESCANEADO")),"Barcode/estado inconsistente",""),IF(AK340&lt;&gt;"",AK340,"")))</f>
        <v/>
      </c>
      <c r="AJ340" s="21" t="n"/>
      <c r="AK340" s="17">
        <f>IF(G340="","",IF(OR(COUNTIFS($G$5:$G$445,G340,$I$5:$I$445,I340,$J$5:$J$445,J340,$P$5:$P$445,P340)&gt;1,AND(AF340&lt;&gt;"",COUNTIF($AF$5:$AF$445,AF340)&gt;1)),"REVISAR_POSIBLE_DUPLICADO",""))</f>
        <v/>
      </c>
    </row>
    <row r="341">
      <c r="A341" s="17" t="inlineStr">
        <is>
          <t>e86295bb-93c5-5c70-b74a-41903954354b</t>
        </is>
      </c>
      <c r="B341" s="18" t="inlineStr">
        <is>
          <t>NUEVO</t>
        </is>
      </c>
      <c r="C341" s="18" t="inlineStr">
        <is>
          <t>ACTIVO</t>
        </is>
      </c>
      <c r="D341" s="18" t="n"/>
      <c r="E341" s="17" t="n"/>
      <c r="F341" s="17" t="n"/>
      <c r="G341" s="19" t="n"/>
      <c r="H341" s="19" t="n"/>
      <c r="I341" s="20" t="n"/>
      <c r="J341" s="20" t="n"/>
      <c r="K341" s="21" t="n"/>
      <c r="L341" s="18" t="n"/>
      <c r="M341" s="22" t="n"/>
      <c r="N341" s="22" t="n"/>
      <c r="O341" s="23" t="n">
        <v>10</v>
      </c>
      <c r="P341" s="24" t="inlineStr">
        <is>
          <t>UNIDAD</t>
        </is>
      </c>
      <c r="Q341" s="20" t="inlineStr">
        <is>
          <t>NO</t>
        </is>
      </c>
      <c r="R341" s="20" t="inlineStr">
        <is>
          <t>NO</t>
        </is>
      </c>
      <c r="S341" s="25" t="n">
        <v>1</v>
      </c>
      <c r="T341" s="20" t="inlineStr">
        <is>
          <t>NO</t>
        </is>
      </c>
      <c r="U341" s="20" t="n"/>
      <c r="V341" s="21" t="n"/>
      <c r="W341" s="26" t="n"/>
      <c r="X341" s="27" t="n"/>
      <c r="Y341" s="20" t="n"/>
      <c r="Z341" s="20" t="n"/>
      <c r="AA341" s="26">
        <f>IF(X341="","",X341-IF(W341="",0,W341))</f>
        <v/>
      </c>
      <c r="AB341" s="28">
        <f>IF(OR(X341="",M341=""),"",X341*M341)</f>
        <v/>
      </c>
      <c r="AC341" s="28">
        <f>IF(OR(X341="",N341=""),"",X341*N341)</f>
        <v/>
      </c>
      <c r="AD341" s="28">
        <f>IF(OR(M341="",N341=""),"",N341-M341)</f>
        <v/>
      </c>
      <c r="AE341" s="29">
        <f>IFERROR(IF(M341&gt;0,(N341-M341)/M341,""),"")</f>
        <v/>
      </c>
      <c r="AF341" s="30" t="n"/>
      <c r="AG341" s="30" t="inlineStr">
        <is>
          <t>PENDIENTE</t>
        </is>
      </c>
      <c r="AH341" s="18">
        <f>IF(NOT(OR(B341="EXISTENTE",COUNTA(G341,H341,I341,J341,K341,M341,N341,U341,V341,X341,Y341,Z341,AF341,AJ341)&gt;0)),"",IF(AK341&lt;&gt;"","REVISAR",IF(OR(G341="",H341="",M341="",N341="",O341="",P341="",X341=""),"INCOMPLETO",IF(AI341&lt;&gt;"","REVISAR",IF(AND(AF341&lt;&gt;"",AG341="ESCANEADO"),"LISTO_COMPLETO","LISTO_SIN_BARCODE")))))</f>
        <v/>
      </c>
      <c r="AI341" s="17">
        <f>IF(NOT(OR(B341="EXISTENTE",COUNTA(G341,H341,I341,J341,K341,M341,N341,U341,V341,X341,Y341,Z341,AF341,AJ341)&gt;0)),"",TEXTJOIN(" | ",TRUE,IF(A341="","Falta ID staging",""),IF(COUNTIF($A$5:$A$445,A341)&gt;1,"ID staging duplicado",""),IF(G341="","Falta nombre",""),IF(LEN(G341)&gt;150,"Nombre &gt;150 caracteres",""),IF(H341="","Falta categoría",IF(COUNTIF(CategoriasLista,H341)=0,"Categoría inválida","")),IF(M341="","Falta precio compra",IF(OR(NOT(ISNUMBER(M341)),M341&lt;0),"Precio compra inválido","")),IF(N341="","Falta precio venta",IF(OR(NOT(ISNUMBER(N341)),N341&lt;=0,N341&lt;M341),"Precio venta inválido","")),IF(O341="","Falta stock mínimo",IF(OR(NOT(ISNUMBER(O341)),O341&lt;0,MOD(O341,1)&lt;&gt;0),"Stock mínimo inválido","")),IF(P341="","Falta unidad",IF(COUNTIF(UnidadesLista,P341)=0,"Unidad inválida","")),IF(AND(K341&lt;&gt;"",COUNTIF(ProveedoresLista,K341)=0),"Proveedor no catalogado",""),IF(X341="","Falta cantidad contada",IF(OR(NOT(ISNUMBER(X341)),X341&lt;0,ABS(X341*1000-ROUND(X341*1000,0))&gt;0.0000001),"Cantidad inválida",IF(AND(Q341="NO",MOD(X341,1)&lt;&gt;0),"Cantidad fraccionaria no permitida",""))),IF(AND(R341="SI",OR(NOT(ISNUMBER(S341)),S341&lt;1,MOD(S341,1)&lt;&gt;0)),"Empaque inválido",""),IF(OR(AND(AF341="",AG341="ESCANEADO"),AND(AF341&lt;&gt;"",AG341&lt;&gt;"ESCANEADO")),"Barcode/estado inconsistente",""),IF(AK341&lt;&gt;"",AK341,"")))</f>
        <v/>
      </c>
      <c r="AJ341" s="21" t="n"/>
      <c r="AK341" s="17">
        <f>IF(G341="","",IF(OR(COUNTIFS($G$5:$G$445,G341,$I$5:$I$445,I341,$J$5:$J$445,J341,$P$5:$P$445,P341)&gt;1,AND(AF341&lt;&gt;"",COUNTIF($AF$5:$AF$445,AF341)&gt;1)),"REVISAR_POSIBLE_DUPLICADO",""))</f>
        <v/>
      </c>
    </row>
    <row r="342">
      <c r="A342" s="17" t="inlineStr">
        <is>
          <t>e2086325-9eb7-5fc3-8c3d-89575c08b279</t>
        </is>
      </c>
      <c r="B342" s="18" t="inlineStr">
        <is>
          <t>NUEVO</t>
        </is>
      </c>
      <c r="C342" s="18" t="inlineStr">
        <is>
          <t>ACTIVO</t>
        </is>
      </c>
      <c r="D342" s="18" t="n"/>
      <c r="E342" s="17" t="n"/>
      <c r="F342" s="17" t="n"/>
      <c r="G342" s="19" t="n"/>
      <c r="H342" s="19" t="n"/>
      <c r="I342" s="20" t="n"/>
      <c r="J342" s="20" t="n"/>
      <c r="K342" s="21" t="n"/>
      <c r="L342" s="18" t="n"/>
      <c r="M342" s="22" t="n"/>
      <c r="N342" s="22" t="n"/>
      <c r="O342" s="23" t="n">
        <v>10</v>
      </c>
      <c r="P342" s="24" t="inlineStr">
        <is>
          <t>UNIDAD</t>
        </is>
      </c>
      <c r="Q342" s="20" t="inlineStr">
        <is>
          <t>NO</t>
        </is>
      </c>
      <c r="R342" s="20" t="inlineStr">
        <is>
          <t>NO</t>
        </is>
      </c>
      <c r="S342" s="25" t="n">
        <v>1</v>
      </c>
      <c r="T342" s="20" t="inlineStr">
        <is>
          <t>NO</t>
        </is>
      </c>
      <c r="U342" s="20" t="n"/>
      <c r="V342" s="21" t="n"/>
      <c r="W342" s="26" t="n"/>
      <c r="X342" s="27" t="n"/>
      <c r="Y342" s="20" t="n"/>
      <c r="Z342" s="20" t="n"/>
      <c r="AA342" s="26">
        <f>IF(X342="","",X342-IF(W342="",0,W342))</f>
        <v/>
      </c>
      <c r="AB342" s="28">
        <f>IF(OR(X342="",M342=""),"",X342*M342)</f>
        <v/>
      </c>
      <c r="AC342" s="28">
        <f>IF(OR(X342="",N342=""),"",X342*N342)</f>
        <v/>
      </c>
      <c r="AD342" s="28">
        <f>IF(OR(M342="",N342=""),"",N342-M342)</f>
        <v/>
      </c>
      <c r="AE342" s="29">
        <f>IFERROR(IF(M342&gt;0,(N342-M342)/M342,""),"")</f>
        <v/>
      </c>
      <c r="AF342" s="30" t="n"/>
      <c r="AG342" s="30" t="inlineStr">
        <is>
          <t>PENDIENTE</t>
        </is>
      </c>
      <c r="AH342" s="18">
        <f>IF(NOT(OR(B342="EXISTENTE",COUNTA(G342,H342,I342,J342,K342,M342,N342,U342,V342,X342,Y342,Z342,AF342,AJ342)&gt;0)),"",IF(AK342&lt;&gt;"","REVISAR",IF(OR(G342="",H342="",M342="",N342="",O342="",P342="",X342=""),"INCOMPLETO",IF(AI342&lt;&gt;"","REVISAR",IF(AND(AF342&lt;&gt;"",AG342="ESCANEADO"),"LISTO_COMPLETO","LISTO_SIN_BARCODE")))))</f>
        <v/>
      </c>
      <c r="AI342" s="17">
        <f>IF(NOT(OR(B342="EXISTENTE",COUNTA(G342,H342,I342,J342,K342,M342,N342,U342,V342,X342,Y342,Z342,AF342,AJ342)&gt;0)),"",TEXTJOIN(" | ",TRUE,IF(A342="","Falta ID staging",""),IF(COUNTIF($A$5:$A$445,A342)&gt;1,"ID staging duplicado",""),IF(G342="","Falta nombre",""),IF(LEN(G342)&gt;150,"Nombre &gt;150 caracteres",""),IF(H342="","Falta categoría",IF(COUNTIF(CategoriasLista,H342)=0,"Categoría inválida","")),IF(M342="","Falta precio compra",IF(OR(NOT(ISNUMBER(M342)),M342&lt;0),"Precio compra inválido","")),IF(N342="","Falta precio venta",IF(OR(NOT(ISNUMBER(N342)),N342&lt;=0,N342&lt;M342),"Precio venta inválido","")),IF(O342="","Falta stock mínimo",IF(OR(NOT(ISNUMBER(O342)),O342&lt;0,MOD(O342,1)&lt;&gt;0),"Stock mínimo inválido","")),IF(P342="","Falta unidad",IF(COUNTIF(UnidadesLista,P342)=0,"Unidad inválida","")),IF(AND(K342&lt;&gt;"",COUNTIF(ProveedoresLista,K342)=0),"Proveedor no catalogado",""),IF(X342="","Falta cantidad contada",IF(OR(NOT(ISNUMBER(X342)),X342&lt;0,ABS(X342*1000-ROUND(X342*1000,0))&gt;0.0000001),"Cantidad inválida",IF(AND(Q342="NO",MOD(X342,1)&lt;&gt;0),"Cantidad fraccionaria no permitida",""))),IF(AND(R342="SI",OR(NOT(ISNUMBER(S342)),S342&lt;1,MOD(S342,1)&lt;&gt;0)),"Empaque inválido",""),IF(OR(AND(AF342="",AG342="ESCANEADO"),AND(AF342&lt;&gt;"",AG342&lt;&gt;"ESCANEADO")),"Barcode/estado inconsistente",""),IF(AK342&lt;&gt;"",AK342,"")))</f>
        <v/>
      </c>
      <c r="AJ342" s="21" t="n"/>
      <c r="AK342" s="17">
        <f>IF(G342="","",IF(OR(COUNTIFS($G$5:$G$445,G342,$I$5:$I$445,I342,$J$5:$J$445,J342,$P$5:$P$445,P342)&gt;1,AND(AF342&lt;&gt;"",COUNTIF($AF$5:$AF$445,AF342)&gt;1)),"REVISAR_POSIBLE_DUPLICADO",""))</f>
        <v/>
      </c>
    </row>
    <row r="343">
      <c r="A343" s="17" t="inlineStr">
        <is>
          <t>0d2fa95b-cdd0-5ec8-a26f-268f665e6962</t>
        </is>
      </c>
      <c r="B343" s="18" t="inlineStr">
        <is>
          <t>NUEVO</t>
        </is>
      </c>
      <c r="C343" s="18" t="inlineStr">
        <is>
          <t>ACTIVO</t>
        </is>
      </c>
      <c r="D343" s="18" t="n"/>
      <c r="E343" s="17" t="n"/>
      <c r="F343" s="17" t="n"/>
      <c r="G343" s="19" t="n"/>
      <c r="H343" s="19" t="n"/>
      <c r="I343" s="20" t="n"/>
      <c r="J343" s="20" t="n"/>
      <c r="K343" s="21" t="n"/>
      <c r="L343" s="18" t="n"/>
      <c r="M343" s="22" t="n"/>
      <c r="N343" s="22" t="n"/>
      <c r="O343" s="23" t="n">
        <v>10</v>
      </c>
      <c r="P343" s="24" t="inlineStr">
        <is>
          <t>UNIDAD</t>
        </is>
      </c>
      <c r="Q343" s="20" t="inlineStr">
        <is>
          <t>NO</t>
        </is>
      </c>
      <c r="R343" s="20" t="inlineStr">
        <is>
          <t>NO</t>
        </is>
      </c>
      <c r="S343" s="25" t="n">
        <v>1</v>
      </c>
      <c r="T343" s="20" t="inlineStr">
        <is>
          <t>NO</t>
        </is>
      </c>
      <c r="U343" s="20" t="n"/>
      <c r="V343" s="21" t="n"/>
      <c r="W343" s="26" t="n"/>
      <c r="X343" s="27" t="n"/>
      <c r="Y343" s="20" t="n"/>
      <c r="Z343" s="20" t="n"/>
      <c r="AA343" s="26">
        <f>IF(X343="","",X343-IF(W343="",0,W343))</f>
        <v/>
      </c>
      <c r="AB343" s="28">
        <f>IF(OR(X343="",M343=""),"",X343*M343)</f>
        <v/>
      </c>
      <c r="AC343" s="28">
        <f>IF(OR(X343="",N343=""),"",X343*N343)</f>
        <v/>
      </c>
      <c r="AD343" s="28">
        <f>IF(OR(M343="",N343=""),"",N343-M343)</f>
        <v/>
      </c>
      <c r="AE343" s="29">
        <f>IFERROR(IF(M343&gt;0,(N343-M343)/M343,""),"")</f>
        <v/>
      </c>
      <c r="AF343" s="30" t="n"/>
      <c r="AG343" s="30" t="inlineStr">
        <is>
          <t>PENDIENTE</t>
        </is>
      </c>
      <c r="AH343" s="18">
        <f>IF(NOT(OR(B343="EXISTENTE",COUNTA(G343,H343,I343,J343,K343,M343,N343,U343,V343,X343,Y343,Z343,AF343,AJ343)&gt;0)),"",IF(AK343&lt;&gt;"","REVISAR",IF(OR(G343="",H343="",M343="",N343="",O343="",P343="",X343=""),"INCOMPLETO",IF(AI343&lt;&gt;"","REVISAR",IF(AND(AF343&lt;&gt;"",AG343="ESCANEADO"),"LISTO_COMPLETO","LISTO_SIN_BARCODE")))))</f>
        <v/>
      </c>
      <c r="AI343" s="17">
        <f>IF(NOT(OR(B343="EXISTENTE",COUNTA(G343,H343,I343,J343,K343,M343,N343,U343,V343,X343,Y343,Z343,AF343,AJ343)&gt;0)),"",TEXTJOIN(" | ",TRUE,IF(A343="","Falta ID staging",""),IF(COUNTIF($A$5:$A$445,A343)&gt;1,"ID staging duplicado",""),IF(G343="","Falta nombre",""),IF(LEN(G343)&gt;150,"Nombre &gt;150 caracteres",""),IF(H343="","Falta categoría",IF(COUNTIF(CategoriasLista,H343)=0,"Categoría inválida","")),IF(M343="","Falta precio compra",IF(OR(NOT(ISNUMBER(M343)),M343&lt;0),"Precio compra inválido","")),IF(N343="","Falta precio venta",IF(OR(NOT(ISNUMBER(N343)),N343&lt;=0,N343&lt;M343),"Precio venta inválido","")),IF(O343="","Falta stock mínimo",IF(OR(NOT(ISNUMBER(O343)),O343&lt;0,MOD(O343,1)&lt;&gt;0),"Stock mínimo inválido","")),IF(P343="","Falta unidad",IF(COUNTIF(UnidadesLista,P343)=0,"Unidad inválida","")),IF(AND(K343&lt;&gt;"",COUNTIF(ProveedoresLista,K343)=0),"Proveedor no catalogado",""),IF(X343="","Falta cantidad contada",IF(OR(NOT(ISNUMBER(X343)),X343&lt;0,ABS(X343*1000-ROUND(X343*1000,0))&gt;0.0000001),"Cantidad inválida",IF(AND(Q343="NO",MOD(X343,1)&lt;&gt;0),"Cantidad fraccionaria no permitida",""))),IF(AND(R343="SI",OR(NOT(ISNUMBER(S343)),S343&lt;1,MOD(S343,1)&lt;&gt;0)),"Empaque inválido",""),IF(OR(AND(AF343="",AG343="ESCANEADO"),AND(AF343&lt;&gt;"",AG343&lt;&gt;"ESCANEADO")),"Barcode/estado inconsistente",""),IF(AK343&lt;&gt;"",AK343,"")))</f>
        <v/>
      </c>
      <c r="AJ343" s="21" t="n"/>
      <c r="AK343" s="17">
        <f>IF(G343="","",IF(OR(COUNTIFS($G$5:$G$445,G343,$I$5:$I$445,I343,$J$5:$J$445,J343,$P$5:$P$445,P343)&gt;1,AND(AF343&lt;&gt;"",COUNTIF($AF$5:$AF$445,AF343)&gt;1)),"REVISAR_POSIBLE_DUPLICADO",""))</f>
        <v/>
      </c>
    </row>
    <row r="344">
      <c r="A344" s="17" t="inlineStr">
        <is>
          <t>d895d1c7-dc7f-510d-bf61-b17d5ea1d1d8</t>
        </is>
      </c>
      <c r="B344" s="18" t="inlineStr">
        <is>
          <t>NUEVO</t>
        </is>
      </c>
      <c r="C344" s="18" t="inlineStr">
        <is>
          <t>ACTIVO</t>
        </is>
      </c>
      <c r="D344" s="18" t="n"/>
      <c r="E344" s="17" t="n"/>
      <c r="F344" s="17" t="n"/>
      <c r="G344" s="19" t="n"/>
      <c r="H344" s="19" t="n"/>
      <c r="I344" s="20" t="n"/>
      <c r="J344" s="20" t="n"/>
      <c r="K344" s="21" t="n"/>
      <c r="L344" s="18" t="n"/>
      <c r="M344" s="22" t="n"/>
      <c r="N344" s="22" t="n"/>
      <c r="O344" s="23" t="n">
        <v>10</v>
      </c>
      <c r="P344" s="24" t="inlineStr">
        <is>
          <t>UNIDAD</t>
        </is>
      </c>
      <c r="Q344" s="20" t="inlineStr">
        <is>
          <t>NO</t>
        </is>
      </c>
      <c r="R344" s="20" t="inlineStr">
        <is>
          <t>NO</t>
        </is>
      </c>
      <c r="S344" s="25" t="n">
        <v>1</v>
      </c>
      <c r="T344" s="20" t="inlineStr">
        <is>
          <t>NO</t>
        </is>
      </c>
      <c r="U344" s="20" t="n"/>
      <c r="V344" s="21" t="n"/>
      <c r="W344" s="26" t="n"/>
      <c r="X344" s="27" t="n"/>
      <c r="Y344" s="20" t="n"/>
      <c r="Z344" s="20" t="n"/>
      <c r="AA344" s="26">
        <f>IF(X344="","",X344-IF(W344="",0,W344))</f>
        <v/>
      </c>
      <c r="AB344" s="28">
        <f>IF(OR(X344="",M344=""),"",X344*M344)</f>
        <v/>
      </c>
      <c r="AC344" s="28">
        <f>IF(OR(X344="",N344=""),"",X344*N344)</f>
        <v/>
      </c>
      <c r="AD344" s="28">
        <f>IF(OR(M344="",N344=""),"",N344-M344)</f>
        <v/>
      </c>
      <c r="AE344" s="29">
        <f>IFERROR(IF(M344&gt;0,(N344-M344)/M344,""),"")</f>
        <v/>
      </c>
      <c r="AF344" s="30" t="n"/>
      <c r="AG344" s="30" t="inlineStr">
        <is>
          <t>PENDIENTE</t>
        </is>
      </c>
      <c r="AH344" s="18">
        <f>IF(NOT(OR(B344="EXISTENTE",COUNTA(G344,H344,I344,J344,K344,M344,N344,U344,V344,X344,Y344,Z344,AF344,AJ344)&gt;0)),"",IF(AK344&lt;&gt;"","REVISAR",IF(OR(G344="",H344="",M344="",N344="",O344="",P344="",X344=""),"INCOMPLETO",IF(AI344&lt;&gt;"","REVISAR",IF(AND(AF344&lt;&gt;"",AG344="ESCANEADO"),"LISTO_COMPLETO","LISTO_SIN_BARCODE")))))</f>
        <v/>
      </c>
      <c r="AI344" s="17">
        <f>IF(NOT(OR(B344="EXISTENTE",COUNTA(G344,H344,I344,J344,K344,M344,N344,U344,V344,X344,Y344,Z344,AF344,AJ344)&gt;0)),"",TEXTJOIN(" | ",TRUE,IF(A344="","Falta ID staging",""),IF(COUNTIF($A$5:$A$445,A344)&gt;1,"ID staging duplicado",""),IF(G344="","Falta nombre",""),IF(LEN(G344)&gt;150,"Nombre &gt;150 caracteres",""),IF(H344="","Falta categoría",IF(COUNTIF(CategoriasLista,H344)=0,"Categoría inválida","")),IF(M344="","Falta precio compra",IF(OR(NOT(ISNUMBER(M344)),M344&lt;0),"Precio compra inválido","")),IF(N344="","Falta precio venta",IF(OR(NOT(ISNUMBER(N344)),N344&lt;=0,N344&lt;M344),"Precio venta inválido","")),IF(O344="","Falta stock mínimo",IF(OR(NOT(ISNUMBER(O344)),O344&lt;0,MOD(O344,1)&lt;&gt;0),"Stock mínimo inválido","")),IF(P344="","Falta unidad",IF(COUNTIF(UnidadesLista,P344)=0,"Unidad inválida","")),IF(AND(K344&lt;&gt;"",COUNTIF(ProveedoresLista,K344)=0),"Proveedor no catalogado",""),IF(X344="","Falta cantidad contada",IF(OR(NOT(ISNUMBER(X344)),X344&lt;0,ABS(X344*1000-ROUND(X344*1000,0))&gt;0.0000001),"Cantidad inválida",IF(AND(Q344="NO",MOD(X344,1)&lt;&gt;0),"Cantidad fraccionaria no permitida",""))),IF(AND(R344="SI",OR(NOT(ISNUMBER(S344)),S344&lt;1,MOD(S344,1)&lt;&gt;0)),"Empaque inválido",""),IF(OR(AND(AF344="",AG344="ESCANEADO"),AND(AF344&lt;&gt;"",AG344&lt;&gt;"ESCANEADO")),"Barcode/estado inconsistente",""),IF(AK344&lt;&gt;"",AK344,"")))</f>
        <v/>
      </c>
      <c r="AJ344" s="21" t="n"/>
      <c r="AK344" s="17">
        <f>IF(G344="","",IF(OR(COUNTIFS($G$5:$G$445,G344,$I$5:$I$445,I344,$J$5:$J$445,J344,$P$5:$P$445,P344)&gt;1,AND(AF344&lt;&gt;"",COUNTIF($AF$5:$AF$445,AF344)&gt;1)),"REVISAR_POSIBLE_DUPLICADO",""))</f>
        <v/>
      </c>
    </row>
    <row r="345">
      <c r="A345" s="17" t="inlineStr">
        <is>
          <t>328d9436-36d1-5231-b21c-0cd7972237e8</t>
        </is>
      </c>
      <c r="B345" s="18" t="inlineStr">
        <is>
          <t>NUEVO</t>
        </is>
      </c>
      <c r="C345" s="18" t="inlineStr">
        <is>
          <t>ACTIVO</t>
        </is>
      </c>
      <c r="D345" s="18" t="n"/>
      <c r="E345" s="17" t="n"/>
      <c r="F345" s="17" t="n"/>
      <c r="G345" s="19" t="n"/>
      <c r="H345" s="19" t="n"/>
      <c r="I345" s="20" t="n"/>
      <c r="J345" s="20" t="n"/>
      <c r="K345" s="21" t="n"/>
      <c r="L345" s="18" t="n"/>
      <c r="M345" s="22" t="n"/>
      <c r="N345" s="22" t="n"/>
      <c r="O345" s="23" t="n">
        <v>10</v>
      </c>
      <c r="P345" s="24" t="inlineStr">
        <is>
          <t>UNIDAD</t>
        </is>
      </c>
      <c r="Q345" s="20" t="inlineStr">
        <is>
          <t>NO</t>
        </is>
      </c>
      <c r="R345" s="20" t="inlineStr">
        <is>
          <t>NO</t>
        </is>
      </c>
      <c r="S345" s="25" t="n">
        <v>1</v>
      </c>
      <c r="T345" s="20" t="inlineStr">
        <is>
          <t>NO</t>
        </is>
      </c>
      <c r="U345" s="20" t="n"/>
      <c r="V345" s="21" t="n"/>
      <c r="W345" s="26" t="n"/>
      <c r="X345" s="27" t="n"/>
      <c r="Y345" s="20" t="n"/>
      <c r="Z345" s="20" t="n"/>
      <c r="AA345" s="26">
        <f>IF(X345="","",X345-IF(W345="",0,W345))</f>
        <v/>
      </c>
      <c r="AB345" s="28">
        <f>IF(OR(X345="",M345=""),"",X345*M345)</f>
        <v/>
      </c>
      <c r="AC345" s="28">
        <f>IF(OR(X345="",N345=""),"",X345*N345)</f>
        <v/>
      </c>
      <c r="AD345" s="28">
        <f>IF(OR(M345="",N345=""),"",N345-M345)</f>
        <v/>
      </c>
      <c r="AE345" s="29">
        <f>IFERROR(IF(M345&gt;0,(N345-M345)/M345,""),"")</f>
        <v/>
      </c>
      <c r="AF345" s="30" t="n"/>
      <c r="AG345" s="30" t="inlineStr">
        <is>
          <t>PENDIENTE</t>
        </is>
      </c>
      <c r="AH345" s="18">
        <f>IF(NOT(OR(B345="EXISTENTE",COUNTA(G345,H345,I345,J345,K345,M345,N345,U345,V345,X345,Y345,Z345,AF345,AJ345)&gt;0)),"",IF(AK345&lt;&gt;"","REVISAR",IF(OR(G345="",H345="",M345="",N345="",O345="",P345="",X345=""),"INCOMPLETO",IF(AI345&lt;&gt;"","REVISAR",IF(AND(AF345&lt;&gt;"",AG345="ESCANEADO"),"LISTO_COMPLETO","LISTO_SIN_BARCODE")))))</f>
        <v/>
      </c>
      <c r="AI345" s="17">
        <f>IF(NOT(OR(B345="EXISTENTE",COUNTA(G345,H345,I345,J345,K345,M345,N345,U345,V345,X345,Y345,Z345,AF345,AJ345)&gt;0)),"",TEXTJOIN(" | ",TRUE,IF(A345="","Falta ID staging",""),IF(COUNTIF($A$5:$A$445,A345)&gt;1,"ID staging duplicado",""),IF(G345="","Falta nombre",""),IF(LEN(G345)&gt;150,"Nombre &gt;150 caracteres",""),IF(H345="","Falta categoría",IF(COUNTIF(CategoriasLista,H345)=0,"Categoría inválida","")),IF(M345="","Falta precio compra",IF(OR(NOT(ISNUMBER(M345)),M345&lt;0),"Precio compra inválido","")),IF(N345="","Falta precio venta",IF(OR(NOT(ISNUMBER(N345)),N345&lt;=0,N345&lt;M345),"Precio venta inválido","")),IF(O345="","Falta stock mínimo",IF(OR(NOT(ISNUMBER(O345)),O345&lt;0,MOD(O345,1)&lt;&gt;0),"Stock mínimo inválido","")),IF(P345="","Falta unidad",IF(COUNTIF(UnidadesLista,P345)=0,"Unidad inválida","")),IF(AND(K345&lt;&gt;"",COUNTIF(ProveedoresLista,K345)=0),"Proveedor no catalogado",""),IF(X345="","Falta cantidad contada",IF(OR(NOT(ISNUMBER(X345)),X345&lt;0,ABS(X345*1000-ROUND(X345*1000,0))&gt;0.0000001),"Cantidad inválida",IF(AND(Q345="NO",MOD(X345,1)&lt;&gt;0),"Cantidad fraccionaria no permitida",""))),IF(AND(R345="SI",OR(NOT(ISNUMBER(S345)),S345&lt;1,MOD(S345,1)&lt;&gt;0)),"Empaque inválido",""),IF(OR(AND(AF345="",AG345="ESCANEADO"),AND(AF345&lt;&gt;"",AG345&lt;&gt;"ESCANEADO")),"Barcode/estado inconsistente",""),IF(AK345&lt;&gt;"",AK345,"")))</f>
        <v/>
      </c>
      <c r="AJ345" s="21" t="n"/>
      <c r="AK345" s="17">
        <f>IF(G345="","",IF(OR(COUNTIFS($G$5:$G$445,G345,$I$5:$I$445,I345,$J$5:$J$445,J345,$P$5:$P$445,P345)&gt;1,AND(AF345&lt;&gt;"",COUNTIF($AF$5:$AF$445,AF345)&gt;1)),"REVISAR_POSIBLE_DUPLICADO",""))</f>
        <v/>
      </c>
    </row>
    <row r="346">
      <c r="A346" s="17" t="inlineStr">
        <is>
          <t>598b5eee-5106-583a-87ae-6438315a88ff</t>
        </is>
      </c>
      <c r="B346" s="18" t="inlineStr">
        <is>
          <t>NUEVO</t>
        </is>
      </c>
      <c r="C346" s="18" t="inlineStr">
        <is>
          <t>ACTIVO</t>
        </is>
      </c>
      <c r="D346" s="18" t="n"/>
      <c r="E346" s="17" t="n"/>
      <c r="F346" s="17" t="n"/>
      <c r="G346" s="19" t="n"/>
      <c r="H346" s="19" t="n"/>
      <c r="I346" s="20" t="n"/>
      <c r="J346" s="20" t="n"/>
      <c r="K346" s="21" t="n"/>
      <c r="L346" s="18" t="n"/>
      <c r="M346" s="22" t="n"/>
      <c r="N346" s="22" t="n"/>
      <c r="O346" s="23" t="n">
        <v>10</v>
      </c>
      <c r="P346" s="24" t="inlineStr">
        <is>
          <t>UNIDAD</t>
        </is>
      </c>
      <c r="Q346" s="20" t="inlineStr">
        <is>
          <t>NO</t>
        </is>
      </c>
      <c r="R346" s="20" t="inlineStr">
        <is>
          <t>NO</t>
        </is>
      </c>
      <c r="S346" s="25" t="n">
        <v>1</v>
      </c>
      <c r="T346" s="20" t="inlineStr">
        <is>
          <t>NO</t>
        </is>
      </c>
      <c r="U346" s="20" t="n"/>
      <c r="V346" s="21" t="n"/>
      <c r="W346" s="26" t="n"/>
      <c r="X346" s="27" t="n"/>
      <c r="Y346" s="20" t="n"/>
      <c r="Z346" s="20" t="n"/>
      <c r="AA346" s="26">
        <f>IF(X346="","",X346-IF(W346="",0,W346))</f>
        <v/>
      </c>
      <c r="AB346" s="28">
        <f>IF(OR(X346="",M346=""),"",X346*M346)</f>
        <v/>
      </c>
      <c r="AC346" s="28">
        <f>IF(OR(X346="",N346=""),"",X346*N346)</f>
        <v/>
      </c>
      <c r="AD346" s="28">
        <f>IF(OR(M346="",N346=""),"",N346-M346)</f>
        <v/>
      </c>
      <c r="AE346" s="29">
        <f>IFERROR(IF(M346&gt;0,(N346-M346)/M346,""),"")</f>
        <v/>
      </c>
      <c r="AF346" s="30" t="n"/>
      <c r="AG346" s="30" t="inlineStr">
        <is>
          <t>PENDIENTE</t>
        </is>
      </c>
      <c r="AH346" s="18">
        <f>IF(NOT(OR(B346="EXISTENTE",COUNTA(G346,H346,I346,J346,K346,M346,N346,U346,V346,X346,Y346,Z346,AF346,AJ346)&gt;0)),"",IF(AK346&lt;&gt;"","REVISAR",IF(OR(G346="",H346="",M346="",N346="",O346="",P346="",X346=""),"INCOMPLETO",IF(AI346&lt;&gt;"","REVISAR",IF(AND(AF346&lt;&gt;"",AG346="ESCANEADO"),"LISTO_COMPLETO","LISTO_SIN_BARCODE")))))</f>
        <v/>
      </c>
      <c r="AI346" s="17">
        <f>IF(NOT(OR(B346="EXISTENTE",COUNTA(G346,H346,I346,J346,K346,M346,N346,U346,V346,X346,Y346,Z346,AF346,AJ346)&gt;0)),"",TEXTJOIN(" | ",TRUE,IF(A346="","Falta ID staging",""),IF(COUNTIF($A$5:$A$445,A346)&gt;1,"ID staging duplicado",""),IF(G346="","Falta nombre",""),IF(LEN(G346)&gt;150,"Nombre &gt;150 caracteres",""),IF(H346="","Falta categoría",IF(COUNTIF(CategoriasLista,H346)=0,"Categoría inválida","")),IF(M346="","Falta precio compra",IF(OR(NOT(ISNUMBER(M346)),M346&lt;0),"Precio compra inválido","")),IF(N346="","Falta precio venta",IF(OR(NOT(ISNUMBER(N346)),N346&lt;=0,N346&lt;M346),"Precio venta inválido","")),IF(O346="","Falta stock mínimo",IF(OR(NOT(ISNUMBER(O346)),O346&lt;0,MOD(O346,1)&lt;&gt;0),"Stock mínimo inválido","")),IF(P346="","Falta unidad",IF(COUNTIF(UnidadesLista,P346)=0,"Unidad inválida","")),IF(AND(K346&lt;&gt;"",COUNTIF(ProveedoresLista,K346)=0),"Proveedor no catalogado",""),IF(X346="","Falta cantidad contada",IF(OR(NOT(ISNUMBER(X346)),X346&lt;0,ABS(X346*1000-ROUND(X346*1000,0))&gt;0.0000001),"Cantidad inválida",IF(AND(Q346="NO",MOD(X346,1)&lt;&gt;0),"Cantidad fraccionaria no permitida",""))),IF(AND(R346="SI",OR(NOT(ISNUMBER(S346)),S346&lt;1,MOD(S346,1)&lt;&gt;0)),"Empaque inválido",""),IF(OR(AND(AF346="",AG346="ESCANEADO"),AND(AF346&lt;&gt;"",AG346&lt;&gt;"ESCANEADO")),"Barcode/estado inconsistente",""),IF(AK346&lt;&gt;"",AK346,"")))</f>
        <v/>
      </c>
      <c r="AJ346" s="21" t="n"/>
      <c r="AK346" s="17">
        <f>IF(G346="","",IF(OR(COUNTIFS($G$5:$G$445,G346,$I$5:$I$445,I346,$J$5:$J$445,J346,$P$5:$P$445,P346)&gt;1,AND(AF346&lt;&gt;"",COUNTIF($AF$5:$AF$445,AF346)&gt;1)),"REVISAR_POSIBLE_DUPLICADO",""))</f>
        <v/>
      </c>
    </row>
    <row r="347">
      <c r="A347" s="17" t="inlineStr">
        <is>
          <t>a3be8e64-c1b7-5e9f-8f0c-46aea461fdad</t>
        </is>
      </c>
      <c r="B347" s="18" t="inlineStr">
        <is>
          <t>NUEVO</t>
        </is>
      </c>
      <c r="C347" s="18" t="inlineStr">
        <is>
          <t>ACTIVO</t>
        </is>
      </c>
      <c r="D347" s="18" t="n"/>
      <c r="E347" s="17" t="n"/>
      <c r="F347" s="17" t="n"/>
      <c r="G347" s="19" t="n"/>
      <c r="H347" s="19" t="n"/>
      <c r="I347" s="20" t="n"/>
      <c r="J347" s="20" t="n"/>
      <c r="K347" s="21" t="n"/>
      <c r="L347" s="18" t="n"/>
      <c r="M347" s="22" t="n"/>
      <c r="N347" s="22" t="n"/>
      <c r="O347" s="23" t="n">
        <v>10</v>
      </c>
      <c r="P347" s="24" t="inlineStr">
        <is>
          <t>UNIDAD</t>
        </is>
      </c>
      <c r="Q347" s="20" t="inlineStr">
        <is>
          <t>NO</t>
        </is>
      </c>
      <c r="R347" s="20" t="inlineStr">
        <is>
          <t>NO</t>
        </is>
      </c>
      <c r="S347" s="25" t="n">
        <v>1</v>
      </c>
      <c r="T347" s="20" t="inlineStr">
        <is>
          <t>NO</t>
        </is>
      </c>
      <c r="U347" s="20" t="n"/>
      <c r="V347" s="21" t="n"/>
      <c r="W347" s="26" t="n"/>
      <c r="X347" s="27" t="n"/>
      <c r="Y347" s="20" t="n"/>
      <c r="Z347" s="20" t="n"/>
      <c r="AA347" s="26">
        <f>IF(X347="","",X347-IF(W347="",0,W347))</f>
        <v/>
      </c>
      <c r="AB347" s="28">
        <f>IF(OR(X347="",M347=""),"",X347*M347)</f>
        <v/>
      </c>
      <c r="AC347" s="28">
        <f>IF(OR(X347="",N347=""),"",X347*N347)</f>
        <v/>
      </c>
      <c r="AD347" s="28">
        <f>IF(OR(M347="",N347=""),"",N347-M347)</f>
        <v/>
      </c>
      <c r="AE347" s="29">
        <f>IFERROR(IF(M347&gt;0,(N347-M347)/M347,""),"")</f>
        <v/>
      </c>
      <c r="AF347" s="30" t="n"/>
      <c r="AG347" s="30" t="inlineStr">
        <is>
          <t>PENDIENTE</t>
        </is>
      </c>
      <c r="AH347" s="18">
        <f>IF(NOT(OR(B347="EXISTENTE",COUNTA(G347,H347,I347,J347,K347,M347,N347,U347,V347,X347,Y347,Z347,AF347,AJ347)&gt;0)),"",IF(AK347&lt;&gt;"","REVISAR",IF(OR(G347="",H347="",M347="",N347="",O347="",P347="",X347=""),"INCOMPLETO",IF(AI347&lt;&gt;"","REVISAR",IF(AND(AF347&lt;&gt;"",AG347="ESCANEADO"),"LISTO_COMPLETO","LISTO_SIN_BARCODE")))))</f>
        <v/>
      </c>
      <c r="AI347" s="17">
        <f>IF(NOT(OR(B347="EXISTENTE",COUNTA(G347,H347,I347,J347,K347,M347,N347,U347,V347,X347,Y347,Z347,AF347,AJ347)&gt;0)),"",TEXTJOIN(" | ",TRUE,IF(A347="","Falta ID staging",""),IF(COUNTIF($A$5:$A$445,A347)&gt;1,"ID staging duplicado",""),IF(G347="","Falta nombre",""),IF(LEN(G347)&gt;150,"Nombre &gt;150 caracteres",""),IF(H347="","Falta categoría",IF(COUNTIF(CategoriasLista,H347)=0,"Categoría inválida","")),IF(M347="","Falta precio compra",IF(OR(NOT(ISNUMBER(M347)),M347&lt;0),"Precio compra inválido","")),IF(N347="","Falta precio venta",IF(OR(NOT(ISNUMBER(N347)),N347&lt;=0,N347&lt;M347),"Precio venta inválido","")),IF(O347="","Falta stock mínimo",IF(OR(NOT(ISNUMBER(O347)),O347&lt;0,MOD(O347,1)&lt;&gt;0),"Stock mínimo inválido","")),IF(P347="","Falta unidad",IF(COUNTIF(UnidadesLista,P347)=0,"Unidad inválida","")),IF(AND(K347&lt;&gt;"",COUNTIF(ProveedoresLista,K347)=0),"Proveedor no catalogado",""),IF(X347="","Falta cantidad contada",IF(OR(NOT(ISNUMBER(X347)),X347&lt;0,ABS(X347*1000-ROUND(X347*1000,0))&gt;0.0000001),"Cantidad inválida",IF(AND(Q347="NO",MOD(X347,1)&lt;&gt;0),"Cantidad fraccionaria no permitida",""))),IF(AND(R347="SI",OR(NOT(ISNUMBER(S347)),S347&lt;1,MOD(S347,1)&lt;&gt;0)),"Empaque inválido",""),IF(OR(AND(AF347="",AG347="ESCANEADO"),AND(AF347&lt;&gt;"",AG347&lt;&gt;"ESCANEADO")),"Barcode/estado inconsistente",""),IF(AK347&lt;&gt;"",AK347,"")))</f>
        <v/>
      </c>
      <c r="AJ347" s="21" t="n"/>
      <c r="AK347" s="17">
        <f>IF(G347="","",IF(OR(COUNTIFS($G$5:$G$445,G347,$I$5:$I$445,I347,$J$5:$J$445,J347,$P$5:$P$445,P347)&gt;1,AND(AF347&lt;&gt;"",COUNTIF($AF$5:$AF$445,AF347)&gt;1)),"REVISAR_POSIBLE_DUPLICADO",""))</f>
        <v/>
      </c>
    </row>
    <row r="348">
      <c r="A348" s="17" t="inlineStr">
        <is>
          <t>d0688810-e1c7-53e0-9bfc-a1104320b7e0</t>
        </is>
      </c>
      <c r="B348" s="18" t="inlineStr">
        <is>
          <t>NUEVO</t>
        </is>
      </c>
      <c r="C348" s="18" t="inlineStr">
        <is>
          <t>ACTIVO</t>
        </is>
      </c>
      <c r="D348" s="18" t="n"/>
      <c r="E348" s="17" t="n"/>
      <c r="F348" s="17" t="n"/>
      <c r="G348" s="19" t="n"/>
      <c r="H348" s="19" t="n"/>
      <c r="I348" s="20" t="n"/>
      <c r="J348" s="20" t="n"/>
      <c r="K348" s="21" t="n"/>
      <c r="L348" s="18" t="n"/>
      <c r="M348" s="22" t="n"/>
      <c r="N348" s="22" t="n"/>
      <c r="O348" s="23" t="n">
        <v>10</v>
      </c>
      <c r="P348" s="24" t="inlineStr">
        <is>
          <t>UNIDAD</t>
        </is>
      </c>
      <c r="Q348" s="20" t="inlineStr">
        <is>
          <t>NO</t>
        </is>
      </c>
      <c r="R348" s="20" t="inlineStr">
        <is>
          <t>NO</t>
        </is>
      </c>
      <c r="S348" s="25" t="n">
        <v>1</v>
      </c>
      <c r="T348" s="20" t="inlineStr">
        <is>
          <t>NO</t>
        </is>
      </c>
      <c r="U348" s="20" t="n"/>
      <c r="V348" s="21" t="n"/>
      <c r="W348" s="26" t="n"/>
      <c r="X348" s="27" t="n"/>
      <c r="Y348" s="20" t="n"/>
      <c r="Z348" s="20" t="n"/>
      <c r="AA348" s="26">
        <f>IF(X348="","",X348-IF(W348="",0,W348))</f>
        <v/>
      </c>
      <c r="AB348" s="28">
        <f>IF(OR(X348="",M348=""),"",X348*M348)</f>
        <v/>
      </c>
      <c r="AC348" s="28">
        <f>IF(OR(X348="",N348=""),"",X348*N348)</f>
        <v/>
      </c>
      <c r="AD348" s="28">
        <f>IF(OR(M348="",N348=""),"",N348-M348)</f>
        <v/>
      </c>
      <c r="AE348" s="29">
        <f>IFERROR(IF(M348&gt;0,(N348-M348)/M348,""),"")</f>
        <v/>
      </c>
      <c r="AF348" s="30" t="n"/>
      <c r="AG348" s="30" t="inlineStr">
        <is>
          <t>PENDIENTE</t>
        </is>
      </c>
      <c r="AH348" s="18">
        <f>IF(NOT(OR(B348="EXISTENTE",COUNTA(G348,H348,I348,J348,K348,M348,N348,U348,V348,X348,Y348,Z348,AF348,AJ348)&gt;0)),"",IF(AK348&lt;&gt;"","REVISAR",IF(OR(G348="",H348="",M348="",N348="",O348="",P348="",X348=""),"INCOMPLETO",IF(AI348&lt;&gt;"","REVISAR",IF(AND(AF348&lt;&gt;"",AG348="ESCANEADO"),"LISTO_COMPLETO","LISTO_SIN_BARCODE")))))</f>
        <v/>
      </c>
      <c r="AI348" s="17">
        <f>IF(NOT(OR(B348="EXISTENTE",COUNTA(G348,H348,I348,J348,K348,M348,N348,U348,V348,X348,Y348,Z348,AF348,AJ348)&gt;0)),"",TEXTJOIN(" | ",TRUE,IF(A348="","Falta ID staging",""),IF(COUNTIF($A$5:$A$445,A348)&gt;1,"ID staging duplicado",""),IF(G348="","Falta nombre",""),IF(LEN(G348)&gt;150,"Nombre &gt;150 caracteres",""),IF(H348="","Falta categoría",IF(COUNTIF(CategoriasLista,H348)=0,"Categoría inválida","")),IF(M348="","Falta precio compra",IF(OR(NOT(ISNUMBER(M348)),M348&lt;0),"Precio compra inválido","")),IF(N348="","Falta precio venta",IF(OR(NOT(ISNUMBER(N348)),N348&lt;=0,N348&lt;M348),"Precio venta inválido","")),IF(O348="","Falta stock mínimo",IF(OR(NOT(ISNUMBER(O348)),O348&lt;0,MOD(O348,1)&lt;&gt;0),"Stock mínimo inválido","")),IF(P348="","Falta unidad",IF(COUNTIF(UnidadesLista,P348)=0,"Unidad inválida","")),IF(AND(K348&lt;&gt;"",COUNTIF(ProveedoresLista,K348)=0),"Proveedor no catalogado",""),IF(X348="","Falta cantidad contada",IF(OR(NOT(ISNUMBER(X348)),X348&lt;0,ABS(X348*1000-ROUND(X348*1000,0))&gt;0.0000001),"Cantidad inválida",IF(AND(Q348="NO",MOD(X348,1)&lt;&gt;0),"Cantidad fraccionaria no permitida",""))),IF(AND(R348="SI",OR(NOT(ISNUMBER(S348)),S348&lt;1,MOD(S348,1)&lt;&gt;0)),"Empaque inválido",""),IF(OR(AND(AF348="",AG348="ESCANEADO"),AND(AF348&lt;&gt;"",AG348&lt;&gt;"ESCANEADO")),"Barcode/estado inconsistente",""),IF(AK348&lt;&gt;"",AK348,"")))</f>
        <v/>
      </c>
      <c r="AJ348" s="21" t="n"/>
      <c r="AK348" s="17">
        <f>IF(G348="","",IF(OR(COUNTIFS($G$5:$G$445,G348,$I$5:$I$445,I348,$J$5:$J$445,J348,$P$5:$P$445,P348)&gt;1,AND(AF348&lt;&gt;"",COUNTIF($AF$5:$AF$445,AF348)&gt;1)),"REVISAR_POSIBLE_DUPLICADO",""))</f>
        <v/>
      </c>
    </row>
    <row r="349">
      <c r="A349" s="17" t="inlineStr">
        <is>
          <t>f5d9e32a-b90b-5af5-bde2-a034385ed1c6</t>
        </is>
      </c>
      <c r="B349" s="18" t="inlineStr">
        <is>
          <t>NUEVO</t>
        </is>
      </c>
      <c r="C349" s="18" t="inlineStr">
        <is>
          <t>ACTIVO</t>
        </is>
      </c>
      <c r="D349" s="18" t="n"/>
      <c r="E349" s="17" t="n"/>
      <c r="F349" s="17" t="n"/>
      <c r="G349" s="19" t="n"/>
      <c r="H349" s="19" t="n"/>
      <c r="I349" s="20" t="n"/>
      <c r="J349" s="20" t="n"/>
      <c r="K349" s="21" t="n"/>
      <c r="L349" s="18" t="n"/>
      <c r="M349" s="22" t="n"/>
      <c r="N349" s="22" t="n"/>
      <c r="O349" s="23" t="n">
        <v>10</v>
      </c>
      <c r="P349" s="24" t="inlineStr">
        <is>
          <t>UNIDAD</t>
        </is>
      </c>
      <c r="Q349" s="20" t="inlineStr">
        <is>
          <t>NO</t>
        </is>
      </c>
      <c r="R349" s="20" t="inlineStr">
        <is>
          <t>NO</t>
        </is>
      </c>
      <c r="S349" s="25" t="n">
        <v>1</v>
      </c>
      <c r="T349" s="20" t="inlineStr">
        <is>
          <t>NO</t>
        </is>
      </c>
      <c r="U349" s="20" t="n"/>
      <c r="V349" s="21" t="n"/>
      <c r="W349" s="26" t="n"/>
      <c r="X349" s="27" t="n"/>
      <c r="Y349" s="20" t="n"/>
      <c r="Z349" s="20" t="n"/>
      <c r="AA349" s="26">
        <f>IF(X349="","",X349-IF(W349="",0,W349))</f>
        <v/>
      </c>
      <c r="AB349" s="28">
        <f>IF(OR(X349="",M349=""),"",X349*M349)</f>
        <v/>
      </c>
      <c r="AC349" s="28">
        <f>IF(OR(X349="",N349=""),"",X349*N349)</f>
        <v/>
      </c>
      <c r="AD349" s="28">
        <f>IF(OR(M349="",N349=""),"",N349-M349)</f>
        <v/>
      </c>
      <c r="AE349" s="29">
        <f>IFERROR(IF(M349&gt;0,(N349-M349)/M349,""),"")</f>
        <v/>
      </c>
      <c r="AF349" s="30" t="n"/>
      <c r="AG349" s="30" t="inlineStr">
        <is>
          <t>PENDIENTE</t>
        </is>
      </c>
      <c r="AH349" s="18">
        <f>IF(NOT(OR(B349="EXISTENTE",COUNTA(G349,H349,I349,J349,K349,M349,N349,U349,V349,X349,Y349,Z349,AF349,AJ349)&gt;0)),"",IF(AK349&lt;&gt;"","REVISAR",IF(OR(G349="",H349="",M349="",N349="",O349="",P349="",X349=""),"INCOMPLETO",IF(AI349&lt;&gt;"","REVISAR",IF(AND(AF349&lt;&gt;"",AG349="ESCANEADO"),"LISTO_COMPLETO","LISTO_SIN_BARCODE")))))</f>
        <v/>
      </c>
      <c r="AI349" s="17">
        <f>IF(NOT(OR(B349="EXISTENTE",COUNTA(G349,H349,I349,J349,K349,M349,N349,U349,V349,X349,Y349,Z349,AF349,AJ349)&gt;0)),"",TEXTJOIN(" | ",TRUE,IF(A349="","Falta ID staging",""),IF(COUNTIF($A$5:$A$445,A349)&gt;1,"ID staging duplicado",""),IF(G349="","Falta nombre",""),IF(LEN(G349)&gt;150,"Nombre &gt;150 caracteres",""),IF(H349="","Falta categoría",IF(COUNTIF(CategoriasLista,H349)=0,"Categoría inválida","")),IF(M349="","Falta precio compra",IF(OR(NOT(ISNUMBER(M349)),M349&lt;0),"Precio compra inválido","")),IF(N349="","Falta precio venta",IF(OR(NOT(ISNUMBER(N349)),N349&lt;=0,N349&lt;M349),"Precio venta inválido","")),IF(O349="","Falta stock mínimo",IF(OR(NOT(ISNUMBER(O349)),O349&lt;0,MOD(O349,1)&lt;&gt;0),"Stock mínimo inválido","")),IF(P349="","Falta unidad",IF(COUNTIF(UnidadesLista,P349)=0,"Unidad inválida","")),IF(AND(K349&lt;&gt;"",COUNTIF(ProveedoresLista,K349)=0),"Proveedor no catalogado",""),IF(X349="","Falta cantidad contada",IF(OR(NOT(ISNUMBER(X349)),X349&lt;0,ABS(X349*1000-ROUND(X349*1000,0))&gt;0.0000001),"Cantidad inválida",IF(AND(Q349="NO",MOD(X349,1)&lt;&gt;0),"Cantidad fraccionaria no permitida",""))),IF(AND(R349="SI",OR(NOT(ISNUMBER(S349)),S349&lt;1,MOD(S349,1)&lt;&gt;0)),"Empaque inválido",""),IF(OR(AND(AF349="",AG349="ESCANEADO"),AND(AF349&lt;&gt;"",AG349&lt;&gt;"ESCANEADO")),"Barcode/estado inconsistente",""),IF(AK349&lt;&gt;"",AK349,"")))</f>
        <v/>
      </c>
      <c r="AJ349" s="21" t="n"/>
      <c r="AK349" s="17">
        <f>IF(G349="","",IF(OR(COUNTIFS($G$5:$G$445,G349,$I$5:$I$445,I349,$J$5:$J$445,J349,$P$5:$P$445,P349)&gt;1,AND(AF349&lt;&gt;"",COUNTIF($AF$5:$AF$445,AF349)&gt;1)),"REVISAR_POSIBLE_DUPLICADO",""))</f>
        <v/>
      </c>
    </row>
    <row r="350">
      <c r="A350" s="17" t="inlineStr">
        <is>
          <t>4a36e089-6a3f-5f25-9ccc-f5398aec2d0e</t>
        </is>
      </c>
      <c r="B350" s="18" t="inlineStr">
        <is>
          <t>NUEVO</t>
        </is>
      </c>
      <c r="C350" s="18" t="inlineStr">
        <is>
          <t>ACTIVO</t>
        </is>
      </c>
      <c r="D350" s="18" t="n"/>
      <c r="E350" s="17" t="n"/>
      <c r="F350" s="17" t="n"/>
      <c r="G350" s="19" t="n"/>
      <c r="H350" s="19" t="n"/>
      <c r="I350" s="20" t="n"/>
      <c r="J350" s="20" t="n"/>
      <c r="K350" s="21" t="n"/>
      <c r="L350" s="18" t="n"/>
      <c r="M350" s="22" t="n"/>
      <c r="N350" s="22" t="n"/>
      <c r="O350" s="23" t="n">
        <v>10</v>
      </c>
      <c r="P350" s="24" t="inlineStr">
        <is>
          <t>UNIDAD</t>
        </is>
      </c>
      <c r="Q350" s="20" t="inlineStr">
        <is>
          <t>NO</t>
        </is>
      </c>
      <c r="R350" s="20" t="inlineStr">
        <is>
          <t>NO</t>
        </is>
      </c>
      <c r="S350" s="25" t="n">
        <v>1</v>
      </c>
      <c r="T350" s="20" t="inlineStr">
        <is>
          <t>NO</t>
        </is>
      </c>
      <c r="U350" s="20" t="n"/>
      <c r="V350" s="21" t="n"/>
      <c r="W350" s="26" t="n"/>
      <c r="X350" s="27" t="n"/>
      <c r="Y350" s="20" t="n"/>
      <c r="Z350" s="20" t="n"/>
      <c r="AA350" s="26">
        <f>IF(X350="","",X350-IF(W350="",0,W350))</f>
        <v/>
      </c>
      <c r="AB350" s="28">
        <f>IF(OR(X350="",M350=""),"",X350*M350)</f>
        <v/>
      </c>
      <c r="AC350" s="28">
        <f>IF(OR(X350="",N350=""),"",X350*N350)</f>
        <v/>
      </c>
      <c r="AD350" s="28">
        <f>IF(OR(M350="",N350=""),"",N350-M350)</f>
        <v/>
      </c>
      <c r="AE350" s="29">
        <f>IFERROR(IF(M350&gt;0,(N350-M350)/M350,""),"")</f>
        <v/>
      </c>
      <c r="AF350" s="30" t="n"/>
      <c r="AG350" s="30" t="inlineStr">
        <is>
          <t>PENDIENTE</t>
        </is>
      </c>
      <c r="AH350" s="18">
        <f>IF(NOT(OR(B350="EXISTENTE",COUNTA(G350,H350,I350,J350,K350,M350,N350,U350,V350,X350,Y350,Z350,AF350,AJ350)&gt;0)),"",IF(AK350&lt;&gt;"","REVISAR",IF(OR(G350="",H350="",M350="",N350="",O350="",P350="",X350=""),"INCOMPLETO",IF(AI350&lt;&gt;"","REVISAR",IF(AND(AF350&lt;&gt;"",AG350="ESCANEADO"),"LISTO_COMPLETO","LISTO_SIN_BARCODE")))))</f>
        <v/>
      </c>
      <c r="AI350" s="17">
        <f>IF(NOT(OR(B350="EXISTENTE",COUNTA(G350,H350,I350,J350,K350,M350,N350,U350,V350,X350,Y350,Z350,AF350,AJ350)&gt;0)),"",TEXTJOIN(" | ",TRUE,IF(A350="","Falta ID staging",""),IF(COUNTIF($A$5:$A$445,A350)&gt;1,"ID staging duplicado",""),IF(G350="","Falta nombre",""),IF(LEN(G350)&gt;150,"Nombre &gt;150 caracteres",""),IF(H350="","Falta categoría",IF(COUNTIF(CategoriasLista,H350)=0,"Categoría inválida","")),IF(M350="","Falta precio compra",IF(OR(NOT(ISNUMBER(M350)),M350&lt;0),"Precio compra inválido","")),IF(N350="","Falta precio venta",IF(OR(NOT(ISNUMBER(N350)),N350&lt;=0,N350&lt;M350),"Precio venta inválido","")),IF(O350="","Falta stock mínimo",IF(OR(NOT(ISNUMBER(O350)),O350&lt;0,MOD(O350,1)&lt;&gt;0),"Stock mínimo inválido","")),IF(P350="","Falta unidad",IF(COUNTIF(UnidadesLista,P350)=0,"Unidad inválida","")),IF(AND(K350&lt;&gt;"",COUNTIF(ProveedoresLista,K350)=0),"Proveedor no catalogado",""),IF(X350="","Falta cantidad contada",IF(OR(NOT(ISNUMBER(X350)),X350&lt;0,ABS(X350*1000-ROUND(X350*1000,0))&gt;0.0000001),"Cantidad inválida",IF(AND(Q350="NO",MOD(X350,1)&lt;&gt;0),"Cantidad fraccionaria no permitida",""))),IF(AND(R350="SI",OR(NOT(ISNUMBER(S350)),S350&lt;1,MOD(S350,1)&lt;&gt;0)),"Empaque inválido",""),IF(OR(AND(AF350="",AG350="ESCANEADO"),AND(AF350&lt;&gt;"",AG350&lt;&gt;"ESCANEADO")),"Barcode/estado inconsistente",""),IF(AK350&lt;&gt;"",AK350,"")))</f>
        <v/>
      </c>
      <c r="AJ350" s="21" t="n"/>
      <c r="AK350" s="17">
        <f>IF(G350="","",IF(OR(COUNTIFS($G$5:$G$445,G350,$I$5:$I$445,I350,$J$5:$J$445,J350,$P$5:$P$445,P350)&gt;1,AND(AF350&lt;&gt;"",COUNTIF($AF$5:$AF$445,AF350)&gt;1)),"REVISAR_POSIBLE_DUPLICADO",""))</f>
        <v/>
      </c>
    </row>
    <row r="351">
      <c r="A351" s="17" t="inlineStr">
        <is>
          <t>78a5edd0-eb77-52a6-89b6-46662a867ff3</t>
        </is>
      </c>
      <c r="B351" s="18" t="inlineStr">
        <is>
          <t>NUEVO</t>
        </is>
      </c>
      <c r="C351" s="18" t="inlineStr">
        <is>
          <t>ACTIVO</t>
        </is>
      </c>
      <c r="D351" s="18" t="n"/>
      <c r="E351" s="17" t="n"/>
      <c r="F351" s="17" t="n"/>
      <c r="G351" s="19" t="n"/>
      <c r="H351" s="19" t="n"/>
      <c r="I351" s="20" t="n"/>
      <c r="J351" s="20" t="n"/>
      <c r="K351" s="21" t="n"/>
      <c r="L351" s="18" t="n"/>
      <c r="M351" s="22" t="n"/>
      <c r="N351" s="22" t="n"/>
      <c r="O351" s="23" t="n">
        <v>10</v>
      </c>
      <c r="P351" s="24" t="inlineStr">
        <is>
          <t>UNIDAD</t>
        </is>
      </c>
      <c r="Q351" s="20" t="inlineStr">
        <is>
          <t>NO</t>
        </is>
      </c>
      <c r="R351" s="20" t="inlineStr">
        <is>
          <t>NO</t>
        </is>
      </c>
      <c r="S351" s="25" t="n">
        <v>1</v>
      </c>
      <c r="T351" s="20" t="inlineStr">
        <is>
          <t>NO</t>
        </is>
      </c>
      <c r="U351" s="20" t="n"/>
      <c r="V351" s="21" t="n"/>
      <c r="W351" s="26" t="n"/>
      <c r="X351" s="27" t="n"/>
      <c r="Y351" s="20" t="n"/>
      <c r="Z351" s="20" t="n"/>
      <c r="AA351" s="26">
        <f>IF(X351="","",X351-IF(W351="",0,W351))</f>
        <v/>
      </c>
      <c r="AB351" s="28">
        <f>IF(OR(X351="",M351=""),"",X351*M351)</f>
        <v/>
      </c>
      <c r="AC351" s="28">
        <f>IF(OR(X351="",N351=""),"",X351*N351)</f>
        <v/>
      </c>
      <c r="AD351" s="28">
        <f>IF(OR(M351="",N351=""),"",N351-M351)</f>
        <v/>
      </c>
      <c r="AE351" s="29">
        <f>IFERROR(IF(M351&gt;0,(N351-M351)/M351,""),"")</f>
        <v/>
      </c>
      <c r="AF351" s="30" t="n"/>
      <c r="AG351" s="30" t="inlineStr">
        <is>
          <t>PENDIENTE</t>
        </is>
      </c>
      <c r="AH351" s="18">
        <f>IF(NOT(OR(B351="EXISTENTE",COUNTA(G351,H351,I351,J351,K351,M351,N351,U351,V351,X351,Y351,Z351,AF351,AJ351)&gt;0)),"",IF(AK351&lt;&gt;"","REVISAR",IF(OR(G351="",H351="",M351="",N351="",O351="",P351="",X351=""),"INCOMPLETO",IF(AI351&lt;&gt;"","REVISAR",IF(AND(AF351&lt;&gt;"",AG351="ESCANEADO"),"LISTO_COMPLETO","LISTO_SIN_BARCODE")))))</f>
        <v/>
      </c>
      <c r="AI351" s="17">
        <f>IF(NOT(OR(B351="EXISTENTE",COUNTA(G351,H351,I351,J351,K351,M351,N351,U351,V351,X351,Y351,Z351,AF351,AJ351)&gt;0)),"",TEXTJOIN(" | ",TRUE,IF(A351="","Falta ID staging",""),IF(COUNTIF($A$5:$A$445,A351)&gt;1,"ID staging duplicado",""),IF(G351="","Falta nombre",""),IF(LEN(G351)&gt;150,"Nombre &gt;150 caracteres",""),IF(H351="","Falta categoría",IF(COUNTIF(CategoriasLista,H351)=0,"Categoría inválida","")),IF(M351="","Falta precio compra",IF(OR(NOT(ISNUMBER(M351)),M351&lt;0),"Precio compra inválido","")),IF(N351="","Falta precio venta",IF(OR(NOT(ISNUMBER(N351)),N351&lt;=0,N351&lt;M351),"Precio venta inválido","")),IF(O351="","Falta stock mínimo",IF(OR(NOT(ISNUMBER(O351)),O351&lt;0,MOD(O351,1)&lt;&gt;0),"Stock mínimo inválido","")),IF(P351="","Falta unidad",IF(COUNTIF(UnidadesLista,P351)=0,"Unidad inválida","")),IF(AND(K351&lt;&gt;"",COUNTIF(ProveedoresLista,K351)=0),"Proveedor no catalogado",""),IF(X351="","Falta cantidad contada",IF(OR(NOT(ISNUMBER(X351)),X351&lt;0,ABS(X351*1000-ROUND(X351*1000,0))&gt;0.0000001),"Cantidad inválida",IF(AND(Q351="NO",MOD(X351,1)&lt;&gt;0),"Cantidad fraccionaria no permitida",""))),IF(AND(R351="SI",OR(NOT(ISNUMBER(S351)),S351&lt;1,MOD(S351,1)&lt;&gt;0)),"Empaque inválido",""),IF(OR(AND(AF351="",AG351="ESCANEADO"),AND(AF351&lt;&gt;"",AG351&lt;&gt;"ESCANEADO")),"Barcode/estado inconsistente",""),IF(AK351&lt;&gt;"",AK351,"")))</f>
        <v/>
      </c>
      <c r="AJ351" s="21" t="n"/>
      <c r="AK351" s="17">
        <f>IF(G351="","",IF(OR(COUNTIFS($G$5:$G$445,G351,$I$5:$I$445,I351,$J$5:$J$445,J351,$P$5:$P$445,P351)&gt;1,AND(AF351&lt;&gt;"",COUNTIF($AF$5:$AF$445,AF351)&gt;1)),"REVISAR_POSIBLE_DUPLICADO",""))</f>
        <v/>
      </c>
    </row>
    <row r="352">
      <c r="A352" s="17" t="inlineStr">
        <is>
          <t>6ce8c3d7-c582-553f-a03a-bcf6c4a6fae6</t>
        </is>
      </c>
      <c r="B352" s="18" t="inlineStr">
        <is>
          <t>NUEVO</t>
        </is>
      </c>
      <c r="C352" s="18" t="inlineStr">
        <is>
          <t>ACTIVO</t>
        </is>
      </c>
      <c r="D352" s="18" t="n"/>
      <c r="E352" s="17" t="n"/>
      <c r="F352" s="17" t="n"/>
      <c r="G352" s="19" t="n"/>
      <c r="H352" s="19" t="n"/>
      <c r="I352" s="20" t="n"/>
      <c r="J352" s="20" t="n"/>
      <c r="K352" s="21" t="n"/>
      <c r="L352" s="18" t="n"/>
      <c r="M352" s="22" t="n"/>
      <c r="N352" s="22" t="n"/>
      <c r="O352" s="23" t="n">
        <v>10</v>
      </c>
      <c r="P352" s="24" t="inlineStr">
        <is>
          <t>UNIDAD</t>
        </is>
      </c>
      <c r="Q352" s="20" t="inlineStr">
        <is>
          <t>NO</t>
        </is>
      </c>
      <c r="R352" s="20" t="inlineStr">
        <is>
          <t>NO</t>
        </is>
      </c>
      <c r="S352" s="25" t="n">
        <v>1</v>
      </c>
      <c r="T352" s="20" t="inlineStr">
        <is>
          <t>NO</t>
        </is>
      </c>
      <c r="U352" s="20" t="n"/>
      <c r="V352" s="21" t="n"/>
      <c r="W352" s="26" t="n"/>
      <c r="X352" s="27" t="n"/>
      <c r="Y352" s="20" t="n"/>
      <c r="Z352" s="20" t="n"/>
      <c r="AA352" s="26">
        <f>IF(X352="","",X352-IF(W352="",0,W352))</f>
        <v/>
      </c>
      <c r="AB352" s="28">
        <f>IF(OR(X352="",M352=""),"",X352*M352)</f>
        <v/>
      </c>
      <c r="AC352" s="28">
        <f>IF(OR(X352="",N352=""),"",X352*N352)</f>
        <v/>
      </c>
      <c r="AD352" s="28">
        <f>IF(OR(M352="",N352=""),"",N352-M352)</f>
        <v/>
      </c>
      <c r="AE352" s="29">
        <f>IFERROR(IF(M352&gt;0,(N352-M352)/M352,""),"")</f>
        <v/>
      </c>
      <c r="AF352" s="30" t="n"/>
      <c r="AG352" s="30" t="inlineStr">
        <is>
          <t>PENDIENTE</t>
        </is>
      </c>
      <c r="AH352" s="18">
        <f>IF(NOT(OR(B352="EXISTENTE",COUNTA(G352,H352,I352,J352,K352,M352,N352,U352,V352,X352,Y352,Z352,AF352,AJ352)&gt;0)),"",IF(AK352&lt;&gt;"","REVISAR",IF(OR(G352="",H352="",M352="",N352="",O352="",P352="",X352=""),"INCOMPLETO",IF(AI352&lt;&gt;"","REVISAR",IF(AND(AF352&lt;&gt;"",AG352="ESCANEADO"),"LISTO_COMPLETO","LISTO_SIN_BARCODE")))))</f>
        <v/>
      </c>
      <c r="AI352" s="17">
        <f>IF(NOT(OR(B352="EXISTENTE",COUNTA(G352,H352,I352,J352,K352,M352,N352,U352,V352,X352,Y352,Z352,AF352,AJ352)&gt;0)),"",TEXTJOIN(" | ",TRUE,IF(A352="","Falta ID staging",""),IF(COUNTIF($A$5:$A$445,A352)&gt;1,"ID staging duplicado",""),IF(G352="","Falta nombre",""),IF(LEN(G352)&gt;150,"Nombre &gt;150 caracteres",""),IF(H352="","Falta categoría",IF(COUNTIF(CategoriasLista,H352)=0,"Categoría inválida","")),IF(M352="","Falta precio compra",IF(OR(NOT(ISNUMBER(M352)),M352&lt;0),"Precio compra inválido","")),IF(N352="","Falta precio venta",IF(OR(NOT(ISNUMBER(N352)),N352&lt;=0,N352&lt;M352),"Precio venta inválido","")),IF(O352="","Falta stock mínimo",IF(OR(NOT(ISNUMBER(O352)),O352&lt;0,MOD(O352,1)&lt;&gt;0),"Stock mínimo inválido","")),IF(P352="","Falta unidad",IF(COUNTIF(UnidadesLista,P352)=0,"Unidad inválida","")),IF(AND(K352&lt;&gt;"",COUNTIF(ProveedoresLista,K352)=0),"Proveedor no catalogado",""),IF(X352="","Falta cantidad contada",IF(OR(NOT(ISNUMBER(X352)),X352&lt;0,ABS(X352*1000-ROUND(X352*1000,0))&gt;0.0000001),"Cantidad inválida",IF(AND(Q352="NO",MOD(X352,1)&lt;&gt;0),"Cantidad fraccionaria no permitida",""))),IF(AND(R352="SI",OR(NOT(ISNUMBER(S352)),S352&lt;1,MOD(S352,1)&lt;&gt;0)),"Empaque inválido",""),IF(OR(AND(AF352="",AG352="ESCANEADO"),AND(AF352&lt;&gt;"",AG352&lt;&gt;"ESCANEADO")),"Barcode/estado inconsistente",""),IF(AK352&lt;&gt;"",AK352,"")))</f>
        <v/>
      </c>
      <c r="AJ352" s="21" t="n"/>
      <c r="AK352" s="17">
        <f>IF(G352="","",IF(OR(COUNTIFS($G$5:$G$445,G352,$I$5:$I$445,I352,$J$5:$J$445,J352,$P$5:$P$445,P352)&gt;1,AND(AF352&lt;&gt;"",COUNTIF($AF$5:$AF$445,AF352)&gt;1)),"REVISAR_POSIBLE_DUPLICADO",""))</f>
        <v/>
      </c>
    </row>
    <row r="353">
      <c r="A353" s="17" t="inlineStr">
        <is>
          <t>6e394046-cb36-5375-a616-bd98df07771c</t>
        </is>
      </c>
      <c r="B353" s="18" t="inlineStr">
        <is>
          <t>NUEVO</t>
        </is>
      </c>
      <c r="C353" s="18" t="inlineStr">
        <is>
          <t>ACTIVO</t>
        </is>
      </c>
      <c r="D353" s="18" t="n"/>
      <c r="E353" s="17" t="n"/>
      <c r="F353" s="17" t="n"/>
      <c r="G353" s="19" t="n"/>
      <c r="H353" s="19" t="n"/>
      <c r="I353" s="20" t="n"/>
      <c r="J353" s="20" t="n"/>
      <c r="K353" s="21" t="n"/>
      <c r="L353" s="18" t="n"/>
      <c r="M353" s="22" t="n"/>
      <c r="N353" s="22" t="n"/>
      <c r="O353" s="23" t="n">
        <v>10</v>
      </c>
      <c r="P353" s="24" t="inlineStr">
        <is>
          <t>UNIDAD</t>
        </is>
      </c>
      <c r="Q353" s="20" t="inlineStr">
        <is>
          <t>NO</t>
        </is>
      </c>
      <c r="R353" s="20" t="inlineStr">
        <is>
          <t>NO</t>
        </is>
      </c>
      <c r="S353" s="25" t="n">
        <v>1</v>
      </c>
      <c r="T353" s="20" t="inlineStr">
        <is>
          <t>NO</t>
        </is>
      </c>
      <c r="U353" s="20" t="n"/>
      <c r="V353" s="21" t="n"/>
      <c r="W353" s="26" t="n"/>
      <c r="X353" s="27" t="n"/>
      <c r="Y353" s="20" t="n"/>
      <c r="Z353" s="20" t="n"/>
      <c r="AA353" s="26">
        <f>IF(X353="","",X353-IF(W353="",0,W353))</f>
        <v/>
      </c>
      <c r="AB353" s="28">
        <f>IF(OR(X353="",M353=""),"",X353*M353)</f>
        <v/>
      </c>
      <c r="AC353" s="28">
        <f>IF(OR(X353="",N353=""),"",X353*N353)</f>
        <v/>
      </c>
      <c r="AD353" s="28">
        <f>IF(OR(M353="",N353=""),"",N353-M353)</f>
        <v/>
      </c>
      <c r="AE353" s="29">
        <f>IFERROR(IF(M353&gt;0,(N353-M353)/M353,""),"")</f>
        <v/>
      </c>
      <c r="AF353" s="30" t="n"/>
      <c r="AG353" s="30" t="inlineStr">
        <is>
          <t>PENDIENTE</t>
        </is>
      </c>
      <c r="AH353" s="18">
        <f>IF(NOT(OR(B353="EXISTENTE",COUNTA(G353,H353,I353,J353,K353,M353,N353,U353,V353,X353,Y353,Z353,AF353,AJ353)&gt;0)),"",IF(AK353&lt;&gt;"","REVISAR",IF(OR(G353="",H353="",M353="",N353="",O353="",P353="",X353=""),"INCOMPLETO",IF(AI353&lt;&gt;"","REVISAR",IF(AND(AF353&lt;&gt;"",AG353="ESCANEADO"),"LISTO_COMPLETO","LISTO_SIN_BARCODE")))))</f>
        <v/>
      </c>
      <c r="AI353" s="17">
        <f>IF(NOT(OR(B353="EXISTENTE",COUNTA(G353,H353,I353,J353,K353,M353,N353,U353,V353,X353,Y353,Z353,AF353,AJ353)&gt;0)),"",TEXTJOIN(" | ",TRUE,IF(A353="","Falta ID staging",""),IF(COUNTIF($A$5:$A$445,A353)&gt;1,"ID staging duplicado",""),IF(G353="","Falta nombre",""),IF(LEN(G353)&gt;150,"Nombre &gt;150 caracteres",""),IF(H353="","Falta categoría",IF(COUNTIF(CategoriasLista,H353)=0,"Categoría inválida","")),IF(M353="","Falta precio compra",IF(OR(NOT(ISNUMBER(M353)),M353&lt;0),"Precio compra inválido","")),IF(N353="","Falta precio venta",IF(OR(NOT(ISNUMBER(N353)),N353&lt;=0,N353&lt;M353),"Precio venta inválido","")),IF(O353="","Falta stock mínimo",IF(OR(NOT(ISNUMBER(O353)),O353&lt;0,MOD(O353,1)&lt;&gt;0),"Stock mínimo inválido","")),IF(P353="","Falta unidad",IF(COUNTIF(UnidadesLista,P353)=0,"Unidad inválida","")),IF(AND(K353&lt;&gt;"",COUNTIF(ProveedoresLista,K353)=0),"Proveedor no catalogado",""),IF(X353="","Falta cantidad contada",IF(OR(NOT(ISNUMBER(X353)),X353&lt;0,ABS(X353*1000-ROUND(X353*1000,0))&gt;0.0000001),"Cantidad inválida",IF(AND(Q353="NO",MOD(X353,1)&lt;&gt;0),"Cantidad fraccionaria no permitida",""))),IF(AND(R353="SI",OR(NOT(ISNUMBER(S353)),S353&lt;1,MOD(S353,1)&lt;&gt;0)),"Empaque inválido",""),IF(OR(AND(AF353="",AG353="ESCANEADO"),AND(AF353&lt;&gt;"",AG353&lt;&gt;"ESCANEADO")),"Barcode/estado inconsistente",""),IF(AK353&lt;&gt;"",AK353,"")))</f>
        <v/>
      </c>
      <c r="AJ353" s="21" t="n"/>
      <c r="AK353" s="17">
        <f>IF(G353="","",IF(OR(COUNTIFS($G$5:$G$445,G353,$I$5:$I$445,I353,$J$5:$J$445,J353,$P$5:$P$445,P353)&gt;1,AND(AF353&lt;&gt;"",COUNTIF($AF$5:$AF$445,AF353)&gt;1)),"REVISAR_POSIBLE_DUPLICADO",""))</f>
        <v/>
      </c>
    </row>
    <row r="354">
      <c r="A354" s="17" t="inlineStr">
        <is>
          <t>daab22ff-88c9-56e9-ba3f-2106739a8a45</t>
        </is>
      </c>
      <c r="B354" s="18" t="inlineStr">
        <is>
          <t>NUEVO</t>
        </is>
      </c>
      <c r="C354" s="18" t="inlineStr">
        <is>
          <t>ACTIVO</t>
        </is>
      </c>
      <c r="D354" s="18" t="n"/>
      <c r="E354" s="17" t="n"/>
      <c r="F354" s="17" t="n"/>
      <c r="G354" s="19" t="n"/>
      <c r="H354" s="19" t="n"/>
      <c r="I354" s="20" t="n"/>
      <c r="J354" s="20" t="n"/>
      <c r="K354" s="21" t="n"/>
      <c r="L354" s="18" t="n"/>
      <c r="M354" s="22" t="n"/>
      <c r="N354" s="22" t="n"/>
      <c r="O354" s="23" t="n">
        <v>10</v>
      </c>
      <c r="P354" s="24" t="inlineStr">
        <is>
          <t>UNIDAD</t>
        </is>
      </c>
      <c r="Q354" s="20" t="inlineStr">
        <is>
          <t>NO</t>
        </is>
      </c>
      <c r="R354" s="20" t="inlineStr">
        <is>
          <t>NO</t>
        </is>
      </c>
      <c r="S354" s="25" t="n">
        <v>1</v>
      </c>
      <c r="T354" s="20" t="inlineStr">
        <is>
          <t>NO</t>
        </is>
      </c>
      <c r="U354" s="20" t="n"/>
      <c r="V354" s="21" t="n"/>
      <c r="W354" s="26" t="n"/>
      <c r="X354" s="27" t="n"/>
      <c r="Y354" s="20" t="n"/>
      <c r="Z354" s="20" t="n"/>
      <c r="AA354" s="26">
        <f>IF(X354="","",X354-IF(W354="",0,W354))</f>
        <v/>
      </c>
      <c r="AB354" s="28">
        <f>IF(OR(X354="",M354=""),"",X354*M354)</f>
        <v/>
      </c>
      <c r="AC354" s="28">
        <f>IF(OR(X354="",N354=""),"",X354*N354)</f>
        <v/>
      </c>
      <c r="AD354" s="28">
        <f>IF(OR(M354="",N354=""),"",N354-M354)</f>
        <v/>
      </c>
      <c r="AE354" s="29">
        <f>IFERROR(IF(M354&gt;0,(N354-M354)/M354,""),"")</f>
        <v/>
      </c>
      <c r="AF354" s="30" t="n"/>
      <c r="AG354" s="30" t="inlineStr">
        <is>
          <t>PENDIENTE</t>
        </is>
      </c>
      <c r="AH354" s="18">
        <f>IF(NOT(OR(B354="EXISTENTE",COUNTA(G354,H354,I354,J354,K354,M354,N354,U354,V354,X354,Y354,Z354,AF354,AJ354)&gt;0)),"",IF(AK354&lt;&gt;"","REVISAR",IF(OR(G354="",H354="",M354="",N354="",O354="",P354="",X354=""),"INCOMPLETO",IF(AI354&lt;&gt;"","REVISAR",IF(AND(AF354&lt;&gt;"",AG354="ESCANEADO"),"LISTO_COMPLETO","LISTO_SIN_BARCODE")))))</f>
        <v/>
      </c>
      <c r="AI354" s="17">
        <f>IF(NOT(OR(B354="EXISTENTE",COUNTA(G354,H354,I354,J354,K354,M354,N354,U354,V354,X354,Y354,Z354,AF354,AJ354)&gt;0)),"",TEXTJOIN(" | ",TRUE,IF(A354="","Falta ID staging",""),IF(COUNTIF($A$5:$A$445,A354)&gt;1,"ID staging duplicado",""),IF(G354="","Falta nombre",""),IF(LEN(G354)&gt;150,"Nombre &gt;150 caracteres",""),IF(H354="","Falta categoría",IF(COUNTIF(CategoriasLista,H354)=0,"Categoría inválida","")),IF(M354="","Falta precio compra",IF(OR(NOT(ISNUMBER(M354)),M354&lt;0),"Precio compra inválido","")),IF(N354="","Falta precio venta",IF(OR(NOT(ISNUMBER(N354)),N354&lt;=0,N354&lt;M354),"Precio venta inválido","")),IF(O354="","Falta stock mínimo",IF(OR(NOT(ISNUMBER(O354)),O354&lt;0,MOD(O354,1)&lt;&gt;0),"Stock mínimo inválido","")),IF(P354="","Falta unidad",IF(COUNTIF(UnidadesLista,P354)=0,"Unidad inválida","")),IF(AND(K354&lt;&gt;"",COUNTIF(ProveedoresLista,K354)=0),"Proveedor no catalogado",""),IF(X354="","Falta cantidad contada",IF(OR(NOT(ISNUMBER(X354)),X354&lt;0,ABS(X354*1000-ROUND(X354*1000,0))&gt;0.0000001),"Cantidad inválida",IF(AND(Q354="NO",MOD(X354,1)&lt;&gt;0),"Cantidad fraccionaria no permitida",""))),IF(AND(R354="SI",OR(NOT(ISNUMBER(S354)),S354&lt;1,MOD(S354,1)&lt;&gt;0)),"Empaque inválido",""),IF(OR(AND(AF354="",AG354="ESCANEADO"),AND(AF354&lt;&gt;"",AG354&lt;&gt;"ESCANEADO")),"Barcode/estado inconsistente",""),IF(AK354&lt;&gt;"",AK354,"")))</f>
        <v/>
      </c>
      <c r="AJ354" s="21" t="n"/>
      <c r="AK354" s="17">
        <f>IF(G354="","",IF(OR(COUNTIFS($G$5:$G$445,G354,$I$5:$I$445,I354,$J$5:$J$445,J354,$P$5:$P$445,P354)&gt;1,AND(AF354&lt;&gt;"",COUNTIF($AF$5:$AF$445,AF354)&gt;1)),"REVISAR_POSIBLE_DUPLICADO",""))</f>
        <v/>
      </c>
    </row>
    <row r="355">
      <c r="A355" s="17" t="inlineStr">
        <is>
          <t>e1de2094-674d-55f8-8c9c-e9cd6ee6a254</t>
        </is>
      </c>
      <c r="B355" s="18" t="inlineStr">
        <is>
          <t>NUEVO</t>
        </is>
      </c>
      <c r="C355" s="18" t="inlineStr">
        <is>
          <t>ACTIVO</t>
        </is>
      </c>
      <c r="D355" s="18" t="n"/>
      <c r="E355" s="17" t="n"/>
      <c r="F355" s="17" t="n"/>
      <c r="G355" s="19" t="n"/>
      <c r="H355" s="19" t="n"/>
      <c r="I355" s="20" t="n"/>
      <c r="J355" s="20" t="n"/>
      <c r="K355" s="21" t="n"/>
      <c r="L355" s="18" t="n"/>
      <c r="M355" s="22" t="n"/>
      <c r="N355" s="22" t="n"/>
      <c r="O355" s="23" t="n">
        <v>10</v>
      </c>
      <c r="P355" s="24" t="inlineStr">
        <is>
          <t>UNIDAD</t>
        </is>
      </c>
      <c r="Q355" s="20" t="inlineStr">
        <is>
          <t>NO</t>
        </is>
      </c>
      <c r="R355" s="20" t="inlineStr">
        <is>
          <t>NO</t>
        </is>
      </c>
      <c r="S355" s="25" t="n">
        <v>1</v>
      </c>
      <c r="T355" s="20" t="inlineStr">
        <is>
          <t>NO</t>
        </is>
      </c>
      <c r="U355" s="20" t="n"/>
      <c r="V355" s="21" t="n"/>
      <c r="W355" s="26" t="n"/>
      <c r="X355" s="27" t="n"/>
      <c r="Y355" s="20" t="n"/>
      <c r="Z355" s="20" t="n"/>
      <c r="AA355" s="26">
        <f>IF(X355="","",X355-IF(W355="",0,W355))</f>
        <v/>
      </c>
      <c r="AB355" s="28">
        <f>IF(OR(X355="",M355=""),"",X355*M355)</f>
        <v/>
      </c>
      <c r="AC355" s="28">
        <f>IF(OR(X355="",N355=""),"",X355*N355)</f>
        <v/>
      </c>
      <c r="AD355" s="28">
        <f>IF(OR(M355="",N355=""),"",N355-M355)</f>
        <v/>
      </c>
      <c r="AE355" s="29">
        <f>IFERROR(IF(M355&gt;0,(N355-M355)/M355,""),"")</f>
        <v/>
      </c>
      <c r="AF355" s="30" t="n"/>
      <c r="AG355" s="30" t="inlineStr">
        <is>
          <t>PENDIENTE</t>
        </is>
      </c>
      <c r="AH355" s="18">
        <f>IF(NOT(OR(B355="EXISTENTE",COUNTA(G355,H355,I355,J355,K355,M355,N355,U355,V355,X355,Y355,Z355,AF355,AJ355)&gt;0)),"",IF(AK355&lt;&gt;"","REVISAR",IF(OR(G355="",H355="",M355="",N355="",O355="",P355="",X355=""),"INCOMPLETO",IF(AI355&lt;&gt;"","REVISAR",IF(AND(AF355&lt;&gt;"",AG355="ESCANEADO"),"LISTO_COMPLETO","LISTO_SIN_BARCODE")))))</f>
        <v/>
      </c>
      <c r="AI355" s="17">
        <f>IF(NOT(OR(B355="EXISTENTE",COUNTA(G355,H355,I355,J355,K355,M355,N355,U355,V355,X355,Y355,Z355,AF355,AJ355)&gt;0)),"",TEXTJOIN(" | ",TRUE,IF(A355="","Falta ID staging",""),IF(COUNTIF($A$5:$A$445,A355)&gt;1,"ID staging duplicado",""),IF(G355="","Falta nombre",""),IF(LEN(G355)&gt;150,"Nombre &gt;150 caracteres",""),IF(H355="","Falta categoría",IF(COUNTIF(CategoriasLista,H355)=0,"Categoría inválida","")),IF(M355="","Falta precio compra",IF(OR(NOT(ISNUMBER(M355)),M355&lt;0),"Precio compra inválido","")),IF(N355="","Falta precio venta",IF(OR(NOT(ISNUMBER(N355)),N355&lt;=0,N355&lt;M355),"Precio venta inválido","")),IF(O355="","Falta stock mínimo",IF(OR(NOT(ISNUMBER(O355)),O355&lt;0,MOD(O355,1)&lt;&gt;0),"Stock mínimo inválido","")),IF(P355="","Falta unidad",IF(COUNTIF(UnidadesLista,P355)=0,"Unidad inválida","")),IF(AND(K355&lt;&gt;"",COUNTIF(ProveedoresLista,K355)=0),"Proveedor no catalogado",""),IF(X355="","Falta cantidad contada",IF(OR(NOT(ISNUMBER(X355)),X355&lt;0,ABS(X355*1000-ROUND(X355*1000,0))&gt;0.0000001),"Cantidad inválida",IF(AND(Q355="NO",MOD(X355,1)&lt;&gt;0),"Cantidad fraccionaria no permitida",""))),IF(AND(R355="SI",OR(NOT(ISNUMBER(S355)),S355&lt;1,MOD(S355,1)&lt;&gt;0)),"Empaque inválido",""),IF(OR(AND(AF355="",AG355="ESCANEADO"),AND(AF355&lt;&gt;"",AG355&lt;&gt;"ESCANEADO")),"Barcode/estado inconsistente",""),IF(AK355&lt;&gt;"",AK355,"")))</f>
        <v/>
      </c>
      <c r="AJ355" s="21" t="n"/>
      <c r="AK355" s="17">
        <f>IF(G355="","",IF(OR(COUNTIFS($G$5:$G$445,G355,$I$5:$I$445,I355,$J$5:$J$445,J355,$P$5:$P$445,P355)&gt;1,AND(AF355&lt;&gt;"",COUNTIF($AF$5:$AF$445,AF355)&gt;1)),"REVISAR_POSIBLE_DUPLICADO",""))</f>
        <v/>
      </c>
    </row>
    <row r="356">
      <c r="A356" s="17" t="inlineStr">
        <is>
          <t>5759dce1-0f71-5dd5-852d-5fc081213d17</t>
        </is>
      </c>
      <c r="B356" s="18" t="inlineStr">
        <is>
          <t>NUEVO</t>
        </is>
      </c>
      <c r="C356" s="18" t="inlineStr">
        <is>
          <t>ACTIVO</t>
        </is>
      </c>
      <c r="D356" s="18" t="n"/>
      <c r="E356" s="17" t="n"/>
      <c r="F356" s="17" t="n"/>
      <c r="G356" s="19" t="n"/>
      <c r="H356" s="19" t="n"/>
      <c r="I356" s="20" t="n"/>
      <c r="J356" s="20" t="n"/>
      <c r="K356" s="21" t="n"/>
      <c r="L356" s="18" t="n"/>
      <c r="M356" s="22" t="n"/>
      <c r="N356" s="22" t="n"/>
      <c r="O356" s="23" t="n">
        <v>10</v>
      </c>
      <c r="P356" s="24" t="inlineStr">
        <is>
          <t>UNIDAD</t>
        </is>
      </c>
      <c r="Q356" s="20" t="inlineStr">
        <is>
          <t>NO</t>
        </is>
      </c>
      <c r="R356" s="20" t="inlineStr">
        <is>
          <t>NO</t>
        </is>
      </c>
      <c r="S356" s="25" t="n">
        <v>1</v>
      </c>
      <c r="T356" s="20" t="inlineStr">
        <is>
          <t>NO</t>
        </is>
      </c>
      <c r="U356" s="20" t="n"/>
      <c r="V356" s="21" t="n"/>
      <c r="W356" s="26" t="n"/>
      <c r="X356" s="27" t="n"/>
      <c r="Y356" s="20" t="n"/>
      <c r="Z356" s="20" t="n"/>
      <c r="AA356" s="26">
        <f>IF(X356="","",X356-IF(W356="",0,W356))</f>
        <v/>
      </c>
      <c r="AB356" s="28">
        <f>IF(OR(X356="",M356=""),"",X356*M356)</f>
        <v/>
      </c>
      <c r="AC356" s="28">
        <f>IF(OR(X356="",N356=""),"",X356*N356)</f>
        <v/>
      </c>
      <c r="AD356" s="28">
        <f>IF(OR(M356="",N356=""),"",N356-M356)</f>
        <v/>
      </c>
      <c r="AE356" s="29">
        <f>IFERROR(IF(M356&gt;0,(N356-M356)/M356,""),"")</f>
        <v/>
      </c>
      <c r="AF356" s="30" t="n"/>
      <c r="AG356" s="30" t="inlineStr">
        <is>
          <t>PENDIENTE</t>
        </is>
      </c>
      <c r="AH356" s="18">
        <f>IF(NOT(OR(B356="EXISTENTE",COUNTA(G356,H356,I356,J356,K356,M356,N356,U356,V356,X356,Y356,Z356,AF356,AJ356)&gt;0)),"",IF(AK356&lt;&gt;"","REVISAR",IF(OR(G356="",H356="",M356="",N356="",O356="",P356="",X356=""),"INCOMPLETO",IF(AI356&lt;&gt;"","REVISAR",IF(AND(AF356&lt;&gt;"",AG356="ESCANEADO"),"LISTO_COMPLETO","LISTO_SIN_BARCODE")))))</f>
        <v/>
      </c>
      <c r="AI356" s="17">
        <f>IF(NOT(OR(B356="EXISTENTE",COUNTA(G356,H356,I356,J356,K356,M356,N356,U356,V356,X356,Y356,Z356,AF356,AJ356)&gt;0)),"",TEXTJOIN(" | ",TRUE,IF(A356="","Falta ID staging",""),IF(COUNTIF($A$5:$A$445,A356)&gt;1,"ID staging duplicado",""),IF(G356="","Falta nombre",""),IF(LEN(G356)&gt;150,"Nombre &gt;150 caracteres",""),IF(H356="","Falta categoría",IF(COUNTIF(CategoriasLista,H356)=0,"Categoría inválida","")),IF(M356="","Falta precio compra",IF(OR(NOT(ISNUMBER(M356)),M356&lt;0),"Precio compra inválido","")),IF(N356="","Falta precio venta",IF(OR(NOT(ISNUMBER(N356)),N356&lt;=0,N356&lt;M356),"Precio venta inválido","")),IF(O356="","Falta stock mínimo",IF(OR(NOT(ISNUMBER(O356)),O356&lt;0,MOD(O356,1)&lt;&gt;0),"Stock mínimo inválido","")),IF(P356="","Falta unidad",IF(COUNTIF(UnidadesLista,P356)=0,"Unidad inválida","")),IF(AND(K356&lt;&gt;"",COUNTIF(ProveedoresLista,K356)=0),"Proveedor no catalogado",""),IF(X356="","Falta cantidad contada",IF(OR(NOT(ISNUMBER(X356)),X356&lt;0,ABS(X356*1000-ROUND(X356*1000,0))&gt;0.0000001),"Cantidad inválida",IF(AND(Q356="NO",MOD(X356,1)&lt;&gt;0),"Cantidad fraccionaria no permitida",""))),IF(AND(R356="SI",OR(NOT(ISNUMBER(S356)),S356&lt;1,MOD(S356,1)&lt;&gt;0)),"Empaque inválido",""),IF(OR(AND(AF356="",AG356="ESCANEADO"),AND(AF356&lt;&gt;"",AG356&lt;&gt;"ESCANEADO")),"Barcode/estado inconsistente",""),IF(AK356&lt;&gt;"",AK356,"")))</f>
        <v/>
      </c>
      <c r="AJ356" s="21" t="n"/>
      <c r="AK356" s="17">
        <f>IF(G356="","",IF(OR(COUNTIFS($G$5:$G$445,G356,$I$5:$I$445,I356,$J$5:$J$445,J356,$P$5:$P$445,P356)&gt;1,AND(AF356&lt;&gt;"",COUNTIF($AF$5:$AF$445,AF356)&gt;1)),"REVISAR_POSIBLE_DUPLICADO",""))</f>
        <v/>
      </c>
    </row>
    <row r="357">
      <c r="A357" s="17" t="inlineStr">
        <is>
          <t>885e74e3-b8c9-5a24-bc55-7663e935e3db</t>
        </is>
      </c>
      <c r="B357" s="18" t="inlineStr">
        <is>
          <t>NUEVO</t>
        </is>
      </c>
      <c r="C357" s="18" t="inlineStr">
        <is>
          <t>ACTIVO</t>
        </is>
      </c>
      <c r="D357" s="18" t="n"/>
      <c r="E357" s="17" t="n"/>
      <c r="F357" s="17" t="n"/>
      <c r="G357" s="19" t="n"/>
      <c r="H357" s="19" t="n"/>
      <c r="I357" s="20" t="n"/>
      <c r="J357" s="20" t="n"/>
      <c r="K357" s="21" t="n"/>
      <c r="L357" s="18" t="n"/>
      <c r="M357" s="22" t="n"/>
      <c r="N357" s="22" t="n"/>
      <c r="O357" s="23" t="n">
        <v>10</v>
      </c>
      <c r="P357" s="24" t="inlineStr">
        <is>
          <t>UNIDAD</t>
        </is>
      </c>
      <c r="Q357" s="20" t="inlineStr">
        <is>
          <t>NO</t>
        </is>
      </c>
      <c r="R357" s="20" t="inlineStr">
        <is>
          <t>NO</t>
        </is>
      </c>
      <c r="S357" s="25" t="n">
        <v>1</v>
      </c>
      <c r="T357" s="20" t="inlineStr">
        <is>
          <t>NO</t>
        </is>
      </c>
      <c r="U357" s="20" t="n"/>
      <c r="V357" s="21" t="n"/>
      <c r="W357" s="26" t="n"/>
      <c r="X357" s="27" t="n"/>
      <c r="Y357" s="20" t="n"/>
      <c r="Z357" s="20" t="n"/>
      <c r="AA357" s="26">
        <f>IF(X357="","",X357-IF(W357="",0,W357))</f>
        <v/>
      </c>
      <c r="AB357" s="28">
        <f>IF(OR(X357="",M357=""),"",X357*M357)</f>
        <v/>
      </c>
      <c r="AC357" s="28">
        <f>IF(OR(X357="",N357=""),"",X357*N357)</f>
        <v/>
      </c>
      <c r="AD357" s="28">
        <f>IF(OR(M357="",N357=""),"",N357-M357)</f>
        <v/>
      </c>
      <c r="AE357" s="29">
        <f>IFERROR(IF(M357&gt;0,(N357-M357)/M357,""),"")</f>
        <v/>
      </c>
      <c r="AF357" s="30" t="n"/>
      <c r="AG357" s="30" t="inlineStr">
        <is>
          <t>PENDIENTE</t>
        </is>
      </c>
      <c r="AH357" s="18">
        <f>IF(NOT(OR(B357="EXISTENTE",COUNTA(G357,H357,I357,J357,K357,M357,N357,U357,V357,X357,Y357,Z357,AF357,AJ357)&gt;0)),"",IF(AK357&lt;&gt;"","REVISAR",IF(OR(G357="",H357="",M357="",N357="",O357="",P357="",X357=""),"INCOMPLETO",IF(AI357&lt;&gt;"","REVISAR",IF(AND(AF357&lt;&gt;"",AG357="ESCANEADO"),"LISTO_COMPLETO","LISTO_SIN_BARCODE")))))</f>
        <v/>
      </c>
      <c r="AI357" s="17">
        <f>IF(NOT(OR(B357="EXISTENTE",COUNTA(G357,H357,I357,J357,K357,M357,N357,U357,V357,X357,Y357,Z357,AF357,AJ357)&gt;0)),"",TEXTJOIN(" | ",TRUE,IF(A357="","Falta ID staging",""),IF(COUNTIF($A$5:$A$445,A357)&gt;1,"ID staging duplicado",""),IF(G357="","Falta nombre",""),IF(LEN(G357)&gt;150,"Nombre &gt;150 caracteres",""),IF(H357="","Falta categoría",IF(COUNTIF(CategoriasLista,H357)=0,"Categoría inválida","")),IF(M357="","Falta precio compra",IF(OR(NOT(ISNUMBER(M357)),M357&lt;0),"Precio compra inválido","")),IF(N357="","Falta precio venta",IF(OR(NOT(ISNUMBER(N357)),N357&lt;=0,N357&lt;M357),"Precio venta inválido","")),IF(O357="","Falta stock mínimo",IF(OR(NOT(ISNUMBER(O357)),O357&lt;0,MOD(O357,1)&lt;&gt;0),"Stock mínimo inválido","")),IF(P357="","Falta unidad",IF(COUNTIF(UnidadesLista,P357)=0,"Unidad inválida","")),IF(AND(K357&lt;&gt;"",COUNTIF(ProveedoresLista,K357)=0),"Proveedor no catalogado",""),IF(X357="","Falta cantidad contada",IF(OR(NOT(ISNUMBER(X357)),X357&lt;0,ABS(X357*1000-ROUND(X357*1000,0))&gt;0.0000001),"Cantidad inválida",IF(AND(Q357="NO",MOD(X357,1)&lt;&gt;0),"Cantidad fraccionaria no permitida",""))),IF(AND(R357="SI",OR(NOT(ISNUMBER(S357)),S357&lt;1,MOD(S357,1)&lt;&gt;0)),"Empaque inválido",""),IF(OR(AND(AF357="",AG357="ESCANEADO"),AND(AF357&lt;&gt;"",AG357&lt;&gt;"ESCANEADO")),"Barcode/estado inconsistente",""),IF(AK357&lt;&gt;"",AK357,"")))</f>
        <v/>
      </c>
      <c r="AJ357" s="21" t="n"/>
      <c r="AK357" s="17">
        <f>IF(G357="","",IF(OR(COUNTIFS($G$5:$G$445,G357,$I$5:$I$445,I357,$J$5:$J$445,J357,$P$5:$P$445,P357)&gt;1,AND(AF357&lt;&gt;"",COUNTIF($AF$5:$AF$445,AF357)&gt;1)),"REVISAR_POSIBLE_DUPLICADO",""))</f>
        <v/>
      </c>
    </row>
    <row r="358">
      <c r="A358" s="17" t="inlineStr">
        <is>
          <t>69701224-bd95-5c16-9f05-14a3b3ba5f20</t>
        </is>
      </c>
      <c r="B358" s="18" t="inlineStr">
        <is>
          <t>NUEVO</t>
        </is>
      </c>
      <c r="C358" s="18" t="inlineStr">
        <is>
          <t>ACTIVO</t>
        </is>
      </c>
      <c r="D358" s="18" t="n"/>
      <c r="E358" s="17" t="n"/>
      <c r="F358" s="17" t="n"/>
      <c r="G358" s="19" t="n"/>
      <c r="H358" s="19" t="n"/>
      <c r="I358" s="20" t="n"/>
      <c r="J358" s="20" t="n"/>
      <c r="K358" s="21" t="n"/>
      <c r="L358" s="18" t="n"/>
      <c r="M358" s="22" t="n"/>
      <c r="N358" s="22" t="n"/>
      <c r="O358" s="23" t="n">
        <v>10</v>
      </c>
      <c r="P358" s="24" t="inlineStr">
        <is>
          <t>UNIDAD</t>
        </is>
      </c>
      <c r="Q358" s="20" t="inlineStr">
        <is>
          <t>NO</t>
        </is>
      </c>
      <c r="R358" s="20" t="inlineStr">
        <is>
          <t>NO</t>
        </is>
      </c>
      <c r="S358" s="25" t="n">
        <v>1</v>
      </c>
      <c r="T358" s="20" t="inlineStr">
        <is>
          <t>NO</t>
        </is>
      </c>
      <c r="U358" s="20" t="n"/>
      <c r="V358" s="21" t="n"/>
      <c r="W358" s="26" t="n"/>
      <c r="X358" s="27" t="n"/>
      <c r="Y358" s="20" t="n"/>
      <c r="Z358" s="20" t="n"/>
      <c r="AA358" s="26">
        <f>IF(X358="","",X358-IF(W358="",0,W358))</f>
        <v/>
      </c>
      <c r="AB358" s="28">
        <f>IF(OR(X358="",M358=""),"",X358*M358)</f>
        <v/>
      </c>
      <c r="AC358" s="28">
        <f>IF(OR(X358="",N358=""),"",X358*N358)</f>
        <v/>
      </c>
      <c r="AD358" s="28">
        <f>IF(OR(M358="",N358=""),"",N358-M358)</f>
        <v/>
      </c>
      <c r="AE358" s="29">
        <f>IFERROR(IF(M358&gt;0,(N358-M358)/M358,""),"")</f>
        <v/>
      </c>
      <c r="AF358" s="30" t="n"/>
      <c r="AG358" s="30" t="inlineStr">
        <is>
          <t>PENDIENTE</t>
        </is>
      </c>
      <c r="AH358" s="18">
        <f>IF(NOT(OR(B358="EXISTENTE",COUNTA(G358,H358,I358,J358,K358,M358,N358,U358,V358,X358,Y358,Z358,AF358,AJ358)&gt;0)),"",IF(AK358&lt;&gt;"","REVISAR",IF(OR(G358="",H358="",M358="",N358="",O358="",P358="",X358=""),"INCOMPLETO",IF(AI358&lt;&gt;"","REVISAR",IF(AND(AF358&lt;&gt;"",AG358="ESCANEADO"),"LISTO_COMPLETO","LISTO_SIN_BARCODE")))))</f>
        <v/>
      </c>
      <c r="AI358" s="17">
        <f>IF(NOT(OR(B358="EXISTENTE",COUNTA(G358,H358,I358,J358,K358,M358,N358,U358,V358,X358,Y358,Z358,AF358,AJ358)&gt;0)),"",TEXTJOIN(" | ",TRUE,IF(A358="","Falta ID staging",""),IF(COUNTIF($A$5:$A$445,A358)&gt;1,"ID staging duplicado",""),IF(G358="","Falta nombre",""),IF(LEN(G358)&gt;150,"Nombre &gt;150 caracteres",""),IF(H358="","Falta categoría",IF(COUNTIF(CategoriasLista,H358)=0,"Categoría inválida","")),IF(M358="","Falta precio compra",IF(OR(NOT(ISNUMBER(M358)),M358&lt;0),"Precio compra inválido","")),IF(N358="","Falta precio venta",IF(OR(NOT(ISNUMBER(N358)),N358&lt;=0,N358&lt;M358),"Precio venta inválido","")),IF(O358="","Falta stock mínimo",IF(OR(NOT(ISNUMBER(O358)),O358&lt;0,MOD(O358,1)&lt;&gt;0),"Stock mínimo inválido","")),IF(P358="","Falta unidad",IF(COUNTIF(UnidadesLista,P358)=0,"Unidad inválida","")),IF(AND(K358&lt;&gt;"",COUNTIF(ProveedoresLista,K358)=0),"Proveedor no catalogado",""),IF(X358="","Falta cantidad contada",IF(OR(NOT(ISNUMBER(X358)),X358&lt;0,ABS(X358*1000-ROUND(X358*1000,0))&gt;0.0000001),"Cantidad inválida",IF(AND(Q358="NO",MOD(X358,1)&lt;&gt;0),"Cantidad fraccionaria no permitida",""))),IF(AND(R358="SI",OR(NOT(ISNUMBER(S358)),S358&lt;1,MOD(S358,1)&lt;&gt;0)),"Empaque inválido",""),IF(OR(AND(AF358="",AG358="ESCANEADO"),AND(AF358&lt;&gt;"",AG358&lt;&gt;"ESCANEADO")),"Barcode/estado inconsistente",""),IF(AK358&lt;&gt;"",AK358,"")))</f>
        <v/>
      </c>
      <c r="AJ358" s="21" t="n"/>
      <c r="AK358" s="17">
        <f>IF(G358="","",IF(OR(COUNTIFS($G$5:$G$445,G358,$I$5:$I$445,I358,$J$5:$J$445,J358,$P$5:$P$445,P358)&gt;1,AND(AF358&lt;&gt;"",COUNTIF($AF$5:$AF$445,AF358)&gt;1)),"REVISAR_POSIBLE_DUPLICADO",""))</f>
        <v/>
      </c>
    </row>
    <row r="359">
      <c r="A359" s="17" t="inlineStr">
        <is>
          <t>7f567a85-bb36-5863-92a6-5c07f2c8c5bb</t>
        </is>
      </c>
      <c r="B359" s="18" t="inlineStr">
        <is>
          <t>NUEVO</t>
        </is>
      </c>
      <c r="C359" s="18" t="inlineStr">
        <is>
          <t>ACTIVO</t>
        </is>
      </c>
      <c r="D359" s="18" t="n"/>
      <c r="E359" s="17" t="n"/>
      <c r="F359" s="17" t="n"/>
      <c r="G359" s="19" t="n"/>
      <c r="H359" s="19" t="n"/>
      <c r="I359" s="20" t="n"/>
      <c r="J359" s="20" t="n"/>
      <c r="K359" s="21" t="n"/>
      <c r="L359" s="18" t="n"/>
      <c r="M359" s="22" t="n"/>
      <c r="N359" s="22" t="n"/>
      <c r="O359" s="23" t="n">
        <v>10</v>
      </c>
      <c r="P359" s="24" t="inlineStr">
        <is>
          <t>UNIDAD</t>
        </is>
      </c>
      <c r="Q359" s="20" t="inlineStr">
        <is>
          <t>NO</t>
        </is>
      </c>
      <c r="R359" s="20" t="inlineStr">
        <is>
          <t>NO</t>
        </is>
      </c>
      <c r="S359" s="25" t="n">
        <v>1</v>
      </c>
      <c r="T359" s="20" t="inlineStr">
        <is>
          <t>NO</t>
        </is>
      </c>
      <c r="U359" s="20" t="n"/>
      <c r="V359" s="21" t="n"/>
      <c r="W359" s="26" t="n"/>
      <c r="X359" s="27" t="n"/>
      <c r="Y359" s="20" t="n"/>
      <c r="Z359" s="20" t="n"/>
      <c r="AA359" s="26">
        <f>IF(X359="","",X359-IF(W359="",0,W359))</f>
        <v/>
      </c>
      <c r="AB359" s="28">
        <f>IF(OR(X359="",M359=""),"",X359*M359)</f>
        <v/>
      </c>
      <c r="AC359" s="28">
        <f>IF(OR(X359="",N359=""),"",X359*N359)</f>
        <v/>
      </c>
      <c r="AD359" s="28">
        <f>IF(OR(M359="",N359=""),"",N359-M359)</f>
        <v/>
      </c>
      <c r="AE359" s="29">
        <f>IFERROR(IF(M359&gt;0,(N359-M359)/M359,""),"")</f>
        <v/>
      </c>
      <c r="AF359" s="30" t="n"/>
      <c r="AG359" s="30" t="inlineStr">
        <is>
          <t>PENDIENTE</t>
        </is>
      </c>
      <c r="AH359" s="18">
        <f>IF(NOT(OR(B359="EXISTENTE",COUNTA(G359,H359,I359,J359,K359,M359,N359,U359,V359,X359,Y359,Z359,AF359,AJ359)&gt;0)),"",IF(AK359&lt;&gt;"","REVISAR",IF(OR(G359="",H359="",M359="",N359="",O359="",P359="",X359=""),"INCOMPLETO",IF(AI359&lt;&gt;"","REVISAR",IF(AND(AF359&lt;&gt;"",AG359="ESCANEADO"),"LISTO_COMPLETO","LISTO_SIN_BARCODE")))))</f>
        <v/>
      </c>
      <c r="AI359" s="17">
        <f>IF(NOT(OR(B359="EXISTENTE",COUNTA(G359,H359,I359,J359,K359,M359,N359,U359,V359,X359,Y359,Z359,AF359,AJ359)&gt;0)),"",TEXTJOIN(" | ",TRUE,IF(A359="","Falta ID staging",""),IF(COUNTIF($A$5:$A$445,A359)&gt;1,"ID staging duplicado",""),IF(G359="","Falta nombre",""),IF(LEN(G359)&gt;150,"Nombre &gt;150 caracteres",""),IF(H359="","Falta categoría",IF(COUNTIF(CategoriasLista,H359)=0,"Categoría inválida","")),IF(M359="","Falta precio compra",IF(OR(NOT(ISNUMBER(M359)),M359&lt;0),"Precio compra inválido","")),IF(N359="","Falta precio venta",IF(OR(NOT(ISNUMBER(N359)),N359&lt;=0,N359&lt;M359),"Precio venta inválido","")),IF(O359="","Falta stock mínimo",IF(OR(NOT(ISNUMBER(O359)),O359&lt;0,MOD(O359,1)&lt;&gt;0),"Stock mínimo inválido","")),IF(P359="","Falta unidad",IF(COUNTIF(UnidadesLista,P359)=0,"Unidad inválida","")),IF(AND(K359&lt;&gt;"",COUNTIF(ProveedoresLista,K359)=0),"Proveedor no catalogado",""),IF(X359="","Falta cantidad contada",IF(OR(NOT(ISNUMBER(X359)),X359&lt;0,ABS(X359*1000-ROUND(X359*1000,0))&gt;0.0000001),"Cantidad inválida",IF(AND(Q359="NO",MOD(X359,1)&lt;&gt;0),"Cantidad fraccionaria no permitida",""))),IF(AND(R359="SI",OR(NOT(ISNUMBER(S359)),S359&lt;1,MOD(S359,1)&lt;&gt;0)),"Empaque inválido",""),IF(OR(AND(AF359="",AG359="ESCANEADO"),AND(AF359&lt;&gt;"",AG359&lt;&gt;"ESCANEADO")),"Barcode/estado inconsistente",""),IF(AK359&lt;&gt;"",AK359,"")))</f>
        <v/>
      </c>
      <c r="AJ359" s="21" t="n"/>
      <c r="AK359" s="17">
        <f>IF(G359="","",IF(OR(COUNTIFS($G$5:$G$445,G359,$I$5:$I$445,I359,$J$5:$J$445,J359,$P$5:$P$445,P359)&gt;1,AND(AF359&lt;&gt;"",COUNTIF($AF$5:$AF$445,AF359)&gt;1)),"REVISAR_POSIBLE_DUPLICADO",""))</f>
        <v/>
      </c>
    </row>
    <row r="360">
      <c r="A360" s="17" t="inlineStr">
        <is>
          <t>5ae07a8b-eaf1-563d-9c39-179d51912e75</t>
        </is>
      </c>
      <c r="B360" s="18" t="inlineStr">
        <is>
          <t>NUEVO</t>
        </is>
      </c>
      <c r="C360" s="18" t="inlineStr">
        <is>
          <t>ACTIVO</t>
        </is>
      </c>
      <c r="D360" s="18" t="n"/>
      <c r="E360" s="17" t="n"/>
      <c r="F360" s="17" t="n"/>
      <c r="G360" s="19" t="n"/>
      <c r="H360" s="19" t="n"/>
      <c r="I360" s="20" t="n"/>
      <c r="J360" s="20" t="n"/>
      <c r="K360" s="21" t="n"/>
      <c r="L360" s="18" t="n"/>
      <c r="M360" s="22" t="n"/>
      <c r="N360" s="22" t="n"/>
      <c r="O360" s="23" t="n">
        <v>10</v>
      </c>
      <c r="P360" s="24" t="inlineStr">
        <is>
          <t>UNIDAD</t>
        </is>
      </c>
      <c r="Q360" s="20" t="inlineStr">
        <is>
          <t>NO</t>
        </is>
      </c>
      <c r="R360" s="20" t="inlineStr">
        <is>
          <t>NO</t>
        </is>
      </c>
      <c r="S360" s="25" t="n">
        <v>1</v>
      </c>
      <c r="T360" s="20" t="inlineStr">
        <is>
          <t>NO</t>
        </is>
      </c>
      <c r="U360" s="20" t="n"/>
      <c r="V360" s="21" t="n"/>
      <c r="W360" s="26" t="n"/>
      <c r="X360" s="27" t="n"/>
      <c r="Y360" s="20" t="n"/>
      <c r="Z360" s="20" t="n"/>
      <c r="AA360" s="26">
        <f>IF(X360="","",X360-IF(W360="",0,W360))</f>
        <v/>
      </c>
      <c r="AB360" s="28">
        <f>IF(OR(X360="",M360=""),"",X360*M360)</f>
        <v/>
      </c>
      <c r="AC360" s="28">
        <f>IF(OR(X360="",N360=""),"",X360*N360)</f>
        <v/>
      </c>
      <c r="AD360" s="28">
        <f>IF(OR(M360="",N360=""),"",N360-M360)</f>
        <v/>
      </c>
      <c r="AE360" s="29">
        <f>IFERROR(IF(M360&gt;0,(N360-M360)/M360,""),"")</f>
        <v/>
      </c>
      <c r="AF360" s="30" t="n"/>
      <c r="AG360" s="30" t="inlineStr">
        <is>
          <t>PENDIENTE</t>
        </is>
      </c>
      <c r="AH360" s="18">
        <f>IF(NOT(OR(B360="EXISTENTE",COUNTA(G360,H360,I360,J360,K360,M360,N360,U360,V360,X360,Y360,Z360,AF360,AJ360)&gt;0)),"",IF(AK360&lt;&gt;"","REVISAR",IF(OR(G360="",H360="",M360="",N360="",O360="",P360="",X360=""),"INCOMPLETO",IF(AI360&lt;&gt;"","REVISAR",IF(AND(AF360&lt;&gt;"",AG360="ESCANEADO"),"LISTO_COMPLETO","LISTO_SIN_BARCODE")))))</f>
        <v/>
      </c>
      <c r="AI360" s="17">
        <f>IF(NOT(OR(B360="EXISTENTE",COUNTA(G360,H360,I360,J360,K360,M360,N360,U360,V360,X360,Y360,Z360,AF360,AJ360)&gt;0)),"",TEXTJOIN(" | ",TRUE,IF(A360="","Falta ID staging",""),IF(COUNTIF($A$5:$A$445,A360)&gt;1,"ID staging duplicado",""),IF(G360="","Falta nombre",""),IF(LEN(G360)&gt;150,"Nombre &gt;150 caracteres",""),IF(H360="","Falta categoría",IF(COUNTIF(CategoriasLista,H360)=0,"Categoría inválida","")),IF(M360="","Falta precio compra",IF(OR(NOT(ISNUMBER(M360)),M360&lt;0),"Precio compra inválido","")),IF(N360="","Falta precio venta",IF(OR(NOT(ISNUMBER(N360)),N360&lt;=0,N360&lt;M360),"Precio venta inválido","")),IF(O360="","Falta stock mínimo",IF(OR(NOT(ISNUMBER(O360)),O360&lt;0,MOD(O360,1)&lt;&gt;0),"Stock mínimo inválido","")),IF(P360="","Falta unidad",IF(COUNTIF(UnidadesLista,P360)=0,"Unidad inválida","")),IF(AND(K360&lt;&gt;"",COUNTIF(ProveedoresLista,K360)=0),"Proveedor no catalogado",""),IF(X360="","Falta cantidad contada",IF(OR(NOT(ISNUMBER(X360)),X360&lt;0,ABS(X360*1000-ROUND(X360*1000,0))&gt;0.0000001),"Cantidad inválida",IF(AND(Q360="NO",MOD(X360,1)&lt;&gt;0),"Cantidad fraccionaria no permitida",""))),IF(AND(R360="SI",OR(NOT(ISNUMBER(S360)),S360&lt;1,MOD(S360,1)&lt;&gt;0)),"Empaque inválido",""),IF(OR(AND(AF360="",AG360="ESCANEADO"),AND(AF360&lt;&gt;"",AG360&lt;&gt;"ESCANEADO")),"Barcode/estado inconsistente",""),IF(AK360&lt;&gt;"",AK360,"")))</f>
        <v/>
      </c>
      <c r="AJ360" s="21" t="n"/>
      <c r="AK360" s="17">
        <f>IF(G360="","",IF(OR(COUNTIFS($G$5:$G$445,G360,$I$5:$I$445,I360,$J$5:$J$445,J360,$P$5:$P$445,P360)&gt;1,AND(AF360&lt;&gt;"",COUNTIF($AF$5:$AF$445,AF360)&gt;1)),"REVISAR_POSIBLE_DUPLICADO",""))</f>
        <v/>
      </c>
    </row>
    <row r="361">
      <c r="A361" s="17" t="inlineStr">
        <is>
          <t>51ebd143-b699-57b2-8ce4-a957d984ede3</t>
        </is>
      </c>
      <c r="B361" s="18" t="inlineStr">
        <is>
          <t>NUEVO</t>
        </is>
      </c>
      <c r="C361" s="18" t="inlineStr">
        <is>
          <t>ACTIVO</t>
        </is>
      </c>
      <c r="D361" s="18" t="n"/>
      <c r="E361" s="17" t="n"/>
      <c r="F361" s="17" t="n"/>
      <c r="G361" s="19" t="n"/>
      <c r="H361" s="19" t="n"/>
      <c r="I361" s="20" t="n"/>
      <c r="J361" s="20" t="n"/>
      <c r="K361" s="21" t="n"/>
      <c r="L361" s="18" t="n"/>
      <c r="M361" s="22" t="n"/>
      <c r="N361" s="22" t="n"/>
      <c r="O361" s="23" t="n">
        <v>10</v>
      </c>
      <c r="P361" s="24" t="inlineStr">
        <is>
          <t>UNIDAD</t>
        </is>
      </c>
      <c r="Q361" s="20" t="inlineStr">
        <is>
          <t>NO</t>
        </is>
      </c>
      <c r="R361" s="20" t="inlineStr">
        <is>
          <t>NO</t>
        </is>
      </c>
      <c r="S361" s="25" t="n">
        <v>1</v>
      </c>
      <c r="T361" s="20" t="inlineStr">
        <is>
          <t>NO</t>
        </is>
      </c>
      <c r="U361" s="20" t="n"/>
      <c r="V361" s="21" t="n"/>
      <c r="W361" s="26" t="n"/>
      <c r="X361" s="27" t="n"/>
      <c r="Y361" s="20" t="n"/>
      <c r="Z361" s="20" t="n"/>
      <c r="AA361" s="26">
        <f>IF(X361="","",X361-IF(W361="",0,W361))</f>
        <v/>
      </c>
      <c r="AB361" s="28">
        <f>IF(OR(X361="",M361=""),"",X361*M361)</f>
        <v/>
      </c>
      <c r="AC361" s="28">
        <f>IF(OR(X361="",N361=""),"",X361*N361)</f>
        <v/>
      </c>
      <c r="AD361" s="28">
        <f>IF(OR(M361="",N361=""),"",N361-M361)</f>
        <v/>
      </c>
      <c r="AE361" s="29">
        <f>IFERROR(IF(M361&gt;0,(N361-M361)/M361,""),"")</f>
        <v/>
      </c>
      <c r="AF361" s="30" t="n"/>
      <c r="AG361" s="30" t="inlineStr">
        <is>
          <t>PENDIENTE</t>
        </is>
      </c>
      <c r="AH361" s="18">
        <f>IF(NOT(OR(B361="EXISTENTE",COUNTA(G361,H361,I361,J361,K361,M361,N361,U361,V361,X361,Y361,Z361,AF361,AJ361)&gt;0)),"",IF(AK361&lt;&gt;"","REVISAR",IF(OR(G361="",H361="",M361="",N361="",O361="",P361="",X361=""),"INCOMPLETO",IF(AI361&lt;&gt;"","REVISAR",IF(AND(AF361&lt;&gt;"",AG361="ESCANEADO"),"LISTO_COMPLETO","LISTO_SIN_BARCODE")))))</f>
        <v/>
      </c>
      <c r="AI361" s="17">
        <f>IF(NOT(OR(B361="EXISTENTE",COUNTA(G361,H361,I361,J361,K361,M361,N361,U361,V361,X361,Y361,Z361,AF361,AJ361)&gt;0)),"",TEXTJOIN(" | ",TRUE,IF(A361="","Falta ID staging",""),IF(COUNTIF($A$5:$A$445,A361)&gt;1,"ID staging duplicado",""),IF(G361="","Falta nombre",""),IF(LEN(G361)&gt;150,"Nombre &gt;150 caracteres",""),IF(H361="","Falta categoría",IF(COUNTIF(CategoriasLista,H361)=0,"Categoría inválida","")),IF(M361="","Falta precio compra",IF(OR(NOT(ISNUMBER(M361)),M361&lt;0),"Precio compra inválido","")),IF(N361="","Falta precio venta",IF(OR(NOT(ISNUMBER(N361)),N361&lt;=0,N361&lt;M361),"Precio venta inválido","")),IF(O361="","Falta stock mínimo",IF(OR(NOT(ISNUMBER(O361)),O361&lt;0,MOD(O361,1)&lt;&gt;0),"Stock mínimo inválido","")),IF(P361="","Falta unidad",IF(COUNTIF(UnidadesLista,P361)=0,"Unidad inválida","")),IF(AND(K361&lt;&gt;"",COUNTIF(ProveedoresLista,K361)=0),"Proveedor no catalogado",""),IF(X361="","Falta cantidad contada",IF(OR(NOT(ISNUMBER(X361)),X361&lt;0,ABS(X361*1000-ROUND(X361*1000,0))&gt;0.0000001),"Cantidad inválida",IF(AND(Q361="NO",MOD(X361,1)&lt;&gt;0),"Cantidad fraccionaria no permitida",""))),IF(AND(R361="SI",OR(NOT(ISNUMBER(S361)),S361&lt;1,MOD(S361,1)&lt;&gt;0)),"Empaque inválido",""),IF(OR(AND(AF361="",AG361="ESCANEADO"),AND(AF361&lt;&gt;"",AG361&lt;&gt;"ESCANEADO")),"Barcode/estado inconsistente",""),IF(AK361&lt;&gt;"",AK361,"")))</f>
        <v/>
      </c>
      <c r="AJ361" s="21" t="n"/>
      <c r="AK361" s="17">
        <f>IF(G361="","",IF(OR(COUNTIFS($G$5:$G$445,G361,$I$5:$I$445,I361,$J$5:$J$445,J361,$P$5:$P$445,P361)&gt;1,AND(AF361&lt;&gt;"",COUNTIF($AF$5:$AF$445,AF361)&gt;1)),"REVISAR_POSIBLE_DUPLICADO",""))</f>
        <v/>
      </c>
    </row>
    <row r="362">
      <c r="A362" s="17" t="inlineStr">
        <is>
          <t>833603ca-ae16-5b3a-8bc9-832f27183d54</t>
        </is>
      </c>
      <c r="B362" s="18" t="inlineStr">
        <is>
          <t>NUEVO</t>
        </is>
      </c>
      <c r="C362" s="18" t="inlineStr">
        <is>
          <t>ACTIVO</t>
        </is>
      </c>
      <c r="D362" s="18" t="n"/>
      <c r="E362" s="17" t="n"/>
      <c r="F362" s="17" t="n"/>
      <c r="G362" s="19" t="n"/>
      <c r="H362" s="19" t="n"/>
      <c r="I362" s="20" t="n"/>
      <c r="J362" s="20" t="n"/>
      <c r="K362" s="21" t="n"/>
      <c r="L362" s="18" t="n"/>
      <c r="M362" s="22" t="n"/>
      <c r="N362" s="22" t="n"/>
      <c r="O362" s="23" t="n">
        <v>10</v>
      </c>
      <c r="P362" s="24" t="inlineStr">
        <is>
          <t>UNIDAD</t>
        </is>
      </c>
      <c r="Q362" s="20" t="inlineStr">
        <is>
          <t>NO</t>
        </is>
      </c>
      <c r="R362" s="20" t="inlineStr">
        <is>
          <t>NO</t>
        </is>
      </c>
      <c r="S362" s="25" t="n">
        <v>1</v>
      </c>
      <c r="T362" s="20" t="inlineStr">
        <is>
          <t>NO</t>
        </is>
      </c>
      <c r="U362" s="20" t="n"/>
      <c r="V362" s="21" t="n"/>
      <c r="W362" s="26" t="n"/>
      <c r="X362" s="27" t="n"/>
      <c r="Y362" s="20" t="n"/>
      <c r="Z362" s="20" t="n"/>
      <c r="AA362" s="26">
        <f>IF(X362="","",X362-IF(W362="",0,W362))</f>
        <v/>
      </c>
      <c r="AB362" s="28">
        <f>IF(OR(X362="",M362=""),"",X362*M362)</f>
        <v/>
      </c>
      <c r="AC362" s="28">
        <f>IF(OR(X362="",N362=""),"",X362*N362)</f>
        <v/>
      </c>
      <c r="AD362" s="28">
        <f>IF(OR(M362="",N362=""),"",N362-M362)</f>
        <v/>
      </c>
      <c r="AE362" s="29">
        <f>IFERROR(IF(M362&gt;0,(N362-M362)/M362,""),"")</f>
        <v/>
      </c>
      <c r="AF362" s="30" t="n"/>
      <c r="AG362" s="30" t="inlineStr">
        <is>
          <t>PENDIENTE</t>
        </is>
      </c>
      <c r="AH362" s="18">
        <f>IF(NOT(OR(B362="EXISTENTE",COUNTA(G362,H362,I362,J362,K362,M362,N362,U362,V362,X362,Y362,Z362,AF362,AJ362)&gt;0)),"",IF(AK362&lt;&gt;"","REVISAR",IF(OR(G362="",H362="",M362="",N362="",O362="",P362="",X362=""),"INCOMPLETO",IF(AI362&lt;&gt;"","REVISAR",IF(AND(AF362&lt;&gt;"",AG362="ESCANEADO"),"LISTO_COMPLETO","LISTO_SIN_BARCODE")))))</f>
        <v/>
      </c>
      <c r="AI362" s="17">
        <f>IF(NOT(OR(B362="EXISTENTE",COUNTA(G362,H362,I362,J362,K362,M362,N362,U362,V362,X362,Y362,Z362,AF362,AJ362)&gt;0)),"",TEXTJOIN(" | ",TRUE,IF(A362="","Falta ID staging",""),IF(COUNTIF($A$5:$A$445,A362)&gt;1,"ID staging duplicado",""),IF(G362="","Falta nombre",""),IF(LEN(G362)&gt;150,"Nombre &gt;150 caracteres",""),IF(H362="","Falta categoría",IF(COUNTIF(CategoriasLista,H362)=0,"Categoría inválida","")),IF(M362="","Falta precio compra",IF(OR(NOT(ISNUMBER(M362)),M362&lt;0),"Precio compra inválido","")),IF(N362="","Falta precio venta",IF(OR(NOT(ISNUMBER(N362)),N362&lt;=0,N362&lt;M362),"Precio venta inválido","")),IF(O362="","Falta stock mínimo",IF(OR(NOT(ISNUMBER(O362)),O362&lt;0,MOD(O362,1)&lt;&gt;0),"Stock mínimo inválido","")),IF(P362="","Falta unidad",IF(COUNTIF(UnidadesLista,P362)=0,"Unidad inválida","")),IF(AND(K362&lt;&gt;"",COUNTIF(ProveedoresLista,K362)=0),"Proveedor no catalogado",""),IF(X362="","Falta cantidad contada",IF(OR(NOT(ISNUMBER(X362)),X362&lt;0,ABS(X362*1000-ROUND(X362*1000,0))&gt;0.0000001),"Cantidad inválida",IF(AND(Q362="NO",MOD(X362,1)&lt;&gt;0),"Cantidad fraccionaria no permitida",""))),IF(AND(R362="SI",OR(NOT(ISNUMBER(S362)),S362&lt;1,MOD(S362,1)&lt;&gt;0)),"Empaque inválido",""),IF(OR(AND(AF362="",AG362="ESCANEADO"),AND(AF362&lt;&gt;"",AG362&lt;&gt;"ESCANEADO")),"Barcode/estado inconsistente",""),IF(AK362&lt;&gt;"",AK362,"")))</f>
        <v/>
      </c>
      <c r="AJ362" s="21" t="n"/>
      <c r="AK362" s="17">
        <f>IF(G362="","",IF(OR(COUNTIFS($G$5:$G$445,G362,$I$5:$I$445,I362,$J$5:$J$445,J362,$P$5:$P$445,P362)&gt;1,AND(AF362&lt;&gt;"",COUNTIF($AF$5:$AF$445,AF362)&gt;1)),"REVISAR_POSIBLE_DUPLICADO",""))</f>
        <v/>
      </c>
    </row>
    <row r="363">
      <c r="A363" s="17" t="inlineStr">
        <is>
          <t>248deb21-8e68-59f8-ad44-a762347ae5d9</t>
        </is>
      </c>
      <c r="B363" s="18" t="inlineStr">
        <is>
          <t>NUEVO</t>
        </is>
      </c>
      <c r="C363" s="18" t="inlineStr">
        <is>
          <t>ACTIVO</t>
        </is>
      </c>
      <c r="D363" s="18" t="n"/>
      <c r="E363" s="17" t="n"/>
      <c r="F363" s="17" t="n"/>
      <c r="G363" s="19" t="n"/>
      <c r="H363" s="19" t="n"/>
      <c r="I363" s="20" t="n"/>
      <c r="J363" s="20" t="n"/>
      <c r="K363" s="21" t="n"/>
      <c r="L363" s="18" t="n"/>
      <c r="M363" s="22" t="n"/>
      <c r="N363" s="22" t="n"/>
      <c r="O363" s="23" t="n">
        <v>10</v>
      </c>
      <c r="P363" s="24" t="inlineStr">
        <is>
          <t>UNIDAD</t>
        </is>
      </c>
      <c r="Q363" s="20" t="inlineStr">
        <is>
          <t>NO</t>
        </is>
      </c>
      <c r="R363" s="20" t="inlineStr">
        <is>
          <t>NO</t>
        </is>
      </c>
      <c r="S363" s="25" t="n">
        <v>1</v>
      </c>
      <c r="T363" s="20" t="inlineStr">
        <is>
          <t>NO</t>
        </is>
      </c>
      <c r="U363" s="20" t="n"/>
      <c r="V363" s="21" t="n"/>
      <c r="W363" s="26" t="n"/>
      <c r="X363" s="27" t="n"/>
      <c r="Y363" s="20" t="n"/>
      <c r="Z363" s="20" t="n"/>
      <c r="AA363" s="26">
        <f>IF(X363="","",X363-IF(W363="",0,W363))</f>
        <v/>
      </c>
      <c r="AB363" s="28">
        <f>IF(OR(X363="",M363=""),"",X363*M363)</f>
        <v/>
      </c>
      <c r="AC363" s="28">
        <f>IF(OR(X363="",N363=""),"",X363*N363)</f>
        <v/>
      </c>
      <c r="AD363" s="28">
        <f>IF(OR(M363="",N363=""),"",N363-M363)</f>
        <v/>
      </c>
      <c r="AE363" s="29">
        <f>IFERROR(IF(M363&gt;0,(N363-M363)/M363,""),"")</f>
        <v/>
      </c>
      <c r="AF363" s="30" t="n"/>
      <c r="AG363" s="30" t="inlineStr">
        <is>
          <t>PENDIENTE</t>
        </is>
      </c>
      <c r="AH363" s="18">
        <f>IF(NOT(OR(B363="EXISTENTE",COUNTA(G363,H363,I363,J363,K363,M363,N363,U363,V363,X363,Y363,Z363,AF363,AJ363)&gt;0)),"",IF(AK363&lt;&gt;"","REVISAR",IF(OR(G363="",H363="",M363="",N363="",O363="",P363="",X363=""),"INCOMPLETO",IF(AI363&lt;&gt;"","REVISAR",IF(AND(AF363&lt;&gt;"",AG363="ESCANEADO"),"LISTO_COMPLETO","LISTO_SIN_BARCODE")))))</f>
        <v/>
      </c>
      <c r="AI363" s="17">
        <f>IF(NOT(OR(B363="EXISTENTE",COUNTA(G363,H363,I363,J363,K363,M363,N363,U363,V363,X363,Y363,Z363,AF363,AJ363)&gt;0)),"",TEXTJOIN(" | ",TRUE,IF(A363="","Falta ID staging",""),IF(COUNTIF($A$5:$A$445,A363)&gt;1,"ID staging duplicado",""),IF(G363="","Falta nombre",""),IF(LEN(G363)&gt;150,"Nombre &gt;150 caracteres",""),IF(H363="","Falta categoría",IF(COUNTIF(CategoriasLista,H363)=0,"Categoría inválida","")),IF(M363="","Falta precio compra",IF(OR(NOT(ISNUMBER(M363)),M363&lt;0),"Precio compra inválido","")),IF(N363="","Falta precio venta",IF(OR(NOT(ISNUMBER(N363)),N363&lt;=0,N363&lt;M363),"Precio venta inválido","")),IF(O363="","Falta stock mínimo",IF(OR(NOT(ISNUMBER(O363)),O363&lt;0,MOD(O363,1)&lt;&gt;0),"Stock mínimo inválido","")),IF(P363="","Falta unidad",IF(COUNTIF(UnidadesLista,P363)=0,"Unidad inválida","")),IF(AND(K363&lt;&gt;"",COUNTIF(ProveedoresLista,K363)=0),"Proveedor no catalogado",""),IF(X363="","Falta cantidad contada",IF(OR(NOT(ISNUMBER(X363)),X363&lt;0,ABS(X363*1000-ROUND(X363*1000,0))&gt;0.0000001),"Cantidad inválida",IF(AND(Q363="NO",MOD(X363,1)&lt;&gt;0),"Cantidad fraccionaria no permitida",""))),IF(AND(R363="SI",OR(NOT(ISNUMBER(S363)),S363&lt;1,MOD(S363,1)&lt;&gt;0)),"Empaque inválido",""),IF(OR(AND(AF363="",AG363="ESCANEADO"),AND(AF363&lt;&gt;"",AG363&lt;&gt;"ESCANEADO")),"Barcode/estado inconsistente",""),IF(AK363&lt;&gt;"",AK363,"")))</f>
        <v/>
      </c>
      <c r="AJ363" s="21" t="n"/>
      <c r="AK363" s="17">
        <f>IF(G363="","",IF(OR(COUNTIFS($G$5:$G$445,G363,$I$5:$I$445,I363,$J$5:$J$445,J363,$P$5:$P$445,P363)&gt;1,AND(AF363&lt;&gt;"",COUNTIF($AF$5:$AF$445,AF363)&gt;1)),"REVISAR_POSIBLE_DUPLICADO",""))</f>
        <v/>
      </c>
    </row>
    <row r="364">
      <c r="A364" s="17" t="inlineStr">
        <is>
          <t>51c9fc41-deae-5c89-8038-d08c19a7cf7f</t>
        </is>
      </c>
      <c r="B364" s="18" t="inlineStr">
        <is>
          <t>NUEVO</t>
        </is>
      </c>
      <c r="C364" s="18" t="inlineStr">
        <is>
          <t>ACTIVO</t>
        </is>
      </c>
      <c r="D364" s="18" t="n"/>
      <c r="E364" s="17" t="n"/>
      <c r="F364" s="17" t="n"/>
      <c r="G364" s="19" t="n"/>
      <c r="H364" s="19" t="n"/>
      <c r="I364" s="20" t="n"/>
      <c r="J364" s="20" t="n"/>
      <c r="K364" s="21" t="n"/>
      <c r="L364" s="18" t="n"/>
      <c r="M364" s="22" t="n"/>
      <c r="N364" s="22" t="n"/>
      <c r="O364" s="23" t="n">
        <v>10</v>
      </c>
      <c r="P364" s="24" t="inlineStr">
        <is>
          <t>UNIDAD</t>
        </is>
      </c>
      <c r="Q364" s="20" t="inlineStr">
        <is>
          <t>NO</t>
        </is>
      </c>
      <c r="R364" s="20" t="inlineStr">
        <is>
          <t>NO</t>
        </is>
      </c>
      <c r="S364" s="25" t="n">
        <v>1</v>
      </c>
      <c r="T364" s="20" t="inlineStr">
        <is>
          <t>NO</t>
        </is>
      </c>
      <c r="U364" s="20" t="n"/>
      <c r="V364" s="21" t="n"/>
      <c r="W364" s="26" t="n"/>
      <c r="X364" s="27" t="n"/>
      <c r="Y364" s="20" t="n"/>
      <c r="Z364" s="20" t="n"/>
      <c r="AA364" s="26">
        <f>IF(X364="","",X364-IF(W364="",0,W364))</f>
        <v/>
      </c>
      <c r="AB364" s="28">
        <f>IF(OR(X364="",M364=""),"",X364*M364)</f>
        <v/>
      </c>
      <c r="AC364" s="28">
        <f>IF(OR(X364="",N364=""),"",X364*N364)</f>
        <v/>
      </c>
      <c r="AD364" s="28">
        <f>IF(OR(M364="",N364=""),"",N364-M364)</f>
        <v/>
      </c>
      <c r="AE364" s="29">
        <f>IFERROR(IF(M364&gt;0,(N364-M364)/M364,""),"")</f>
        <v/>
      </c>
      <c r="AF364" s="30" t="n"/>
      <c r="AG364" s="30" t="inlineStr">
        <is>
          <t>PENDIENTE</t>
        </is>
      </c>
      <c r="AH364" s="18">
        <f>IF(NOT(OR(B364="EXISTENTE",COUNTA(G364,H364,I364,J364,K364,M364,N364,U364,V364,X364,Y364,Z364,AF364,AJ364)&gt;0)),"",IF(AK364&lt;&gt;"","REVISAR",IF(OR(G364="",H364="",M364="",N364="",O364="",P364="",X364=""),"INCOMPLETO",IF(AI364&lt;&gt;"","REVISAR",IF(AND(AF364&lt;&gt;"",AG364="ESCANEADO"),"LISTO_COMPLETO","LISTO_SIN_BARCODE")))))</f>
        <v/>
      </c>
      <c r="AI364" s="17">
        <f>IF(NOT(OR(B364="EXISTENTE",COUNTA(G364,H364,I364,J364,K364,M364,N364,U364,V364,X364,Y364,Z364,AF364,AJ364)&gt;0)),"",TEXTJOIN(" | ",TRUE,IF(A364="","Falta ID staging",""),IF(COUNTIF($A$5:$A$445,A364)&gt;1,"ID staging duplicado",""),IF(G364="","Falta nombre",""),IF(LEN(G364)&gt;150,"Nombre &gt;150 caracteres",""),IF(H364="","Falta categoría",IF(COUNTIF(CategoriasLista,H364)=0,"Categoría inválida","")),IF(M364="","Falta precio compra",IF(OR(NOT(ISNUMBER(M364)),M364&lt;0),"Precio compra inválido","")),IF(N364="","Falta precio venta",IF(OR(NOT(ISNUMBER(N364)),N364&lt;=0,N364&lt;M364),"Precio venta inválido","")),IF(O364="","Falta stock mínimo",IF(OR(NOT(ISNUMBER(O364)),O364&lt;0,MOD(O364,1)&lt;&gt;0),"Stock mínimo inválido","")),IF(P364="","Falta unidad",IF(COUNTIF(UnidadesLista,P364)=0,"Unidad inválida","")),IF(AND(K364&lt;&gt;"",COUNTIF(ProveedoresLista,K364)=0),"Proveedor no catalogado",""),IF(X364="","Falta cantidad contada",IF(OR(NOT(ISNUMBER(X364)),X364&lt;0,ABS(X364*1000-ROUND(X364*1000,0))&gt;0.0000001),"Cantidad inválida",IF(AND(Q364="NO",MOD(X364,1)&lt;&gt;0),"Cantidad fraccionaria no permitida",""))),IF(AND(R364="SI",OR(NOT(ISNUMBER(S364)),S364&lt;1,MOD(S364,1)&lt;&gt;0)),"Empaque inválido",""),IF(OR(AND(AF364="",AG364="ESCANEADO"),AND(AF364&lt;&gt;"",AG364&lt;&gt;"ESCANEADO")),"Barcode/estado inconsistente",""),IF(AK364&lt;&gt;"",AK364,"")))</f>
        <v/>
      </c>
      <c r="AJ364" s="21" t="n"/>
      <c r="AK364" s="17">
        <f>IF(G364="","",IF(OR(COUNTIFS($G$5:$G$445,G364,$I$5:$I$445,I364,$J$5:$J$445,J364,$P$5:$P$445,P364)&gt;1,AND(AF364&lt;&gt;"",COUNTIF($AF$5:$AF$445,AF364)&gt;1)),"REVISAR_POSIBLE_DUPLICADO",""))</f>
        <v/>
      </c>
    </row>
    <row r="365">
      <c r="A365" s="17" t="inlineStr">
        <is>
          <t>1efa7cac-ef85-5b46-89a4-19d028666b42</t>
        </is>
      </c>
      <c r="B365" s="18" t="inlineStr">
        <is>
          <t>NUEVO</t>
        </is>
      </c>
      <c r="C365" s="18" t="inlineStr">
        <is>
          <t>ACTIVO</t>
        </is>
      </c>
      <c r="D365" s="18" t="n"/>
      <c r="E365" s="17" t="n"/>
      <c r="F365" s="17" t="n"/>
      <c r="G365" s="19" t="n"/>
      <c r="H365" s="19" t="n"/>
      <c r="I365" s="20" t="n"/>
      <c r="J365" s="20" t="n"/>
      <c r="K365" s="21" t="n"/>
      <c r="L365" s="18" t="n"/>
      <c r="M365" s="22" t="n"/>
      <c r="N365" s="22" t="n"/>
      <c r="O365" s="23" t="n">
        <v>10</v>
      </c>
      <c r="P365" s="24" t="inlineStr">
        <is>
          <t>UNIDAD</t>
        </is>
      </c>
      <c r="Q365" s="20" t="inlineStr">
        <is>
          <t>NO</t>
        </is>
      </c>
      <c r="R365" s="20" t="inlineStr">
        <is>
          <t>NO</t>
        </is>
      </c>
      <c r="S365" s="25" t="n">
        <v>1</v>
      </c>
      <c r="T365" s="20" t="inlineStr">
        <is>
          <t>NO</t>
        </is>
      </c>
      <c r="U365" s="20" t="n"/>
      <c r="V365" s="21" t="n"/>
      <c r="W365" s="26" t="n"/>
      <c r="X365" s="27" t="n"/>
      <c r="Y365" s="20" t="n"/>
      <c r="Z365" s="20" t="n"/>
      <c r="AA365" s="26">
        <f>IF(X365="","",X365-IF(W365="",0,W365))</f>
        <v/>
      </c>
      <c r="AB365" s="28">
        <f>IF(OR(X365="",M365=""),"",X365*M365)</f>
        <v/>
      </c>
      <c r="AC365" s="28">
        <f>IF(OR(X365="",N365=""),"",X365*N365)</f>
        <v/>
      </c>
      <c r="AD365" s="28">
        <f>IF(OR(M365="",N365=""),"",N365-M365)</f>
        <v/>
      </c>
      <c r="AE365" s="29">
        <f>IFERROR(IF(M365&gt;0,(N365-M365)/M365,""),"")</f>
        <v/>
      </c>
      <c r="AF365" s="30" t="n"/>
      <c r="AG365" s="30" t="inlineStr">
        <is>
          <t>PENDIENTE</t>
        </is>
      </c>
      <c r="AH365" s="18">
        <f>IF(NOT(OR(B365="EXISTENTE",COUNTA(G365,H365,I365,J365,K365,M365,N365,U365,V365,X365,Y365,Z365,AF365,AJ365)&gt;0)),"",IF(AK365&lt;&gt;"","REVISAR",IF(OR(G365="",H365="",M365="",N365="",O365="",P365="",X365=""),"INCOMPLETO",IF(AI365&lt;&gt;"","REVISAR",IF(AND(AF365&lt;&gt;"",AG365="ESCANEADO"),"LISTO_COMPLETO","LISTO_SIN_BARCODE")))))</f>
        <v/>
      </c>
      <c r="AI365" s="17">
        <f>IF(NOT(OR(B365="EXISTENTE",COUNTA(G365,H365,I365,J365,K365,M365,N365,U365,V365,X365,Y365,Z365,AF365,AJ365)&gt;0)),"",TEXTJOIN(" | ",TRUE,IF(A365="","Falta ID staging",""),IF(COUNTIF($A$5:$A$445,A365)&gt;1,"ID staging duplicado",""),IF(G365="","Falta nombre",""),IF(LEN(G365)&gt;150,"Nombre &gt;150 caracteres",""),IF(H365="","Falta categoría",IF(COUNTIF(CategoriasLista,H365)=0,"Categoría inválida","")),IF(M365="","Falta precio compra",IF(OR(NOT(ISNUMBER(M365)),M365&lt;0),"Precio compra inválido","")),IF(N365="","Falta precio venta",IF(OR(NOT(ISNUMBER(N365)),N365&lt;=0,N365&lt;M365),"Precio venta inválido","")),IF(O365="","Falta stock mínimo",IF(OR(NOT(ISNUMBER(O365)),O365&lt;0,MOD(O365,1)&lt;&gt;0),"Stock mínimo inválido","")),IF(P365="","Falta unidad",IF(COUNTIF(UnidadesLista,P365)=0,"Unidad inválida","")),IF(AND(K365&lt;&gt;"",COUNTIF(ProveedoresLista,K365)=0),"Proveedor no catalogado",""),IF(X365="","Falta cantidad contada",IF(OR(NOT(ISNUMBER(X365)),X365&lt;0,ABS(X365*1000-ROUND(X365*1000,0))&gt;0.0000001),"Cantidad inválida",IF(AND(Q365="NO",MOD(X365,1)&lt;&gt;0),"Cantidad fraccionaria no permitida",""))),IF(AND(R365="SI",OR(NOT(ISNUMBER(S365)),S365&lt;1,MOD(S365,1)&lt;&gt;0)),"Empaque inválido",""),IF(OR(AND(AF365="",AG365="ESCANEADO"),AND(AF365&lt;&gt;"",AG365&lt;&gt;"ESCANEADO")),"Barcode/estado inconsistente",""),IF(AK365&lt;&gt;"",AK365,"")))</f>
        <v/>
      </c>
      <c r="AJ365" s="21" t="n"/>
      <c r="AK365" s="17">
        <f>IF(G365="","",IF(OR(COUNTIFS($G$5:$G$445,G365,$I$5:$I$445,I365,$J$5:$J$445,J365,$P$5:$P$445,P365)&gt;1,AND(AF365&lt;&gt;"",COUNTIF($AF$5:$AF$445,AF365)&gt;1)),"REVISAR_POSIBLE_DUPLICADO",""))</f>
        <v/>
      </c>
    </row>
    <row r="366">
      <c r="A366" s="17" t="inlineStr">
        <is>
          <t>505d0d59-404e-552b-a0e3-e4c8e741a524</t>
        </is>
      </c>
      <c r="B366" s="18" t="inlineStr">
        <is>
          <t>NUEVO</t>
        </is>
      </c>
      <c r="C366" s="18" t="inlineStr">
        <is>
          <t>ACTIVO</t>
        </is>
      </c>
      <c r="D366" s="18" t="n"/>
      <c r="E366" s="17" t="n"/>
      <c r="F366" s="17" t="n"/>
      <c r="G366" s="19" t="n"/>
      <c r="H366" s="19" t="n"/>
      <c r="I366" s="20" t="n"/>
      <c r="J366" s="20" t="n"/>
      <c r="K366" s="21" t="n"/>
      <c r="L366" s="18" t="n"/>
      <c r="M366" s="22" t="n"/>
      <c r="N366" s="22" t="n"/>
      <c r="O366" s="23" t="n">
        <v>10</v>
      </c>
      <c r="P366" s="24" t="inlineStr">
        <is>
          <t>UNIDAD</t>
        </is>
      </c>
      <c r="Q366" s="20" t="inlineStr">
        <is>
          <t>NO</t>
        </is>
      </c>
      <c r="R366" s="20" t="inlineStr">
        <is>
          <t>NO</t>
        </is>
      </c>
      <c r="S366" s="25" t="n">
        <v>1</v>
      </c>
      <c r="T366" s="20" t="inlineStr">
        <is>
          <t>NO</t>
        </is>
      </c>
      <c r="U366" s="20" t="n"/>
      <c r="V366" s="21" t="n"/>
      <c r="W366" s="26" t="n"/>
      <c r="X366" s="27" t="n"/>
      <c r="Y366" s="20" t="n"/>
      <c r="Z366" s="20" t="n"/>
      <c r="AA366" s="26">
        <f>IF(X366="","",X366-IF(W366="",0,W366))</f>
        <v/>
      </c>
      <c r="AB366" s="28">
        <f>IF(OR(X366="",M366=""),"",X366*M366)</f>
        <v/>
      </c>
      <c r="AC366" s="28">
        <f>IF(OR(X366="",N366=""),"",X366*N366)</f>
        <v/>
      </c>
      <c r="AD366" s="28">
        <f>IF(OR(M366="",N366=""),"",N366-M366)</f>
        <v/>
      </c>
      <c r="AE366" s="29">
        <f>IFERROR(IF(M366&gt;0,(N366-M366)/M366,""),"")</f>
        <v/>
      </c>
      <c r="AF366" s="30" t="n"/>
      <c r="AG366" s="30" t="inlineStr">
        <is>
          <t>PENDIENTE</t>
        </is>
      </c>
      <c r="AH366" s="18">
        <f>IF(NOT(OR(B366="EXISTENTE",COUNTA(G366,H366,I366,J366,K366,M366,N366,U366,V366,X366,Y366,Z366,AF366,AJ366)&gt;0)),"",IF(AK366&lt;&gt;"","REVISAR",IF(OR(G366="",H366="",M366="",N366="",O366="",P366="",X366=""),"INCOMPLETO",IF(AI366&lt;&gt;"","REVISAR",IF(AND(AF366&lt;&gt;"",AG366="ESCANEADO"),"LISTO_COMPLETO","LISTO_SIN_BARCODE")))))</f>
        <v/>
      </c>
      <c r="AI366" s="17">
        <f>IF(NOT(OR(B366="EXISTENTE",COUNTA(G366,H366,I366,J366,K366,M366,N366,U366,V366,X366,Y366,Z366,AF366,AJ366)&gt;0)),"",TEXTJOIN(" | ",TRUE,IF(A366="","Falta ID staging",""),IF(COUNTIF($A$5:$A$445,A366)&gt;1,"ID staging duplicado",""),IF(G366="","Falta nombre",""),IF(LEN(G366)&gt;150,"Nombre &gt;150 caracteres",""),IF(H366="","Falta categoría",IF(COUNTIF(CategoriasLista,H366)=0,"Categoría inválida","")),IF(M366="","Falta precio compra",IF(OR(NOT(ISNUMBER(M366)),M366&lt;0),"Precio compra inválido","")),IF(N366="","Falta precio venta",IF(OR(NOT(ISNUMBER(N366)),N366&lt;=0,N366&lt;M366),"Precio venta inválido","")),IF(O366="","Falta stock mínimo",IF(OR(NOT(ISNUMBER(O366)),O366&lt;0,MOD(O366,1)&lt;&gt;0),"Stock mínimo inválido","")),IF(P366="","Falta unidad",IF(COUNTIF(UnidadesLista,P366)=0,"Unidad inválida","")),IF(AND(K366&lt;&gt;"",COUNTIF(ProveedoresLista,K366)=0),"Proveedor no catalogado",""),IF(X366="","Falta cantidad contada",IF(OR(NOT(ISNUMBER(X366)),X366&lt;0,ABS(X366*1000-ROUND(X366*1000,0))&gt;0.0000001),"Cantidad inválida",IF(AND(Q366="NO",MOD(X366,1)&lt;&gt;0),"Cantidad fraccionaria no permitida",""))),IF(AND(R366="SI",OR(NOT(ISNUMBER(S366)),S366&lt;1,MOD(S366,1)&lt;&gt;0)),"Empaque inválido",""),IF(OR(AND(AF366="",AG366="ESCANEADO"),AND(AF366&lt;&gt;"",AG366&lt;&gt;"ESCANEADO")),"Barcode/estado inconsistente",""),IF(AK366&lt;&gt;"",AK366,"")))</f>
        <v/>
      </c>
      <c r="AJ366" s="21" t="n"/>
      <c r="AK366" s="17">
        <f>IF(G366="","",IF(OR(COUNTIFS($G$5:$G$445,G366,$I$5:$I$445,I366,$J$5:$J$445,J366,$P$5:$P$445,P366)&gt;1,AND(AF366&lt;&gt;"",COUNTIF($AF$5:$AF$445,AF366)&gt;1)),"REVISAR_POSIBLE_DUPLICADO",""))</f>
        <v/>
      </c>
    </row>
    <row r="367">
      <c r="A367" s="17" t="inlineStr">
        <is>
          <t>e8747cce-0da3-52c1-971f-c1dbdc2ea14f</t>
        </is>
      </c>
      <c r="B367" s="18" t="inlineStr">
        <is>
          <t>NUEVO</t>
        </is>
      </c>
      <c r="C367" s="18" t="inlineStr">
        <is>
          <t>ACTIVO</t>
        </is>
      </c>
      <c r="D367" s="18" t="n"/>
      <c r="E367" s="17" t="n"/>
      <c r="F367" s="17" t="n"/>
      <c r="G367" s="19" t="n"/>
      <c r="H367" s="19" t="n"/>
      <c r="I367" s="20" t="n"/>
      <c r="J367" s="20" t="n"/>
      <c r="K367" s="21" t="n"/>
      <c r="L367" s="18" t="n"/>
      <c r="M367" s="22" t="n"/>
      <c r="N367" s="22" t="n"/>
      <c r="O367" s="23" t="n">
        <v>10</v>
      </c>
      <c r="P367" s="24" t="inlineStr">
        <is>
          <t>UNIDAD</t>
        </is>
      </c>
      <c r="Q367" s="20" t="inlineStr">
        <is>
          <t>NO</t>
        </is>
      </c>
      <c r="R367" s="20" t="inlineStr">
        <is>
          <t>NO</t>
        </is>
      </c>
      <c r="S367" s="25" t="n">
        <v>1</v>
      </c>
      <c r="T367" s="20" t="inlineStr">
        <is>
          <t>NO</t>
        </is>
      </c>
      <c r="U367" s="20" t="n"/>
      <c r="V367" s="21" t="n"/>
      <c r="W367" s="26" t="n"/>
      <c r="X367" s="27" t="n"/>
      <c r="Y367" s="20" t="n"/>
      <c r="Z367" s="20" t="n"/>
      <c r="AA367" s="26">
        <f>IF(X367="","",X367-IF(W367="",0,W367))</f>
        <v/>
      </c>
      <c r="AB367" s="28">
        <f>IF(OR(X367="",M367=""),"",X367*M367)</f>
        <v/>
      </c>
      <c r="AC367" s="28">
        <f>IF(OR(X367="",N367=""),"",X367*N367)</f>
        <v/>
      </c>
      <c r="AD367" s="28">
        <f>IF(OR(M367="",N367=""),"",N367-M367)</f>
        <v/>
      </c>
      <c r="AE367" s="29">
        <f>IFERROR(IF(M367&gt;0,(N367-M367)/M367,""),"")</f>
        <v/>
      </c>
      <c r="AF367" s="30" t="n"/>
      <c r="AG367" s="30" t="inlineStr">
        <is>
          <t>PENDIENTE</t>
        </is>
      </c>
      <c r="AH367" s="18">
        <f>IF(NOT(OR(B367="EXISTENTE",COUNTA(G367,H367,I367,J367,K367,M367,N367,U367,V367,X367,Y367,Z367,AF367,AJ367)&gt;0)),"",IF(AK367&lt;&gt;"","REVISAR",IF(OR(G367="",H367="",M367="",N367="",O367="",P367="",X367=""),"INCOMPLETO",IF(AI367&lt;&gt;"","REVISAR",IF(AND(AF367&lt;&gt;"",AG367="ESCANEADO"),"LISTO_COMPLETO","LISTO_SIN_BARCODE")))))</f>
        <v/>
      </c>
      <c r="AI367" s="17">
        <f>IF(NOT(OR(B367="EXISTENTE",COUNTA(G367,H367,I367,J367,K367,M367,N367,U367,V367,X367,Y367,Z367,AF367,AJ367)&gt;0)),"",TEXTJOIN(" | ",TRUE,IF(A367="","Falta ID staging",""),IF(COUNTIF($A$5:$A$445,A367)&gt;1,"ID staging duplicado",""),IF(G367="","Falta nombre",""),IF(LEN(G367)&gt;150,"Nombre &gt;150 caracteres",""),IF(H367="","Falta categoría",IF(COUNTIF(CategoriasLista,H367)=0,"Categoría inválida","")),IF(M367="","Falta precio compra",IF(OR(NOT(ISNUMBER(M367)),M367&lt;0),"Precio compra inválido","")),IF(N367="","Falta precio venta",IF(OR(NOT(ISNUMBER(N367)),N367&lt;=0,N367&lt;M367),"Precio venta inválido","")),IF(O367="","Falta stock mínimo",IF(OR(NOT(ISNUMBER(O367)),O367&lt;0,MOD(O367,1)&lt;&gt;0),"Stock mínimo inválido","")),IF(P367="","Falta unidad",IF(COUNTIF(UnidadesLista,P367)=0,"Unidad inválida","")),IF(AND(K367&lt;&gt;"",COUNTIF(ProveedoresLista,K367)=0),"Proveedor no catalogado",""),IF(X367="","Falta cantidad contada",IF(OR(NOT(ISNUMBER(X367)),X367&lt;0,ABS(X367*1000-ROUND(X367*1000,0))&gt;0.0000001),"Cantidad inválida",IF(AND(Q367="NO",MOD(X367,1)&lt;&gt;0),"Cantidad fraccionaria no permitida",""))),IF(AND(R367="SI",OR(NOT(ISNUMBER(S367)),S367&lt;1,MOD(S367,1)&lt;&gt;0)),"Empaque inválido",""),IF(OR(AND(AF367="",AG367="ESCANEADO"),AND(AF367&lt;&gt;"",AG367&lt;&gt;"ESCANEADO")),"Barcode/estado inconsistente",""),IF(AK367&lt;&gt;"",AK367,"")))</f>
        <v/>
      </c>
      <c r="AJ367" s="21" t="n"/>
      <c r="AK367" s="17">
        <f>IF(G367="","",IF(OR(COUNTIFS($G$5:$G$445,G367,$I$5:$I$445,I367,$J$5:$J$445,J367,$P$5:$P$445,P367)&gt;1,AND(AF367&lt;&gt;"",COUNTIF($AF$5:$AF$445,AF367)&gt;1)),"REVISAR_POSIBLE_DUPLICADO",""))</f>
        <v/>
      </c>
    </row>
    <row r="368">
      <c r="A368" s="17" t="inlineStr">
        <is>
          <t>7142da49-f569-50a6-998f-13fc22462721</t>
        </is>
      </c>
      <c r="B368" s="18" t="inlineStr">
        <is>
          <t>NUEVO</t>
        </is>
      </c>
      <c r="C368" s="18" t="inlineStr">
        <is>
          <t>ACTIVO</t>
        </is>
      </c>
      <c r="D368" s="18" t="n"/>
      <c r="E368" s="17" t="n"/>
      <c r="F368" s="17" t="n"/>
      <c r="G368" s="19" t="n"/>
      <c r="H368" s="19" t="n"/>
      <c r="I368" s="20" t="n"/>
      <c r="J368" s="20" t="n"/>
      <c r="K368" s="21" t="n"/>
      <c r="L368" s="18" t="n"/>
      <c r="M368" s="22" t="n"/>
      <c r="N368" s="22" t="n"/>
      <c r="O368" s="23" t="n">
        <v>10</v>
      </c>
      <c r="P368" s="24" t="inlineStr">
        <is>
          <t>UNIDAD</t>
        </is>
      </c>
      <c r="Q368" s="20" t="inlineStr">
        <is>
          <t>NO</t>
        </is>
      </c>
      <c r="R368" s="20" t="inlineStr">
        <is>
          <t>NO</t>
        </is>
      </c>
      <c r="S368" s="25" t="n">
        <v>1</v>
      </c>
      <c r="T368" s="20" t="inlineStr">
        <is>
          <t>NO</t>
        </is>
      </c>
      <c r="U368" s="20" t="n"/>
      <c r="V368" s="21" t="n"/>
      <c r="W368" s="26" t="n"/>
      <c r="X368" s="27" t="n"/>
      <c r="Y368" s="20" t="n"/>
      <c r="Z368" s="20" t="n"/>
      <c r="AA368" s="26">
        <f>IF(X368="","",X368-IF(W368="",0,W368))</f>
        <v/>
      </c>
      <c r="AB368" s="28">
        <f>IF(OR(X368="",M368=""),"",X368*M368)</f>
        <v/>
      </c>
      <c r="AC368" s="28">
        <f>IF(OR(X368="",N368=""),"",X368*N368)</f>
        <v/>
      </c>
      <c r="AD368" s="28">
        <f>IF(OR(M368="",N368=""),"",N368-M368)</f>
        <v/>
      </c>
      <c r="AE368" s="29">
        <f>IFERROR(IF(M368&gt;0,(N368-M368)/M368,""),"")</f>
        <v/>
      </c>
      <c r="AF368" s="30" t="n"/>
      <c r="AG368" s="30" t="inlineStr">
        <is>
          <t>PENDIENTE</t>
        </is>
      </c>
      <c r="AH368" s="18">
        <f>IF(NOT(OR(B368="EXISTENTE",COUNTA(G368,H368,I368,J368,K368,M368,N368,U368,V368,X368,Y368,Z368,AF368,AJ368)&gt;0)),"",IF(AK368&lt;&gt;"","REVISAR",IF(OR(G368="",H368="",M368="",N368="",O368="",P368="",X368=""),"INCOMPLETO",IF(AI368&lt;&gt;"","REVISAR",IF(AND(AF368&lt;&gt;"",AG368="ESCANEADO"),"LISTO_COMPLETO","LISTO_SIN_BARCODE")))))</f>
        <v/>
      </c>
      <c r="AI368" s="17">
        <f>IF(NOT(OR(B368="EXISTENTE",COUNTA(G368,H368,I368,J368,K368,M368,N368,U368,V368,X368,Y368,Z368,AF368,AJ368)&gt;0)),"",TEXTJOIN(" | ",TRUE,IF(A368="","Falta ID staging",""),IF(COUNTIF($A$5:$A$445,A368)&gt;1,"ID staging duplicado",""),IF(G368="","Falta nombre",""),IF(LEN(G368)&gt;150,"Nombre &gt;150 caracteres",""),IF(H368="","Falta categoría",IF(COUNTIF(CategoriasLista,H368)=0,"Categoría inválida","")),IF(M368="","Falta precio compra",IF(OR(NOT(ISNUMBER(M368)),M368&lt;0),"Precio compra inválido","")),IF(N368="","Falta precio venta",IF(OR(NOT(ISNUMBER(N368)),N368&lt;=0,N368&lt;M368),"Precio venta inválido","")),IF(O368="","Falta stock mínimo",IF(OR(NOT(ISNUMBER(O368)),O368&lt;0,MOD(O368,1)&lt;&gt;0),"Stock mínimo inválido","")),IF(P368="","Falta unidad",IF(COUNTIF(UnidadesLista,P368)=0,"Unidad inválida","")),IF(AND(K368&lt;&gt;"",COUNTIF(ProveedoresLista,K368)=0),"Proveedor no catalogado",""),IF(X368="","Falta cantidad contada",IF(OR(NOT(ISNUMBER(X368)),X368&lt;0,ABS(X368*1000-ROUND(X368*1000,0))&gt;0.0000001),"Cantidad inválida",IF(AND(Q368="NO",MOD(X368,1)&lt;&gt;0),"Cantidad fraccionaria no permitida",""))),IF(AND(R368="SI",OR(NOT(ISNUMBER(S368)),S368&lt;1,MOD(S368,1)&lt;&gt;0)),"Empaque inválido",""),IF(OR(AND(AF368="",AG368="ESCANEADO"),AND(AF368&lt;&gt;"",AG368&lt;&gt;"ESCANEADO")),"Barcode/estado inconsistente",""),IF(AK368&lt;&gt;"",AK368,"")))</f>
        <v/>
      </c>
      <c r="AJ368" s="21" t="n"/>
      <c r="AK368" s="17">
        <f>IF(G368="","",IF(OR(COUNTIFS($G$5:$G$445,G368,$I$5:$I$445,I368,$J$5:$J$445,J368,$P$5:$P$445,P368)&gt;1,AND(AF368&lt;&gt;"",COUNTIF($AF$5:$AF$445,AF368)&gt;1)),"REVISAR_POSIBLE_DUPLICADO",""))</f>
        <v/>
      </c>
    </row>
    <row r="369">
      <c r="A369" s="17" t="inlineStr">
        <is>
          <t>bfdb7baf-ce96-5e87-8dd6-47c0c9981405</t>
        </is>
      </c>
      <c r="B369" s="18" t="inlineStr">
        <is>
          <t>NUEVO</t>
        </is>
      </c>
      <c r="C369" s="18" t="inlineStr">
        <is>
          <t>ACTIVO</t>
        </is>
      </c>
      <c r="D369" s="18" t="n"/>
      <c r="E369" s="17" t="n"/>
      <c r="F369" s="17" t="n"/>
      <c r="G369" s="19" t="n"/>
      <c r="H369" s="19" t="n"/>
      <c r="I369" s="20" t="n"/>
      <c r="J369" s="20" t="n"/>
      <c r="K369" s="21" t="n"/>
      <c r="L369" s="18" t="n"/>
      <c r="M369" s="22" t="n"/>
      <c r="N369" s="22" t="n"/>
      <c r="O369" s="23" t="n">
        <v>10</v>
      </c>
      <c r="P369" s="24" t="inlineStr">
        <is>
          <t>UNIDAD</t>
        </is>
      </c>
      <c r="Q369" s="20" t="inlineStr">
        <is>
          <t>NO</t>
        </is>
      </c>
      <c r="R369" s="20" t="inlineStr">
        <is>
          <t>NO</t>
        </is>
      </c>
      <c r="S369" s="25" t="n">
        <v>1</v>
      </c>
      <c r="T369" s="20" t="inlineStr">
        <is>
          <t>NO</t>
        </is>
      </c>
      <c r="U369" s="20" t="n"/>
      <c r="V369" s="21" t="n"/>
      <c r="W369" s="26" t="n"/>
      <c r="X369" s="27" t="n"/>
      <c r="Y369" s="20" t="n"/>
      <c r="Z369" s="20" t="n"/>
      <c r="AA369" s="26">
        <f>IF(X369="","",X369-IF(W369="",0,W369))</f>
        <v/>
      </c>
      <c r="AB369" s="28">
        <f>IF(OR(X369="",M369=""),"",X369*M369)</f>
        <v/>
      </c>
      <c r="AC369" s="28">
        <f>IF(OR(X369="",N369=""),"",X369*N369)</f>
        <v/>
      </c>
      <c r="AD369" s="28">
        <f>IF(OR(M369="",N369=""),"",N369-M369)</f>
        <v/>
      </c>
      <c r="AE369" s="29">
        <f>IFERROR(IF(M369&gt;0,(N369-M369)/M369,""),"")</f>
        <v/>
      </c>
      <c r="AF369" s="30" t="n"/>
      <c r="AG369" s="30" t="inlineStr">
        <is>
          <t>PENDIENTE</t>
        </is>
      </c>
      <c r="AH369" s="18">
        <f>IF(NOT(OR(B369="EXISTENTE",COUNTA(G369,H369,I369,J369,K369,M369,N369,U369,V369,X369,Y369,Z369,AF369,AJ369)&gt;0)),"",IF(AK369&lt;&gt;"","REVISAR",IF(OR(G369="",H369="",M369="",N369="",O369="",P369="",X369=""),"INCOMPLETO",IF(AI369&lt;&gt;"","REVISAR",IF(AND(AF369&lt;&gt;"",AG369="ESCANEADO"),"LISTO_COMPLETO","LISTO_SIN_BARCODE")))))</f>
        <v/>
      </c>
      <c r="AI369" s="17">
        <f>IF(NOT(OR(B369="EXISTENTE",COUNTA(G369,H369,I369,J369,K369,M369,N369,U369,V369,X369,Y369,Z369,AF369,AJ369)&gt;0)),"",TEXTJOIN(" | ",TRUE,IF(A369="","Falta ID staging",""),IF(COUNTIF($A$5:$A$445,A369)&gt;1,"ID staging duplicado",""),IF(G369="","Falta nombre",""),IF(LEN(G369)&gt;150,"Nombre &gt;150 caracteres",""),IF(H369="","Falta categoría",IF(COUNTIF(CategoriasLista,H369)=0,"Categoría inválida","")),IF(M369="","Falta precio compra",IF(OR(NOT(ISNUMBER(M369)),M369&lt;0),"Precio compra inválido","")),IF(N369="","Falta precio venta",IF(OR(NOT(ISNUMBER(N369)),N369&lt;=0,N369&lt;M369),"Precio venta inválido","")),IF(O369="","Falta stock mínimo",IF(OR(NOT(ISNUMBER(O369)),O369&lt;0,MOD(O369,1)&lt;&gt;0),"Stock mínimo inválido","")),IF(P369="","Falta unidad",IF(COUNTIF(UnidadesLista,P369)=0,"Unidad inválida","")),IF(AND(K369&lt;&gt;"",COUNTIF(ProveedoresLista,K369)=0),"Proveedor no catalogado",""),IF(X369="","Falta cantidad contada",IF(OR(NOT(ISNUMBER(X369)),X369&lt;0,ABS(X369*1000-ROUND(X369*1000,0))&gt;0.0000001),"Cantidad inválida",IF(AND(Q369="NO",MOD(X369,1)&lt;&gt;0),"Cantidad fraccionaria no permitida",""))),IF(AND(R369="SI",OR(NOT(ISNUMBER(S369)),S369&lt;1,MOD(S369,1)&lt;&gt;0)),"Empaque inválido",""),IF(OR(AND(AF369="",AG369="ESCANEADO"),AND(AF369&lt;&gt;"",AG369&lt;&gt;"ESCANEADO")),"Barcode/estado inconsistente",""),IF(AK369&lt;&gt;"",AK369,"")))</f>
        <v/>
      </c>
      <c r="AJ369" s="21" t="n"/>
      <c r="AK369" s="17">
        <f>IF(G369="","",IF(OR(COUNTIFS($G$5:$G$445,G369,$I$5:$I$445,I369,$J$5:$J$445,J369,$P$5:$P$445,P369)&gt;1,AND(AF369&lt;&gt;"",COUNTIF($AF$5:$AF$445,AF369)&gt;1)),"REVISAR_POSIBLE_DUPLICADO",""))</f>
        <v/>
      </c>
    </row>
    <row r="370">
      <c r="A370" s="17" t="inlineStr">
        <is>
          <t>479ac59a-bac0-52e5-8ccf-568969a65418</t>
        </is>
      </c>
      <c r="B370" s="18" t="inlineStr">
        <is>
          <t>NUEVO</t>
        </is>
      </c>
      <c r="C370" s="18" t="inlineStr">
        <is>
          <t>ACTIVO</t>
        </is>
      </c>
      <c r="D370" s="18" t="n"/>
      <c r="E370" s="17" t="n"/>
      <c r="F370" s="17" t="n"/>
      <c r="G370" s="19" t="n"/>
      <c r="H370" s="19" t="n"/>
      <c r="I370" s="20" t="n"/>
      <c r="J370" s="20" t="n"/>
      <c r="K370" s="21" t="n"/>
      <c r="L370" s="18" t="n"/>
      <c r="M370" s="22" t="n"/>
      <c r="N370" s="22" t="n"/>
      <c r="O370" s="23" t="n">
        <v>10</v>
      </c>
      <c r="P370" s="24" t="inlineStr">
        <is>
          <t>UNIDAD</t>
        </is>
      </c>
      <c r="Q370" s="20" t="inlineStr">
        <is>
          <t>NO</t>
        </is>
      </c>
      <c r="R370" s="20" t="inlineStr">
        <is>
          <t>NO</t>
        </is>
      </c>
      <c r="S370" s="25" t="n">
        <v>1</v>
      </c>
      <c r="T370" s="20" t="inlineStr">
        <is>
          <t>NO</t>
        </is>
      </c>
      <c r="U370" s="20" t="n"/>
      <c r="V370" s="21" t="n"/>
      <c r="W370" s="26" t="n"/>
      <c r="X370" s="27" t="n"/>
      <c r="Y370" s="20" t="n"/>
      <c r="Z370" s="20" t="n"/>
      <c r="AA370" s="26">
        <f>IF(X370="","",X370-IF(W370="",0,W370))</f>
        <v/>
      </c>
      <c r="AB370" s="28">
        <f>IF(OR(X370="",M370=""),"",X370*M370)</f>
        <v/>
      </c>
      <c r="AC370" s="28">
        <f>IF(OR(X370="",N370=""),"",X370*N370)</f>
        <v/>
      </c>
      <c r="AD370" s="28">
        <f>IF(OR(M370="",N370=""),"",N370-M370)</f>
        <v/>
      </c>
      <c r="AE370" s="29">
        <f>IFERROR(IF(M370&gt;0,(N370-M370)/M370,""),"")</f>
        <v/>
      </c>
      <c r="AF370" s="30" t="n"/>
      <c r="AG370" s="30" t="inlineStr">
        <is>
          <t>PENDIENTE</t>
        </is>
      </c>
      <c r="AH370" s="18">
        <f>IF(NOT(OR(B370="EXISTENTE",COUNTA(G370,H370,I370,J370,K370,M370,N370,U370,V370,X370,Y370,Z370,AF370,AJ370)&gt;0)),"",IF(AK370&lt;&gt;"","REVISAR",IF(OR(G370="",H370="",M370="",N370="",O370="",P370="",X370=""),"INCOMPLETO",IF(AI370&lt;&gt;"","REVISAR",IF(AND(AF370&lt;&gt;"",AG370="ESCANEADO"),"LISTO_COMPLETO","LISTO_SIN_BARCODE")))))</f>
        <v/>
      </c>
      <c r="AI370" s="17">
        <f>IF(NOT(OR(B370="EXISTENTE",COUNTA(G370,H370,I370,J370,K370,M370,N370,U370,V370,X370,Y370,Z370,AF370,AJ370)&gt;0)),"",TEXTJOIN(" | ",TRUE,IF(A370="","Falta ID staging",""),IF(COUNTIF($A$5:$A$445,A370)&gt;1,"ID staging duplicado",""),IF(G370="","Falta nombre",""),IF(LEN(G370)&gt;150,"Nombre &gt;150 caracteres",""),IF(H370="","Falta categoría",IF(COUNTIF(CategoriasLista,H370)=0,"Categoría inválida","")),IF(M370="","Falta precio compra",IF(OR(NOT(ISNUMBER(M370)),M370&lt;0),"Precio compra inválido","")),IF(N370="","Falta precio venta",IF(OR(NOT(ISNUMBER(N370)),N370&lt;=0,N370&lt;M370),"Precio venta inválido","")),IF(O370="","Falta stock mínimo",IF(OR(NOT(ISNUMBER(O370)),O370&lt;0,MOD(O370,1)&lt;&gt;0),"Stock mínimo inválido","")),IF(P370="","Falta unidad",IF(COUNTIF(UnidadesLista,P370)=0,"Unidad inválida","")),IF(AND(K370&lt;&gt;"",COUNTIF(ProveedoresLista,K370)=0),"Proveedor no catalogado",""),IF(X370="","Falta cantidad contada",IF(OR(NOT(ISNUMBER(X370)),X370&lt;0,ABS(X370*1000-ROUND(X370*1000,0))&gt;0.0000001),"Cantidad inválida",IF(AND(Q370="NO",MOD(X370,1)&lt;&gt;0),"Cantidad fraccionaria no permitida",""))),IF(AND(R370="SI",OR(NOT(ISNUMBER(S370)),S370&lt;1,MOD(S370,1)&lt;&gt;0)),"Empaque inválido",""),IF(OR(AND(AF370="",AG370="ESCANEADO"),AND(AF370&lt;&gt;"",AG370&lt;&gt;"ESCANEADO")),"Barcode/estado inconsistente",""),IF(AK370&lt;&gt;"",AK370,"")))</f>
        <v/>
      </c>
      <c r="AJ370" s="21" t="n"/>
      <c r="AK370" s="17">
        <f>IF(G370="","",IF(OR(COUNTIFS($G$5:$G$445,G370,$I$5:$I$445,I370,$J$5:$J$445,J370,$P$5:$P$445,P370)&gt;1,AND(AF370&lt;&gt;"",COUNTIF($AF$5:$AF$445,AF370)&gt;1)),"REVISAR_POSIBLE_DUPLICADO",""))</f>
        <v/>
      </c>
    </row>
    <row r="371">
      <c r="A371" s="17" t="inlineStr">
        <is>
          <t>ab74af59-f056-5239-9d06-30e14f1553ad</t>
        </is>
      </c>
      <c r="B371" s="18" t="inlineStr">
        <is>
          <t>NUEVO</t>
        </is>
      </c>
      <c r="C371" s="18" t="inlineStr">
        <is>
          <t>ACTIVO</t>
        </is>
      </c>
      <c r="D371" s="18" t="n"/>
      <c r="E371" s="17" t="n"/>
      <c r="F371" s="17" t="n"/>
      <c r="G371" s="19" t="n"/>
      <c r="H371" s="19" t="n"/>
      <c r="I371" s="20" t="n"/>
      <c r="J371" s="20" t="n"/>
      <c r="K371" s="21" t="n"/>
      <c r="L371" s="18" t="n"/>
      <c r="M371" s="22" t="n"/>
      <c r="N371" s="22" t="n"/>
      <c r="O371" s="23" t="n">
        <v>10</v>
      </c>
      <c r="P371" s="24" t="inlineStr">
        <is>
          <t>UNIDAD</t>
        </is>
      </c>
      <c r="Q371" s="20" t="inlineStr">
        <is>
          <t>NO</t>
        </is>
      </c>
      <c r="R371" s="20" t="inlineStr">
        <is>
          <t>NO</t>
        </is>
      </c>
      <c r="S371" s="25" t="n">
        <v>1</v>
      </c>
      <c r="T371" s="20" t="inlineStr">
        <is>
          <t>NO</t>
        </is>
      </c>
      <c r="U371" s="20" t="n"/>
      <c r="V371" s="21" t="n"/>
      <c r="W371" s="26" t="n"/>
      <c r="X371" s="27" t="n"/>
      <c r="Y371" s="20" t="n"/>
      <c r="Z371" s="20" t="n"/>
      <c r="AA371" s="26">
        <f>IF(X371="","",X371-IF(W371="",0,W371))</f>
        <v/>
      </c>
      <c r="AB371" s="28">
        <f>IF(OR(X371="",M371=""),"",X371*M371)</f>
        <v/>
      </c>
      <c r="AC371" s="28">
        <f>IF(OR(X371="",N371=""),"",X371*N371)</f>
        <v/>
      </c>
      <c r="AD371" s="28">
        <f>IF(OR(M371="",N371=""),"",N371-M371)</f>
        <v/>
      </c>
      <c r="AE371" s="29">
        <f>IFERROR(IF(M371&gt;0,(N371-M371)/M371,""),"")</f>
        <v/>
      </c>
      <c r="AF371" s="30" t="n"/>
      <c r="AG371" s="30" t="inlineStr">
        <is>
          <t>PENDIENTE</t>
        </is>
      </c>
      <c r="AH371" s="18">
        <f>IF(NOT(OR(B371="EXISTENTE",COUNTA(G371,H371,I371,J371,K371,M371,N371,U371,V371,X371,Y371,Z371,AF371,AJ371)&gt;0)),"",IF(AK371&lt;&gt;"","REVISAR",IF(OR(G371="",H371="",M371="",N371="",O371="",P371="",X371=""),"INCOMPLETO",IF(AI371&lt;&gt;"","REVISAR",IF(AND(AF371&lt;&gt;"",AG371="ESCANEADO"),"LISTO_COMPLETO","LISTO_SIN_BARCODE")))))</f>
        <v/>
      </c>
      <c r="AI371" s="17">
        <f>IF(NOT(OR(B371="EXISTENTE",COUNTA(G371,H371,I371,J371,K371,M371,N371,U371,V371,X371,Y371,Z371,AF371,AJ371)&gt;0)),"",TEXTJOIN(" | ",TRUE,IF(A371="","Falta ID staging",""),IF(COUNTIF($A$5:$A$445,A371)&gt;1,"ID staging duplicado",""),IF(G371="","Falta nombre",""),IF(LEN(G371)&gt;150,"Nombre &gt;150 caracteres",""),IF(H371="","Falta categoría",IF(COUNTIF(CategoriasLista,H371)=0,"Categoría inválida","")),IF(M371="","Falta precio compra",IF(OR(NOT(ISNUMBER(M371)),M371&lt;0),"Precio compra inválido","")),IF(N371="","Falta precio venta",IF(OR(NOT(ISNUMBER(N371)),N371&lt;=0,N371&lt;M371),"Precio venta inválido","")),IF(O371="","Falta stock mínimo",IF(OR(NOT(ISNUMBER(O371)),O371&lt;0,MOD(O371,1)&lt;&gt;0),"Stock mínimo inválido","")),IF(P371="","Falta unidad",IF(COUNTIF(UnidadesLista,P371)=0,"Unidad inválida","")),IF(AND(K371&lt;&gt;"",COUNTIF(ProveedoresLista,K371)=0),"Proveedor no catalogado",""),IF(X371="","Falta cantidad contada",IF(OR(NOT(ISNUMBER(X371)),X371&lt;0,ABS(X371*1000-ROUND(X371*1000,0))&gt;0.0000001),"Cantidad inválida",IF(AND(Q371="NO",MOD(X371,1)&lt;&gt;0),"Cantidad fraccionaria no permitida",""))),IF(AND(R371="SI",OR(NOT(ISNUMBER(S371)),S371&lt;1,MOD(S371,1)&lt;&gt;0)),"Empaque inválido",""),IF(OR(AND(AF371="",AG371="ESCANEADO"),AND(AF371&lt;&gt;"",AG371&lt;&gt;"ESCANEADO")),"Barcode/estado inconsistente",""),IF(AK371&lt;&gt;"",AK371,"")))</f>
        <v/>
      </c>
      <c r="AJ371" s="21" t="n"/>
      <c r="AK371" s="17">
        <f>IF(G371="","",IF(OR(COUNTIFS($G$5:$G$445,G371,$I$5:$I$445,I371,$J$5:$J$445,J371,$P$5:$P$445,P371)&gt;1,AND(AF371&lt;&gt;"",COUNTIF($AF$5:$AF$445,AF371)&gt;1)),"REVISAR_POSIBLE_DUPLICADO",""))</f>
        <v/>
      </c>
    </row>
    <row r="372">
      <c r="A372" s="17" t="inlineStr">
        <is>
          <t>d9f50f3a-ccb4-58ae-ad75-9b489a69fa74</t>
        </is>
      </c>
      <c r="B372" s="18" t="inlineStr">
        <is>
          <t>NUEVO</t>
        </is>
      </c>
      <c r="C372" s="18" t="inlineStr">
        <is>
          <t>ACTIVO</t>
        </is>
      </c>
      <c r="D372" s="18" t="n"/>
      <c r="E372" s="17" t="n"/>
      <c r="F372" s="17" t="n"/>
      <c r="G372" s="19" t="n"/>
      <c r="H372" s="19" t="n"/>
      <c r="I372" s="20" t="n"/>
      <c r="J372" s="20" t="n"/>
      <c r="K372" s="21" t="n"/>
      <c r="L372" s="18" t="n"/>
      <c r="M372" s="22" t="n"/>
      <c r="N372" s="22" t="n"/>
      <c r="O372" s="23" t="n">
        <v>10</v>
      </c>
      <c r="P372" s="24" t="inlineStr">
        <is>
          <t>UNIDAD</t>
        </is>
      </c>
      <c r="Q372" s="20" t="inlineStr">
        <is>
          <t>NO</t>
        </is>
      </c>
      <c r="R372" s="20" t="inlineStr">
        <is>
          <t>NO</t>
        </is>
      </c>
      <c r="S372" s="25" t="n">
        <v>1</v>
      </c>
      <c r="T372" s="20" t="inlineStr">
        <is>
          <t>NO</t>
        </is>
      </c>
      <c r="U372" s="20" t="n"/>
      <c r="V372" s="21" t="n"/>
      <c r="W372" s="26" t="n"/>
      <c r="X372" s="27" t="n"/>
      <c r="Y372" s="20" t="n"/>
      <c r="Z372" s="20" t="n"/>
      <c r="AA372" s="26">
        <f>IF(X372="","",X372-IF(W372="",0,W372))</f>
        <v/>
      </c>
      <c r="AB372" s="28">
        <f>IF(OR(X372="",M372=""),"",X372*M372)</f>
        <v/>
      </c>
      <c r="AC372" s="28">
        <f>IF(OR(X372="",N372=""),"",X372*N372)</f>
        <v/>
      </c>
      <c r="AD372" s="28">
        <f>IF(OR(M372="",N372=""),"",N372-M372)</f>
        <v/>
      </c>
      <c r="AE372" s="29">
        <f>IFERROR(IF(M372&gt;0,(N372-M372)/M372,""),"")</f>
        <v/>
      </c>
      <c r="AF372" s="30" t="n"/>
      <c r="AG372" s="30" t="inlineStr">
        <is>
          <t>PENDIENTE</t>
        </is>
      </c>
      <c r="AH372" s="18">
        <f>IF(NOT(OR(B372="EXISTENTE",COUNTA(G372,H372,I372,J372,K372,M372,N372,U372,V372,X372,Y372,Z372,AF372,AJ372)&gt;0)),"",IF(AK372&lt;&gt;"","REVISAR",IF(OR(G372="",H372="",M372="",N372="",O372="",P372="",X372=""),"INCOMPLETO",IF(AI372&lt;&gt;"","REVISAR",IF(AND(AF372&lt;&gt;"",AG372="ESCANEADO"),"LISTO_COMPLETO","LISTO_SIN_BARCODE")))))</f>
        <v/>
      </c>
      <c r="AI372" s="17">
        <f>IF(NOT(OR(B372="EXISTENTE",COUNTA(G372,H372,I372,J372,K372,M372,N372,U372,V372,X372,Y372,Z372,AF372,AJ372)&gt;0)),"",TEXTJOIN(" | ",TRUE,IF(A372="","Falta ID staging",""),IF(COUNTIF($A$5:$A$445,A372)&gt;1,"ID staging duplicado",""),IF(G372="","Falta nombre",""),IF(LEN(G372)&gt;150,"Nombre &gt;150 caracteres",""),IF(H372="","Falta categoría",IF(COUNTIF(CategoriasLista,H372)=0,"Categoría inválida","")),IF(M372="","Falta precio compra",IF(OR(NOT(ISNUMBER(M372)),M372&lt;0),"Precio compra inválido","")),IF(N372="","Falta precio venta",IF(OR(NOT(ISNUMBER(N372)),N372&lt;=0,N372&lt;M372),"Precio venta inválido","")),IF(O372="","Falta stock mínimo",IF(OR(NOT(ISNUMBER(O372)),O372&lt;0,MOD(O372,1)&lt;&gt;0),"Stock mínimo inválido","")),IF(P372="","Falta unidad",IF(COUNTIF(UnidadesLista,P372)=0,"Unidad inválida","")),IF(AND(K372&lt;&gt;"",COUNTIF(ProveedoresLista,K372)=0),"Proveedor no catalogado",""),IF(X372="","Falta cantidad contada",IF(OR(NOT(ISNUMBER(X372)),X372&lt;0,ABS(X372*1000-ROUND(X372*1000,0))&gt;0.0000001),"Cantidad inválida",IF(AND(Q372="NO",MOD(X372,1)&lt;&gt;0),"Cantidad fraccionaria no permitida",""))),IF(AND(R372="SI",OR(NOT(ISNUMBER(S372)),S372&lt;1,MOD(S372,1)&lt;&gt;0)),"Empaque inválido",""),IF(OR(AND(AF372="",AG372="ESCANEADO"),AND(AF372&lt;&gt;"",AG372&lt;&gt;"ESCANEADO")),"Barcode/estado inconsistente",""),IF(AK372&lt;&gt;"",AK372,"")))</f>
        <v/>
      </c>
      <c r="AJ372" s="21" t="n"/>
      <c r="AK372" s="17">
        <f>IF(G372="","",IF(OR(COUNTIFS($G$5:$G$445,G372,$I$5:$I$445,I372,$J$5:$J$445,J372,$P$5:$P$445,P372)&gt;1,AND(AF372&lt;&gt;"",COUNTIF($AF$5:$AF$445,AF372)&gt;1)),"REVISAR_POSIBLE_DUPLICADO",""))</f>
        <v/>
      </c>
    </row>
    <row r="373">
      <c r="A373" s="17" t="inlineStr">
        <is>
          <t>b49a75c7-752c-5fcc-af1d-c26cd73f28dd</t>
        </is>
      </c>
      <c r="B373" s="18" t="inlineStr">
        <is>
          <t>NUEVO</t>
        </is>
      </c>
      <c r="C373" s="18" t="inlineStr">
        <is>
          <t>ACTIVO</t>
        </is>
      </c>
      <c r="D373" s="18" t="n"/>
      <c r="E373" s="17" t="n"/>
      <c r="F373" s="17" t="n"/>
      <c r="G373" s="19" t="n"/>
      <c r="H373" s="19" t="n"/>
      <c r="I373" s="20" t="n"/>
      <c r="J373" s="20" t="n"/>
      <c r="K373" s="21" t="n"/>
      <c r="L373" s="18" t="n"/>
      <c r="M373" s="22" t="n"/>
      <c r="N373" s="22" t="n"/>
      <c r="O373" s="23" t="n">
        <v>10</v>
      </c>
      <c r="P373" s="24" t="inlineStr">
        <is>
          <t>UNIDAD</t>
        </is>
      </c>
      <c r="Q373" s="20" t="inlineStr">
        <is>
          <t>NO</t>
        </is>
      </c>
      <c r="R373" s="20" t="inlineStr">
        <is>
          <t>NO</t>
        </is>
      </c>
      <c r="S373" s="25" t="n">
        <v>1</v>
      </c>
      <c r="T373" s="20" t="inlineStr">
        <is>
          <t>NO</t>
        </is>
      </c>
      <c r="U373" s="20" t="n"/>
      <c r="V373" s="21" t="n"/>
      <c r="W373" s="26" t="n"/>
      <c r="X373" s="27" t="n"/>
      <c r="Y373" s="20" t="n"/>
      <c r="Z373" s="20" t="n"/>
      <c r="AA373" s="26">
        <f>IF(X373="","",X373-IF(W373="",0,W373))</f>
        <v/>
      </c>
      <c r="AB373" s="28">
        <f>IF(OR(X373="",M373=""),"",X373*M373)</f>
        <v/>
      </c>
      <c r="AC373" s="28">
        <f>IF(OR(X373="",N373=""),"",X373*N373)</f>
        <v/>
      </c>
      <c r="AD373" s="28">
        <f>IF(OR(M373="",N373=""),"",N373-M373)</f>
        <v/>
      </c>
      <c r="AE373" s="29">
        <f>IFERROR(IF(M373&gt;0,(N373-M373)/M373,""),"")</f>
        <v/>
      </c>
      <c r="AF373" s="30" t="n"/>
      <c r="AG373" s="30" t="inlineStr">
        <is>
          <t>PENDIENTE</t>
        </is>
      </c>
      <c r="AH373" s="18">
        <f>IF(NOT(OR(B373="EXISTENTE",COUNTA(G373,H373,I373,J373,K373,M373,N373,U373,V373,X373,Y373,Z373,AF373,AJ373)&gt;0)),"",IF(AK373&lt;&gt;"","REVISAR",IF(OR(G373="",H373="",M373="",N373="",O373="",P373="",X373=""),"INCOMPLETO",IF(AI373&lt;&gt;"","REVISAR",IF(AND(AF373&lt;&gt;"",AG373="ESCANEADO"),"LISTO_COMPLETO","LISTO_SIN_BARCODE")))))</f>
        <v/>
      </c>
      <c r="AI373" s="17">
        <f>IF(NOT(OR(B373="EXISTENTE",COUNTA(G373,H373,I373,J373,K373,M373,N373,U373,V373,X373,Y373,Z373,AF373,AJ373)&gt;0)),"",TEXTJOIN(" | ",TRUE,IF(A373="","Falta ID staging",""),IF(COUNTIF($A$5:$A$445,A373)&gt;1,"ID staging duplicado",""),IF(G373="","Falta nombre",""),IF(LEN(G373)&gt;150,"Nombre &gt;150 caracteres",""),IF(H373="","Falta categoría",IF(COUNTIF(CategoriasLista,H373)=0,"Categoría inválida","")),IF(M373="","Falta precio compra",IF(OR(NOT(ISNUMBER(M373)),M373&lt;0),"Precio compra inválido","")),IF(N373="","Falta precio venta",IF(OR(NOT(ISNUMBER(N373)),N373&lt;=0,N373&lt;M373),"Precio venta inválido","")),IF(O373="","Falta stock mínimo",IF(OR(NOT(ISNUMBER(O373)),O373&lt;0,MOD(O373,1)&lt;&gt;0),"Stock mínimo inválido","")),IF(P373="","Falta unidad",IF(COUNTIF(UnidadesLista,P373)=0,"Unidad inválida","")),IF(AND(K373&lt;&gt;"",COUNTIF(ProveedoresLista,K373)=0),"Proveedor no catalogado",""),IF(X373="","Falta cantidad contada",IF(OR(NOT(ISNUMBER(X373)),X373&lt;0,ABS(X373*1000-ROUND(X373*1000,0))&gt;0.0000001),"Cantidad inválida",IF(AND(Q373="NO",MOD(X373,1)&lt;&gt;0),"Cantidad fraccionaria no permitida",""))),IF(AND(R373="SI",OR(NOT(ISNUMBER(S373)),S373&lt;1,MOD(S373,1)&lt;&gt;0)),"Empaque inválido",""),IF(OR(AND(AF373="",AG373="ESCANEADO"),AND(AF373&lt;&gt;"",AG373&lt;&gt;"ESCANEADO")),"Barcode/estado inconsistente",""),IF(AK373&lt;&gt;"",AK373,"")))</f>
        <v/>
      </c>
      <c r="AJ373" s="21" t="n"/>
      <c r="AK373" s="17">
        <f>IF(G373="","",IF(OR(COUNTIFS($G$5:$G$445,G373,$I$5:$I$445,I373,$J$5:$J$445,J373,$P$5:$P$445,P373)&gt;1,AND(AF373&lt;&gt;"",COUNTIF($AF$5:$AF$445,AF373)&gt;1)),"REVISAR_POSIBLE_DUPLICADO",""))</f>
        <v/>
      </c>
    </row>
    <row r="374">
      <c r="A374" s="17" t="inlineStr">
        <is>
          <t>6b9ab599-f9cd-5e37-9a52-ecb79d75bc4b</t>
        </is>
      </c>
      <c r="B374" s="18" t="inlineStr">
        <is>
          <t>NUEVO</t>
        </is>
      </c>
      <c r="C374" s="18" t="inlineStr">
        <is>
          <t>ACTIVO</t>
        </is>
      </c>
      <c r="D374" s="18" t="n"/>
      <c r="E374" s="17" t="n"/>
      <c r="F374" s="17" t="n"/>
      <c r="G374" s="19" t="n"/>
      <c r="H374" s="19" t="n"/>
      <c r="I374" s="20" t="n"/>
      <c r="J374" s="20" t="n"/>
      <c r="K374" s="21" t="n"/>
      <c r="L374" s="18" t="n"/>
      <c r="M374" s="22" t="n"/>
      <c r="N374" s="22" t="n"/>
      <c r="O374" s="23" t="n">
        <v>10</v>
      </c>
      <c r="P374" s="24" t="inlineStr">
        <is>
          <t>UNIDAD</t>
        </is>
      </c>
      <c r="Q374" s="20" t="inlineStr">
        <is>
          <t>NO</t>
        </is>
      </c>
      <c r="R374" s="20" t="inlineStr">
        <is>
          <t>NO</t>
        </is>
      </c>
      <c r="S374" s="25" t="n">
        <v>1</v>
      </c>
      <c r="T374" s="20" t="inlineStr">
        <is>
          <t>NO</t>
        </is>
      </c>
      <c r="U374" s="20" t="n"/>
      <c r="V374" s="21" t="n"/>
      <c r="W374" s="26" t="n"/>
      <c r="X374" s="27" t="n"/>
      <c r="Y374" s="20" t="n"/>
      <c r="Z374" s="20" t="n"/>
      <c r="AA374" s="26">
        <f>IF(X374="","",X374-IF(W374="",0,W374))</f>
        <v/>
      </c>
      <c r="AB374" s="28">
        <f>IF(OR(X374="",M374=""),"",X374*M374)</f>
        <v/>
      </c>
      <c r="AC374" s="28">
        <f>IF(OR(X374="",N374=""),"",X374*N374)</f>
        <v/>
      </c>
      <c r="AD374" s="28">
        <f>IF(OR(M374="",N374=""),"",N374-M374)</f>
        <v/>
      </c>
      <c r="AE374" s="29">
        <f>IFERROR(IF(M374&gt;0,(N374-M374)/M374,""),"")</f>
        <v/>
      </c>
      <c r="AF374" s="30" t="n"/>
      <c r="AG374" s="30" t="inlineStr">
        <is>
          <t>PENDIENTE</t>
        </is>
      </c>
      <c r="AH374" s="18">
        <f>IF(NOT(OR(B374="EXISTENTE",COUNTA(G374,H374,I374,J374,K374,M374,N374,U374,V374,X374,Y374,Z374,AF374,AJ374)&gt;0)),"",IF(AK374&lt;&gt;"","REVISAR",IF(OR(G374="",H374="",M374="",N374="",O374="",P374="",X374=""),"INCOMPLETO",IF(AI374&lt;&gt;"","REVISAR",IF(AND(AF374&lt;&gt;"",AG374="ESCANEADO"),"LISTO_COMPLETO","LISTO_SIN_BARCODE")))))</f>
        <v/>
      </c>
      <c r="AI374" s="17">
        <f>IF(NOT(OR(B374="EXISTENTE",COUNTA(G374,H374,I374,J374,K374,M374,N374,U374,V374,X374,Y374,Z374,AF374,AJ374)&gt;0)),"",TEXTJOIN(" | ",TRUE,IF(A374="","Falta ID staging",""),IF(COUNTIF($A$5:$A$445,A374)&gt;1,"ID staging duplicado",""),IF(G374="","Falta nombre",""),IF(LEN(G374)&gt;150,"Nombre &gt;150 caracteres",""),IF(H374="","Falta categoría",IF(COUNTIF(CategoriasLista,H374)=0,"Categoría inválida","")),IF(M374="","Falta precio compra",IF(OR(NOT(ISNUMBER(M374)),M374&lt;0),"Precio compra inválido","")),IF(N374="","Falta precio venta",IF(OR(NOT(ISNUMBER(N374)),N374&lt;=0,N374&lt;M374),"Precio venta inválido","")),IF(O374="","Falta stock mínimo",IF(OR(NOT(ISNUMBER(O374)),O374&lt;0,MOD(O374,1)&lt;&gt;0),"Stock mínimo inválido","")),IF(P374="","Falta unidad",IF(COUNTIF(UnidadesLista,P374)=0,"Unidad inválida","")),IF(AND(K374&lt;&gt;"",COUNTIF(ProveedoresLista,K374)=0),"Proveedor no catalogado",""),IF(X374="","Falta cantidad contada",IF(OR(NOT(ISNUMBER(X374)),X374&lt;0,ABS(X374*1000-ROUND(X374*1000,0))&gt;0.0000001),"Cantidad inválida",IF(AND(Q374="NO",MOD(X374,1)&lt;&gt;0),"Cantidad fraccionaria no permitida",""))),IF(AND(R374="SI",OR(NOT(ISNUMBER(S374)),S374&lt;1,MOD(S374,1)&lt;&gt;0)),"Empaque inválido",""),IF(OR(AND(AF374="",AG374="ESCANEADO"),AND(AF374&lt;&gt;"",AG374&lt;&gt;"ESCANEADO")),"Barcode/estado inconsistente",""),IF(AK374&lt;&gt;"",AK374,"")))</f>
        <v/>
      </c>
      <c r="AJ374" s="21" t="n"/>
      <c r="AK374" s="17">
        <f>IF(G374="","",IF(OR(COUNTIFS($G$5:$G$445,G374,$I$5:$I$445,I374,$J$5:$J$445,J374,$P$5:$P$445,P374)&gt;1,AND(AF374&lt;&gt;"",COUNTIF($AF$5:$AF$445,AF374)&gt;1)),"REVISAR_POSIBLE_DUPLICADO",""))</f>
        <v/>
      </c>
    </row>
    <row r="375">
      <c r="A375" s="17" t="inlineStr">
        <is>
          <t>f17a3871-1018-5942-8a72-14a1abf1fbe8</t>
        </is>
      </c>
      <c r="B375" s="18" t="inlineStr">
        <is>
          <t>NUEVO</t>
        </is>
      </c>
      <c r="C375" s="18" t="inlineStr">
        <is>
          <t>ACTIVO</t>
        </is>
      </c>
      <c r="D375" s="18" t="n"/>
      <c r="E375" s="17" t="n"/>
      <c r="F375" s="17" t="n"/>
      <c r="G375" s="19" t="n"/>
      <c r="H375" s="19" t="n"/>
      <c r="I375" s="20" t="n"/>
      <c r="J375" s="20" t="n"/>
      <c r="K375" s="21" t="n"/>
      <c r="L375" s="18" t="n"/>
      <c r="M375" s="22" t="n"/>
      <c r="N375" s="22" t="n"/>
      <c r="O375" s="23" t="n">
        <v>10</v>
      </c>
      <c r="P375" s="24" t="inlineStr">
        <is>
          <t>UNIDAD</t>
        </is>
      </c>
      <c r="Q375" s="20" t="inlineStr">
        <is>
          <t>NO</t>
        </is>
      </c>
      <c r="R375" s="20" t="inlineStr">
        <is>
          <t>NO</t>
        </is>
      </c>
      <c r="S375" s="25" t="n">
        <v>1</v>
      </c>
      <c r="T375" s="20" t="inlineStr">
        <is>
          <t>NO</t>
        </is>
      </c>
      <c r="U375" s="20" t="n"/>
      <c r="V375" s="21" t="n"/>
      <c r="W375" s="26" t="n"/>
      <c r="X375" s="27" t="n"/>
      <c r="Y375" s="20" t="n"/>
      <c r="Z375" s="20" t="n"/>
      <c r="AA375" s="26">
        <f>IF(X375="","",X375-IF(W375="",0,W375))</f>
        <v/>
      </c>
      <c r="AB375" s="28">
        <f>IF(OR(X375="",M375=""),"",X375*M375)</f>
        <v/>
      </c>
      <c r="AC375" s="28">
        <f>IF(OR(X375="",N375=""),"",X375*N375)</f>
        <v/>
      </c>
      <c r="AD375" s="28">
        <f>IF(OR(M375="",N375=""),"",N375-M375)</f>
        <v/>
      </c>
      <c r="AE375" s="29">
        <f>IFERROR(IF(M375&gt;0,(N375-M375)/M375,""),"")</f>
        <v/>
      </c>
      <c r="AF375" s="30" t="n"/>
      <c r="AG375" s="30" t="inlineStr">
        <is>
          <t>PENDIENTE</t>
        </is>
      </c>
      <c r="AH375" s="18">
        <f>IF(NOT(OR(B375="EXISTENTE",COUNTA(G375,H375,I375,J375,K375,M375,N375,U375,V375,X375,Y375,Z375,AF375,AJ375)&gt;0)),"",IF(AK375&lt;&gt;"","REVISAR",IF(OR(G375="",H375="",M375="",N375="",O375="",P375="",X375=""),"INCOMPLETO",IF(AI375&lt;&gt;"","REVISAR",IF(AND(AF375&lt;&gt;"",AG375="ESCANEADO"),"LISTO_COMPLETO","LISTO_SIN_BARCODE")))))</f>
        <v/>
      </c>
      <c r="AI375" s="17">
        <f>IF(NOT(OR(B375="EXISTENTE",COUNTA(G375,H375,I375,J375,K375,M375,N375,U375,V375,X375,Y375,Z375,AF375,AJ375)&gt;0)),"",TEXTJOIN(" | ",TRUE,IF(A375="","Falta ID staging",""),IF(COUNTIF($A$5:$A$445,A375)&gt;1,"ID staging duplicado",""),IF(G375="","Falta nombre",""),IF(LEN(G375)&gt;150,"Nombre &gt;150 caracteres",""),IF(H375="","Falta categoría",IF(COUNTIF(CategoriasLista,H375)=0,"Categoría inválida","")),IF(M375="","Falta precio compra",IF(OR(NOT(ISNUMBER(M375)),M375&lt;0),"Precio compra inválido","")),IF(N375="","Falta precio venta",IF(OR(NOT(ISNUMBER(N375)),N375&lt;=0,N375&lt;M375),"Precio venta inválido","")),IF(O375="","Falta stock mínimo",IF(OR(NOT(ISNUMBER(O375)),O375&lt;0,MOD(O375,1)&lt;&gt;0),"Stock mínimo inválido","")),IF(P375="","Falta unidad",IF(COUNTIF(UnidadesLista,P375)=0,"Unidad inválida","")),IF(AND(K375&lt;&gt;"",COUNTIF(ProveedoresLista,K375)=0),"Proveedor no catalogado",""),IF(X375="","Falta cantidad contada",IF(OR(NOT(ISNUMBER(X375)),X375&lt;0,ABS(X375*1000-ROUND(X375*1000,0))&gt;0.0000001),"Cantidad inválida",IF(AND(Q375="NO",MOD(X375,1)&lt;&gt;0),"Cantidad fraccionaria no permitida",""))),IF(AND(R375="SI",OR(NOT(ISNUMBER(S375)),S375&lt;1,MOD(S375,1)&lt;&gt;0)),"Empaque inválido",""),IF(OR(AND(AF375="",AG375="ESCANEADO"),AND(AF375&lt;&gt;"",AG375&lt;&gt;"ESCANEADO")),"Barcode/estado inconsistente",""),IF(AK375&lt;&gt;"",AK375,"")))</f>
        <v/>
      </c>
      <c r="AJ375" s="21" t="n"/>
      <c r="AK375" s="17">
        <f>IF(G375="","",IF(OR(COUNTIFS($G$5:$G$445,G375,$I$5:$I$445,I375,$J$5:$J$445,J375,$P$5:$P$445,P375)&gt;1,AND(AF375&lt;&gt;"",COUNTIF($AF$5:$AF$445,AF375)&gt;1)),"REVISAR_POSIBLE_DUPLICADO",""))</f>
        <v/>
      </c>
    </row>
    <row r="376">
      <c r="A376" s="17" t="inlineStr">
        <is>
          <t>99a112d3-7410-5d81-9790-8c5592f1eb3d</t>
        </is>
      </c>
      <c r="B376" s="18" t="inlineStr">
        <is>
          <t>NUEVO</t>
        </is>
      </c>
      <c r="C376" s="18" t="inlineStr">
        <is>
          <t>ACTIVO</t>
        </is>
      </c>
      <c r="D376" s="18" t="n"/>
      <c r="E376" s="17" t="n"/>
      <c r="F376" s="17" t="n"/>
      <c r="G376" s="19" t="n"/>
      <c r="H376" s="19" t="n"/>
      <c r="I376" s="20" t="n"/>
      <c r="J376" s="20" t="n"/>
      <c r="K376" s="21" t="n"/>
      <c r="L376" s="18" t="n"/>
      <c r="M376" s="22" t="n"/>
      <c r="N376" s="22" t="n"/>
      <c r="O376" s="23" t="n">
        <v>10</v>
      </c>
      <c r="P376" s="24" t="inlineStr">
        <is>
          <t>UNIDAD</t>
        </is>
      </c>
      <c r="Q376" s="20" t="inlineStr">
        <is>
          <t>NO</t>
        </is>
      </c>
      <c r="R376" s="20" t="inlineStr">
        <is>
          <t>NO</t>
        </is>
      </c>
      <c r="S376" s="25" t="n">
        <v>1</v>
      </c>
      <c r="T376" s="20" t="inlineStr">
        <is>
          <t>NO</t>
        </is>
      </c>
      <c r="U376" s="20" t="n"/>
      <c r="V376" s="21" t="n"/>
      <c r="W376" s="26" t="n"/>
      <c r="X376" s="27" t="n"/>
      <c r="Y376" s="20" t="n"/>
      <c r="Z376" s="20" t="n"/>
      <c r="AA376" s="26">
        <f>IF(X376="","",X376-IF(W376="",0,W376))</f>
        <v/>
      </c>
      <c r="AB376" s="28">
        <f>IF(OR(X376="",M376=""),"",X376*M376)</f>
        <v/>
      </c>
      <c r="AC376" s="28">
        <f>IF(OR(X376="",N376=""),"",X376*N376)</f>
        <v/>
      </c>
      <c r="AD376" s="28">
        <f>IF(OR(M376="",N376=""),"",N376-M376)</f>
        <v/>
      </c>
      <c r="AE376" s="29">
        <f>IFERROR(IF(M376&gt;0,(N376-M376)/M376,""),"")</f>
        <v/>
      </c>
      <c r="AF376" s="30" t="n"/>
      <c r="AG376" s="30" t="inlineStr">
        <is>
          <t>PENDIENTE</t>
        </is>
      </c>
      <c r="AH376" s="18">
        <f>IF(NOT(OR(B376="EXISTENTE",COUNTA(G376,H376,I376,J376,K376,M376,N376,U376,V376,X376,Y376,Z376,AF376,AJ376)&gt;0)),"",IF(AK376&lt;&gt;"","REVISAR",IF(OR(G376="",H376="",M376="",N376="",O376="",P376="",X376=""),"INCOMPLETO",IF(AI376&lt;&gt;"","REVISAR",IF(AND(AF376&lt;&gt;"",AG376="ESCANEADO"),"LISTO_COMPLETO","LISTO_SIN_BARCODE")))))</f>
        <v/>
      </c>
      <c r="AI376" s="17">
        <f>IF(NOT(OR(B376="EXISTENTE",COUNTA(G376,H376,I376,J376,K376,M376,N376,U376,V376,X376,Y376,Z376,AF376,AJ376)&gt;0)),"",TEXTJOIN(" | ",TRUE,IF(A376="","Falta ID staging",""),IF(COUNTIF($A$5:$A$445,A376)&gt;1,"ID staging duplicado",""),IF(G376="","Falta nombre",""),IF(LEN(G376)&gt;150,"Nombre &gt;150 caracteres",""),IF(H376="","Falta categoría",IF(COUNTIF(CategoriasLista,H376)=0,"Categoría inválida","")),IF(M376="","Falta precio compra",IF(OR(NOT(ISNUMBER(M376)),M376&lt;0),"Precio compra inválido","")),IF(N376="","Falta precio venta",IF(OR(NOT(ISNUMBER(N376)),N376&lt;=0,N376&lt;M376),"Precio venta inválido","")),IF(O376="","Falta stock mínimo",IF(OR(NOT(ISNUMBER(O376)),O376&lt;0,MOD(O376,1)&lt;&gt;0),"Stock mínimo inválido","")),IF(P376="","Falta unidad",IF(COUNTIF(UnidadesLista,P376)=0,"Unidad inválida","")),IF(AND(K376&lt;&gt;"",COUNTIF(ProveedoresLista,K376)=0),"Proveedor no catalogado",""),IF(X376="","Falta cantidad contada",IF(OR(NOT(ISNUMBER(X376)),X376&lt;0,ABS(X376*1000-ROUND(X376*1000,0))&gt;0.0000001),"Cantidad inválida",IF(AND(Q376="NO",MOD(X376,1)&lt;&gt;0),"Cantidad fraccionaria no permitida",""))),IF(AND(R376="SI",OR(NOT(ISNUMBER(S376)),S376&lt;1,MOD(S376,1)&lt;&gt;0)),"Empaque inválido",""),IF(OR(AND(AF376="",AG376="ESCANEADO"),AND(AF376&lt;&gt;"",AG376&lt;&gt;"ESCANEADO")),"Barcode/estado inconsistente",""),IF(AK376&lt;&gt;"",AK376,"")))</f>
        <v/>
      </c>
      <c r="AJ376" s="21" t="n"/>
      <c r="AK376" s="17">
        <f>IF(G376="","",IF(OR(COUNTIFS($G$5:$G$445,G376,$I$5:$I$445,I376,$J$5:$J$445,J376,$P$5:$P$445,P376)&gt;1,AND(AF376&lt;&gt;"",COUNTIF($AF$5:$AF$445,AF376)&gt;1)),"REVISAR_POSIBLE_DUPLICADO",""))</f>
        <v/>
      </c>
    </row>
    <row r="377">
      <c r="A377" s="17" t="inlineStr">
        <is>
          <t>163e3a74-1770-54de-8280-d1b45ee45329</t>
        </is>
      </c>
      <c r="B377" s="18" t="inlineStr">
        <is>
          <t>NUEVO</t>
        </is>
      </c>
      <c r="C377" s="18" t="inlineStr">
        <is>
          <t>ACTIVO</t>
        </is>
      </c>
      <c r="D377" s="18" t="n"/>
      <c r="E377" s="17" t="n"/>
      <c r="F377" s="17" t="n"/>
      <c r="G377" s="19" t="n"/>
      <c r="H377" s="19" t="n"/>
      <c r="I377" s="20" t="n"/>
      <c r="J377" s="20" t="n"/>
      <c r="K377" s="21" t="n"/>
      <c r="L377" s="18" t="n"/>
      <c r="M377" s="22" t="n"/>
      <c r="N377" s="22" t="n"/>
      <c r="O377" s="23" t="n">
        <v>10</v>
      </c>
      <c r="P377" s="24" t="inlineStr">
        <is>
          <t>UNIDAD</t>
        </is>
      </c>
      <c r="Q377" s="20" t="inlineStr">
        <is>
          <t>NO</t>
        </is>
      </c>
      <c r="R377" s="20" t="inlineStr">
        <is>
          <t>NO</t>
        </is>
      </c>
      <c r="S377" s="25" t="n">
        <v>1</v>
      </c>
      <c r="T377" s="20" t="inlineStr">
        <is>
          <t>NO</t>
        </is>
      </c>
      <c r="U377" s="20" t="n"/>
      <c r="V377" s="21" t="n"/>
      <c r="W377" s="26" t="n"/>
      <c r="X377" s="27" t="n"/>
      <c r="Y377" s="20" t="n"/>
      <c r="Z377" s="20" t="n"/>
      <c r="AA377" s="26">
        <f>IF(X377="","",X377-IF(W377="",0,W377))</f>
        <v/>
      </c>
      <c r="AB377" s="28">
        <f>IF(OR(X377="",M377=""),"",X377*M377)</f>
        <v/>
      </c>
      <c r="AC377" s="28">
        <f>IF(OR(X377="",N377=""),"",X377*N377)</f>
        <v/>
      </c>
      <c r="AD377" s="28">
        <f>IF(OR(M377="",N377=""),"",N377-M377)</f>
        <v/>
      </c>
      <c r="AE377" s="29">
        <f>IFERROR(IF(M377&gt;0,(N377-M377)/M377,""),"")</f>
        <v/>
      </c>
      <c r="AF377" s="30" t="n"/>
      <c r="AG377" s="30" t="inlineStr">
        <is>
          <t>PENDIENTE</t>
        </is>
      </c>
      <c r="AH377" s="18">
        <f>IF(NOT(OR(B377="EXISTENTE",COUNTA(G377,H377,I377,J377,K377,M377,N377,U377,V377,X377,Y377,Z377,AF377,AJ377)&gt;0)),"",IF(AK377&lt;&gt;"","REVISAR",IF(OR(G377="",H377="",M377="",N377="",O377="",P377="",X377=""),"INCOMPLETO",IF(AI377&lt;&gt;"","REVISAR",IF(AND(AF377&lt;&gt;"",AG377="ESCANEADO"),"LISTO_COMPLETO","LISTO_SIN_BARCODE")))))</f>
        <v/>
      </c>
      <c r="AI377" s="17">
        <f>IF(NOT(OR(B377="EXISTENTE",COUNTA(G377,H377,I377,J377,K377,M377,N377,U377,V377,X377,Y377,Z377,AF377,AJ377)&gt;0)),"",TEXTJOIN(" | ",TRUE,IF(A377="","Falta ID staging",""),IF(COUNTIF($A$5:$A$445,A377)&gt;1,"ID staging duplicado",""),IF(G377="","Falta nombre",""),IF(LEN(G377)&gt;150,"Nombre &gt;150 caracteres",""),IF(H377="","Falta categoría",IF(COUNTIF(CategoriasLista,H377)=0,"Categoría inválida","")),IF(M377="","Falta precio compra",IF(OR(NOT(ISNUMBER(M377)),M377&lt;0),"Precio compra inválido","")),IF(N377="","Falta precio venta",IF(OR(NOT(ISNUMBER(N377)),N377&lt;=0,N377&lt;M377),"Precio venta inválido","")),IF(O377="","Falta stock mínimo",IF(OR(NOT(ISNUMBER(O377)),O377&lt;0,MOD(O377,1)&lt;&gt;0),"Stock mínimo inválido","")),IF(P377="","Falta unidad",IF(COUNTIF(UnidadesLista,P377)=0,"Unidad inválida","")),IF(AND(K377&lt;&gt;"",COUNTIF(ProveedoresLista,K377)=0),"Proveedor no catalogado",""),IF(X377="","Falta cantidad contada",IF(OR(NOT(ISNUMBER(X377)),X377&lt;0,ABS(X377*1000-ROUND(X377*1000,0))&gt;0.0000001),"Cantidad inválida",IF(AND(Q377="NO",MOD(X377,1)&lt;&gt;0),"Cantidad fraccionaria no permitida",""))),IF(AND(R377="SI",OR(NOT(ISNUMBER(S377)),S377&lt;1,MOD(S377,1)&lt;&gt;0)),"Empaque inválido",""),IF(OR(AND(AF377="",AG377="ESCANEADO"),AND(AF377&lt;&gt;"",AG377&lt;&gt;"ESCANEADO")),"Barcode/estado inconsistente",""),IF(AK377&lt;&gt;"",AK377,"")))</f>
        <v/>
      </c>
      <c r="AJ377" s="21" t="n"/>
      <c r="AK377" s="17">
        <f>IF(G377="","",IF(OR(COUNTIFS($G$5:$G$445,G377,$I$5:$I$445,I377,$J$5:$J$445,J377,$P$5:$P$445,P377)&gt;1,AND(AF377&lt;&gt;"",COUNTIF($AF$5:$AF$445,AF377)&gt;1)),"REVISAR_POSIBLE_DUPLICADO",""))</f>
        <v/>
      </c>
    </row>
    <row r="378">
      <c r="A378" s="17" t="inlineStr">
        <is>
          <t>38386d59-d653-50d5-b183-815e241588a3</t>
        </is>
      </c>
      <c r="B378" s="18" t="inlineStr">
        <is>
          <t>NUEVO</t>
        </is>
      </c>
      <c r="C378" s="18" t="inlineStr">
        <is>
          <t>ACTIVO</t>
        </is>
      </c>
      <c r="D378" s="18" t="n"/>
      <c r="E378" s="17" t="n"/>
      <c r="F378" s="17" t="n"/>
      <c r="G378" s="19" t="n"/>
      <c r="H378" s="19" t="n"/>
      <c r="I378" s="20" t="n"/>
      <c r="J378" s="20" t="n"/>
      <c r="K378" s="21" t="n"/>
      <c r="L378" s="18" t="n"/>
      <c r="M378" s="22" t="n"/>
      <c r="N378" s="22" t="n"/>
      <c r="O378" s="23" t="n">
        <v>10</v>
      </c>
      <c r="P378" s="24" t="inlineStr">
        <is>
          <t>UNIDAD</t>
        </is>
      </c>
      <c r="Q378" s="20" t="inlineStr">
        <is>
          <t>NO</t>
        </is>
      </c>
      <c r="R378" s="20" t="inlineStr">
        <is>
          <t>NO</t>
        </is>
      </c>
      <c r="S378" s="25" t="n">
        <v>1</v>
      </c>
      <c r="T378" s="20" t="inlineStr">
        <is>
          <t>NO</t>
        </is>
      </c>
      <c r="U378" s="20" t="n"/>
      <c r="V378" s="21" t="n"/>
      <c r="W378" s="26" t="n"/>
      <c r="X378" s="27" t="n"/>
      <c r="Y378" s="20" t="n"/>
      <c r="Z378" s="20" t="n"/>
      <c r="AA378" s="26">
        <f>IF(X378="","",X378-IF(W378="",0,W378))</f>
        <v/>
      </c>
      <c r="AB378" s="28">
        <f>IF(OR(X378="",M378=""),"",X378*M378)</f>
        <v/>
      </c>
      <c r="AC378" s="28">
        <f>IF(OR(X378="",N378=""),"",X378*N378)</f>
        <v/>
      </c>
      <c r="AD378" s="28">
        <f>IF(OR(M378="",N378=""),"",N378-M378)</f>
        <v/>
      </c>
      <c r="AE378" s="29">
        <f>IFERROR(IF(M378&gt;0,(N378-M378)/M378,""),"")</f>
        <v/>
      </c>
      <c r="AF378" s="30" t="n"/>
      <c r="AG378" s="30" t="inlineStr">
        <is>
          <t>PENDIENTE</t>
        </is>
      </c>
      <c r="AH378" s="18">
        <f>IF(NOT(OR(B378="EXISTENTE",COUNTA(G378,H378,I378,J378,K378,M378,N378,U378,V378,X378,Y378,Z378,AF378,AJ378)&gt;0)),"",IF(AK378&lt;&gt;"","REVISAR",IF(OR(G378="",H378="",M378="",N378="",O378="",P378="",X378=""),"INCOMPLETO",IF(AI378&lt;&gt;"","REVISAR",IF(AND(AF378&lt;&gt;"",AG378="ESCANEADO"),"LISTO_COMPLETO","LISTO_SIN_BARCODE")))))</f>
        <v/>
      </c>
      <c r="AI378" s="17">
        <f>IF(NOT(OR(B378="EXISTENTE",COUNTA(G378,H378,I378,J378,K378,M378,N378,U378,V378,X378,Y378,Z378,AF378,AJ378)&gt;0)),"",TEXTJOIN(" | ",TRUE,IF(A378="","Falta ID staging",""),IF(COUNTIF($A$5:$A$445,A378)&gt;1,"ID staging duplicado",""),IF(G378="","Falta nombre",""),IF(LEN(G378)&gt;150,"Nombre &gt;150 caracteres",""),IF(H378="","Falta categoría",IF(COUNTIF(CategoriasLista,H378)=0,"Categoría inválida","")),IF(M378="","Falta precio compra",IF(OR(NOT(ISNUMBER(M378)),M378&lt;0),"Precio compra inválido","")),IF(N378="","Falta precio venta",IF(OR(NOT(ISNUMBER(N378)),N378&lt;=0,N378&lt;M378),"Precio venta inválido","")),IF(O378="","Falta stock mínimo",IF(OR(NOT(ISNUMBER(O378)),O378&lt;0,MOD(O378,1)&lt;&gt;0),"Stock mínimo inválido","")),IF(P378="","Falta unidad",IF(COUNTIF(UnidadesLista,P378)=0,"Unidad inválida","")),IF(AND(K378&lt;&gt;"",COUNTIF(ProveedoresLista,K378)=0),"Proveedor no catalogado",""),IF(X378="","Falta cantidad contada",IF(OR(NOT(ISNUMBER(X378)),X378&lt;0,ABS(X378*1000-ROUND(X378*1000,0))&gt;0.0000001),"Cantidad inválida",IF(AND(Q378="NO",MOD(X378,1)&lt;&gt;0),"Cantidad fraccionaria no permitida",""))),IF(AND(R378="SI",OR(NOT(ISNUMBER(S378)),S378&lt;1,MOD(S378,1)&lt;&gt;0)),"Empaque inválido",""),IF(OR(AND(AF378="",AG378="ESCANEADO"),AND(AF378&lt;&gt;"",AG378&lt;&gt;"ESCANEADO")),"Barcode/estado inconsistente",""),IF(AK378&lt;&gt;"",AK378,"")))</f>
        <v/>
      </c>
      <c r="AJ378" s="21" t="n"/>
      <c r="AK378" s="17">
        <f>IF(G378="","",IF(OR(COUNTIFS($G$5:$G$445,G378,$I$5:$I$445,I378,$J$5:$J$445,J378,$P$5:$P$445,P378)&gt;1,AND(AF378&lt;&gt;"",COUNTIF($AF$5:$AF$445,AF378)&gt;1)),"REVISAR_POSIBLE_DUPLICADO",""))</f>
        <v/>
      </c>
    </row>
    <row r="379">
      <c r="A379" s="17" t="inlineStr">
        <is>
          <t>654d86bb-2bf5-5bc1-b961-41c7f88306fc</t>
        </is>
      </c>
      <c r="B379" s="18" t="inlineStr">
        <is>
          <t>NUEVO</t>
        </is>
      </c>
      <c r="C379" s="18" t="inlineStr">
        <is>
          <t>ACTIVO</t>
        </is>
      </c>
      <c r="D379" s="18" t="n"/>
      <c r="E379" s="17" t="n"/>
      <c r="F379" s="17" t="n"/>
      <c r="G379" s="19" t="n"/>
      <c r="H379" s="19" t="n"/>
      <c r="I379" s="20" t="n"/>
      <c r="J379" s="20" t="n"/>
      <c r="K379" s="21" t="n"/>
      <c r="L379" s="18" t="n"/>
      <c r="M379" s="22" t="n"/>
      <c r="N379" s="22" t="n"/>
      <c r="O379" s="23" t="n">
        <v>10</v>
      </c>
      <c r="P379" s="24" t="inlineStr">
        <is>
          <t>UNIDAD</t>
        </is>
      </c>
      <c r="Q379" s="20" t="inlineStr">
        <is>
          <t>NO</t>
        </is>
      </c>
      <c r="R379" s="20" t="inlineStr">
        <is>
          <t>NO</t>
        </is>
      </c>
      <c r="S379" s="25" t="n">
        <v>1</v>
      </c>
      <c r="T379" s="20" t="inlineStr">
        <is>
          <t>NO</t>
        </is>
      </c>
      <c r="U379" s="20" t="n"/>
      <c r="V379" s="21" t="n"/>
      <c r="W379" s="26" t="n"/>
      <c r="X379" s="27" t="n"/>
      <c r="Y379" s="20" t="n"/>
      <c r="Z379" s="20" t="n"/>
      <c r="AA379" s="26">
        <f>IF(X379="","",X379-IF(W379="",0,W379))</f>
        <v/>
      </c>
      <c r="AB379" s="28">
        <f>IF(OR(X379="",M379=""),"",X379*M379)</f>
        <v/>
      </c>
      <c r="AC379" s="28">
        <f>IF(OR(X379="",N379=""),"",X379*N379)</f>
        <v/>
      </c>
      <c r="AD379" s="28">
        <f>IF(OR(M379="",N379=""),"",N379-M379)</f>
        <v/>
      </c>
      <c r="AE379" s="29">
        <f>IFERROR(IF(M379&gt;0,(N379-M379)/M379,""),"")</f>
        <v/>
      </c>
      <c r="AF379" s="30" t="n"/>
      <c r="AG379" s="30" t="inlineStr">
        <is>
          <t>PENDIENTE</t>
        </is>
      </c>
      <c r="AH379" s="18">
        <f>IF(NOT(OR(B379="EXISTENTE",COUNTA(G379,H379,I379,J379,K379,M379,N379,U379,V379,X379,Y379,Z379,AF379,AJ379)&gt;0)),"",IF(AK379&lt;&gt;"","REVISAR",IF(OR(G379="",H379="",M379="",N379="",O379="",P379="",X379=""),"INCOMPLETO",IF(AI379&lt;&gt;"","REVISAR",IF(AND(AF379&lt;&gt;"",AG379="ESCANEADO"),"LISTO_COMPLETO","LISTO_SIN_BARCODE")))))</f>
        <v/>
      </c>
      <c r="AI379" s="17">
        <f>IF(NOT(OR(B379="EXISTENTE",COUNTA(G379,H379,I379,J379,K379,M379,N379,U379,V379,X379,Y379,Z379,AF379,AJ379)&gt;0)),"",TEXTJOIN(" | ",TRUE,IF(A379="","Falta ID staging",""),IF(COUNTIF($A$5:$A$445,A379)&gt;1,"ID staging duplicado",""),IF(G379="","Falta nombre",""),IF(LEN(G379)&gt;150,"Nombre &gt;150 caracteres",""),IF(H379="","Falta categoría",IF(COUNTIF(CategoriasLista,H379)=0,"Categoría inválida","")),IF(M379="","Falta precio compra",IF(OR(NOT(ISNUMBER(M379)),M379&lt;0),"Precio compra inválido","")),IF(N379="","Falta precio venta",IF(OR(NOT(ISNUMBER(N379)),N379&lt;=0,N379&lt;M379),"Precio venta inválido","")),IF(O379="","Falta stock mínimo",IF(OR(NOT(ISNUMBER(O379)),O379&lt;0,MOD(O379,1)&lt;&gt;0),"Stock mínimo inválido","")),IF(P379="","Falta unidad",IF(COUNTIF(UnidadesLista,P379)=0,"Unidad inválida","")),IF(AND(K379&lt;&gt;"",COUNTIF(ProveedoresLista,K379)=0),"Proveedor no catalogado",""),IF(X379="","Falta cantidad contada",IF(OR(NOT(ISNUMBER(X379)),X379&lt;0,ABS(X379*1000-ROUND(X379*1000,0))&gt;0.0000001),"Cantidad inválida",IF(AND(Q379="NO",MOD(X379,1)&lt;&gt;0),"Cantidad fraccionaria no permitida",""))),IF(AND(R379="SI",OR(NOT(ISNUMBER(S379)),S379&lt;1,MOD(S379,1)&lt;&gt;0)),"Empaque inválido",""),IF(OR(AND(AF379="",AG379="ESCANEADO"),AND(AF379&lt;&gt;"",AG379&lt;&gt;"ESCANEADO")),"Barcode/estado inconsistente",""),IF(AK379&lt;&gt;"",AK379,"")))</f>
        <v/>
      </c>
      <c r="AJ379" s="21" t="n"/>
      <c r="AK379" s="17">
        <f>IF(G379="","",IF(OR(COUNTIFS($G$5:$G$445,G379,$I$5:$I$445,I379,$J$5:$J$445,J379,$P$5:$P$445,P379)&gt;1,AND(AF379&lt;&gt;"",COUNTIF($AF$5:$AF$445,AF379)&gt;1)),"REVISAR_POSIBLE_DUPLICADO",""))</f>
        <v/>
      </c>
    </row>
    <row r="380">
      <c r="A380" s="17" t="inlineStr">
        <is>
          <t>344dc9a3-63c0-5782-af30-736c15bb887d</t>
        </is>
      </c>
      <c r="B380" s="18" t="inlineStr">
        <is>
          <t>NUEVO</t>
        </is>
      </c>
      <c r="C380" s="18" t="inlineStr">
        <is>
          <t>ACTIVO</t>
        </is>
      </c>
      <c r="D380" s="18" t="n"/>
      <c r="E380" s="17" t="n"/>
      <c r="F380" s="17" t="n"/>
      <c r="G380" s="19" t="n"/>
      <c r="H380" s="19" t="n"/>
      <c r="I380" s="20" t="n"/>
      <c r="J380" s="20" t="n"/>
      <c r="K380" s="21" t="n"/>
      <c r="L380" s="18" t="n"/>
      <c r="M380" s="22" t="n"/>
      <c r="N380" s="22" t="n"/>
      <c r="O380" s="23" t="n">
        <v>10</v>
      </c>
      <c r="P380" s="24" t="inlineStr">
        <is>
          <t>UNIDAD</t>
        </is>
      </c>
      <c r="Q380" s="20" t="inlineStr">
        <is>
          <t>NO</t>
        </is>
      </c>
      <c r="R380" s="20" t="inlineStr">
        <is>
          <t>NO</t>
        </is>
      </c>
      <c r="S380" s="25" t="n">
        <v>1</v>
      </c>
      <c r="T380" s="20" t="inlineStr">
        <is>
          <t>NO</t>
        </is>
      </c>
      <c r="U380" s="20" t="n"/>
      <c r="V380" s="21" t="n"/>
      <c r="W380" s="26" t="n"/>
      <c r="X380" s="27" t="n"/>
      <c r="Y380" s="20" t="n"/>
      <c r="Z380" s="20" t="n"/>
      <c r="AA380" s="26">
        <f>IF(X380="","",X380-IF(W380="",0,W380))</f>
        <v/>
      </c>
      <c r="AB380" s="28">
        <f>IF(OR(X380="",M380=""),"",X380*M380)</f>
        <v/>
      </c>
      <c r="AC380" s="28">
        <f>IF(OR(X380="",N380=""),"",X380*N380)</f>
        <v/>
      </c>
      <c r="AD380" s="28">
        <f>IF(OR(M380="",N380=""),"",N380-M380)</f>
        <v/>
      </c>
      <c r="AE380" s="29">
        <f>IFERROR(IF(M380&gt;0,(N380-M380)/M380,""),"")</f>
        <v/>
      </c>
      <c r="AF380" s="30" t="n"/>
      <c r="AG380" s="30" t="inlineStr">
        <is>
          <t>PENDIENTE</t>
        </is>
      </c>
      <c r="AH380" s="18">
        <f>IF(NOT(OR(B380="EXISTENTE",COUNTA(G380,H380,I380,J380,K380,M380,N380,U380,V380,X380,Y380,Z380,AF380,AJ380)&gt;0)),"",IF(AK380&lt;&gt;"","REVISAR",IF(OR(G380="",H380="",M380="",N380="",O380="",P380="",X380=""),"INCOMPLETO",IF(AI380&lt;&gt;"","REVISAR",IF(AND(AF380&lt;&gt;"",AG380="ESCANEADO"),"LISTO_COMPLETO","LISTO_SIN_BARCODE")))))</f>
        <v/>
      </c>
      <c r="AI380" s="17">
        <f>IF(NOT(OR(B380="EXISTENTE",COUNTA(G380,H380,I380,J380,K380,M380,N380,U380,V380,X380,Y380,Z380,AF380,AJ380)&gt;0)),"",TEXTJOIN(" | ",TRUE,IF(A380="","Falta ID staging",""),IF(COUNTIF($A$5:$A$445,A380)&gt;1,"ID staging duplicado",""),IF(G380="","Falta nombre",""),IF(LEN(G380)&gt;150,"Nombre &gt;150 caracteres",""),IF(H380="","Falta categoría",IF(COUNTIF(CategoriasLista,H380)=0,"Categoría inválida","")),IF(M380="","Falta precio compra",IF(OR(NOT(ISNUMBER(M380)),M380&lt;0),"Precio compra inválido","")),IF(N380="","Falta precio venta",IF(OR(NOT(ISNUMBER(N380)),N380&lt;=0,N380&lt;M380),"Precio venta inválido","")),IF(O380="","Falta stock mínimo",IF(OR(NOT(ISNUMBER(O380)),O380&lt;0,MOD(O380,1)&lt;&gt;0),"Stock mínimo inválido","")),IF(P380="","Falta unidad",IF(COUNTIF(UnidadesLista,P380)=0,"Unidad inválida","")),IF(AND(K380&lt;&gt;"",COUNTIF(ProveedoresLista,K380)=0),"Proveedor no catalogado",""),IF(X380="","Falta cantidad contada",IF(OR(NOT(ISNUMBER(X380)),X380&lt;0,ABS(X380*1000-ROUND(X380*1000,0))&gt;0.0000001),"Cantidad inválida",IF(AND(Q380="NO",MOD(X380,1)&lt;&gt;0),"Cantidad fraccionaria no permitida",""))),IF(AND(R380="SI",OR(NOT(ISNUMBER(S380)),S380&lt;1,MOD(S380,1)&lt;&gt;0)),"Empaque inválido",""),IF(OR(AND(AF380="",AG380="ESCANEADO"),AND(AF380&lt;&gt;"",AG380&lt;&gt;"ESCANEADO")),"Barcode/estado inconsistente",""),IF(AK380&lt;&gt;"",AK380,"")))</f>
        <v/>
      </c>
      <c r="AJ380" s="21" t="n"/>
      <c r="AK380" s="17">
        <f>IF(G380="","",IF(OR(COUNTIFS($G$5:$G$445,G380,$I$5:$I$445,I380,$J$5:$J$445,J380,$P$5:$P$445,P380)&gt;1,AND(AF380&lt;&gt;"",COUNTIF($AF$5:$AF$445,AF380)&gt;1)),"REVISAR_POSIBLE_DUPLICADO",""))</f>
        <v/>
      </c>
    </row>
    <row r="381">
      <c r="A381" s="17" t="inlineStr">
        <is>
          <t>d61e8063-0ca9-5686-adb2-31580c39f422</t>
        </is>
      </c>
      <c r="B381" s="18" t="inlineStr">
        <is>
          <t>NUEVO</t>
        </is>
      </c>
      <c r="C381" s="18" t="inlineStr">
        <is>
          <t>ACTIVO</t>
        </is>
      </c>
      <c r="D381" s="18" t="n"/>
      <c r="E381" s="17" t="n"/>
      <c r="F381" s="17" t="n"/>
      <c r="G381" s="19" t="n"/>
      <c r="H381" s="19" t="n"/>
      <c r="I381" s="20" t="n"/>
      <c r="J381" s="20" t="n"/>
      <c r="K381" s="21" t="n"/>
      <c r="L381" s="18" t="n"/>
      <c r="M381" s="22" t="n"/>
      <c r="N381" s="22" t="n"/>
      <c r="O381" s="23" t="n">
        <v>10</v>
      </c>
      <c r="P381" s="24" t="inlineStr">
        <is>
          <t>UNIDAD</t>
        </is>
      </c>
      <c r="Q381" s="20" t="inlineStr">
        <is>
          <t>NO</t>
        </is>
      </c>
      <c r="R381" s="20" t="inlineStr">
        <is>
          <t>NO</t>
        </is>
      </c>
      <c r="S381" s="25" t="n">
        <v>1</v>
      </c>
      <c r="T381" s="20" t="inlineStr">
        <is>
          <t>NO</t>
        </is>
      </c>
      <c r="U381" s="20" t="n"/>
      <c r="V381" s="21" t="n"/>
      <c r="W381" s="26" t="n"/>
      <c r="X381" s="27" t="n"/>
      <c r="Y381" s="20" t="n"/>
      <c r="Z381" s="20" t="n"/>
      <c r="AA381" s="26">
        <f>IF(X381="","",X381-IF(W381="",0,W381))</f>
        <v/>
      </c>
      <c r="AB381" s="28">
        <f>IF(OR(X381="",M381=""),"",X381*M381)</f>
        <v/>
      </c>
      <c r="AC381" s="28">
        <f>IF(OR(X381="",N381=""),"",X381*N381)</f>
        <v/>
      </c>
      <c r="AD381" s="28">
        <f>IF(OR(M381="",N381=""),"",N381-M381)</f>
        <v/>
      </c>
      <c r="AE381" s="29">
        <f>IFERROR(IF(M381&gt;0,(N381-M381)/M381,""),"")</f>
        <v/>
      </c>
      <c r="AF381" s="30" t="n"/>
      <c r="AG381" s="30" t="inlineStr">
        <is>
          <t>PENDIENTE</t>
        </is>
      </c>
      <c r="AH381" s="18">
        <f>IF(NOT(OR(B381="EXISTENTE",COUNTA(G381,H381,I381,J381,K381,M381,N381,U381,V381,X381,Y381,Z381,AF381,AJ381)&gt;0)),"",IF(AK381&lt;&gt;"","REVISAR",IF(OR(G381="",H381="",M381="",N381="",O381="",P381="",X381=""),"INCOMPLETO",IF(AI381&lt;&gt;"","REVISAR",IF(AND(AF381&lt;&gt;"",AG381="ESCANEADO"),"LISTO_COMPLETO","LISTO_SIN_BARCODE")))))</f>
        <v/>
      </c>
      <c r="AI381" s="17">
        <f>IF(NOT(OR(B381="EXISTENTE",COUNTA(G381,H381,I381,J381,K381,M381,N381,U381,V381,X381,Y381,Z381,AF381,AJ381)&gt;0)),"",TEXTJOIN(" | ",TRUE,IF(A381="","Falta ID staging",""),IF(COUNTIF($A$5:$A$445,A381)&gt;1,"ID staging duplicado",""),IF(G381="","Falta nombre",""),IF(LEN(G381)&gt;150,"Nombre &gt;150 caracteres",""),IF(H381="","Falta categoría",IF(COUNTIF(CategoriasLista,H381)=0,"Categoría inválida","")),IF(M381="","Falta precio compra",IF(OR(NOT(ISNUMBER(M381)),M381&lt;0),"Precio compra inválido","")),IF(N381="","Falta precio venta",IF(OR(NOT(ISNUMBER(N381)),N381&lt;=0,N381&lt;M381),"Precio venta inválido","")),IF(O381="","Falta stock mínimo",IF(OR(NOT(ISNUMBER(O381)),O381&lt;0,MOD(O381,1)&lt;&gt;0),"Stock mínimo inválido","")),IF(P381="","Falta unidad",IF(COUNTIF(UnidadesLista,P381)=0,"Unidad inválida","")),IF(AND(K381&lt;&gt;"",COUNTIF(ProveedoresLista,K381)=0),"Proveedor no catalogado",""),IF(X381="","Falta cantidad contada",IF(OR(NOT(ISNUMBER(X381)),X381&lt;0,ABS(X381*1000-ROUND(X381*1000,0))&gt;0.0000001),"Cantidad inválida",IF(AND(Q381="NO",MOD(X381,1)&lt;&gt;0),"Cantidad fraccionaria no permitida",""))),IF(AND(R381="SI",OR(NOT(ISNUMBER(S381)),S381&lt;1,MOD(S381,1)&lt;&gt;0)),"Empaque inválido",""),IF(OR(AND(AF381="",AG381="ESCANEADO"),AND(AF381&lt;&gt;"",AG381&lt;&gt;"ESCANEADO")),"Barcode/estado inconsistente",""),IF(AK381&lt;&gt;"",AK381,"")))</f>
        <v/>
      </c>
      <c r="AJ381" s="21" t="n"/>
      <c r="AK381" s="17">
        <f>IF(G381="","",IF(OR(COUNTIFS($G$5:$G$445,G381,$I$5:$I$445,I381,$J$5:$J$445,J381,$P$5:$P$445,P381)&gt;1,AND(AF381&lt;&gt;"",COUNTIF($AF$5:$AF$445,AF381)&gt;1)),"REVISAR_POSIBLE_DUPLICADO",""))</f>
        <v/>
      </c>
    </row>
    <row r="382">
      <c r="A382" s="17" t="inlineStr">
        <is>
          <t>476ab676-1129-5e6f-a289-b7b8f3a90b22</t>
        </is>
      </c>
      <c r="B382" s="18" t="inlineStr">
        <is>
          <t>NUEVO</t>
        </is>
      </c>
      <c r="C382" s="18" t="inlineStr">
        <is>
          <t>ACTIVO</t>
        </is>
      </c>
      <c r="D382" s="18" t="n"/>
      <c r="E382" s="17" t="n"/>
      <c r="F382" s="17" t="n"/>
      <c r="G382" s="19" t="n"/>
      <c r="H382" s="19" t="n"/>
      <c r="I382" s="20" t="n"/>
      <c r="J382" s="20" t="n"/>
      <c r="K382" s="21" t="n"/>
      <c r="L382" s="18" t="n"/>
      <c r="M382" s="22" t="n"/>
      <c r="N382" s="22" t="n"/>
      <c r="O382" s="23" t="n">
        <v>10</v>
      </c>
      <c r="P382" s="24" t="inlineStr">
        <is>
          <t>UNIDAD</t>
        </is>
      </c>
      <c r="Q382" s="20" t="inlineStr">
        <is>
          <t>NO</t>
        </is>
      </c>
      <c r="R382" s="20" t="inlineStr">
        <is>
          <t>NO</t>
        </is>
      </c>
      <c r="S382" s="25" t="n">
        <v>1</v>
      </c>
      <c r="T382" s="20" t="inlineStr">
        <is>
          <t>NO</t>
        </is>
      </c>
      <c r="U382" s="20" t="n"/>
      <c r="V382" s="21" t="n"/>
      <c r="W382" s="26" t="n"/>
      <c r="X382" s="27" t="n"/>
      <c r="Y382" s="20" t="n"/>
      <c r="Z382" s="20" t="n"/>
      <c r="AA382" s="26">
        <f>IF(X382="","",X382-IF(W382="",0,W382))</f>
        <v/>
      </c>
      <c r="AB382" s="28">
        <f>IF(OR(X382="",M382=""),"",X382*M382)</f>
        <v/>
      </c>
      <c r="AC382" s="28">
        <f>IF(OR(X382="",N382=""),"",X382*N382)</f>
        <v/>
      </c>
      <c r="AD382" s="28">
        <f>IF(OR(M382="",N382=""),"",N382-M382)</f>
        <v/>
      </c>
      <c r="AE382" s="29">
        <f>IFERROR(IF(M382&gt;0,(N382-M382)/M382,""),"")</f>
        <v/>
      </c>
      <c r="AF382" s="30" t="n"/>
      <c r="AG382" s="30" t="inlineStr">
        <is>
          <t>PENDIENTE</t>
        </is>
      </c>
      <c r="AH382" s="18">
        <f>IF(NOT(OR(B382="EXISTENTE",COUNTA(G382,H382,I382,J382,K382,M382,N382,U382,V382,X382,Y382,Z382,AF382,AJ382)&gt;0)),"",IF(AK382&lt;&gt;"","REVISAR",IF(OR(G382="",H382="",M382="",N382="",O382="",P382="",X382=""),"INCOMPLETO",IF(AI382&lt;&gt;"","REVISAR",IF(AND(AF382&lt;&gt;"",AG382="ESCANEADO"),"LISTO_COMPLETO","LISTO_SIN_BARCODE")))))</f>
        <v/>
      </c>
      <c r="AI382" s="17">
        <f>IF(NOT(OR(B382="EXISTENTE",COUNTA(G382,H382,I382,J382,K382,M382,N382,U382,V382,X382,Y382,Z382,AF382,AJ382)&gt;0)),"",TEXTJOIN(" | ",TRUE,IF(A382="","Falta ID staging",""),IF(COUNTIF($A$5:$A$445,A382)&gt;1,"ID staging duplicado",""),IF(G382="","Falta nombre",""),IF(LEN(G382)&gt;150,"Nombre &gt;150 caracteres",""),IF(H382="","Falta categoría",IF(COUNTIF(CategoriasLista,H382)=0,"Categoría inválida","")),IF(M382="","Falta precio compra",IF(OR(NOT(ISNUMBER(M382)),M382&lt;0),"Precio compra inválido","")),IF(N382="","Falta precio venta",IF(OR(NOT(ISNUMBER(N382)),N382&lt;=0,N382&lt;M382),"Precio venta inválido","")),IF(O382="","Falta stock mínimo",IF(OR(NOT(ISNUMBER(O382)),O382&lt;0,MOD(O382,1)&lt;&gt;0),"Stock mínimo inválido","")),IF(P382="","Falta unidad",IF(COUNTIF(UnidadesLista,P382)=0,"Unidad inválida","")),IF(AND(K382&lt;&gt;"",COUNTIF(ProveedoresLista,K382)=0),"Proveedor no catalogado",""),IF(X382="","Falta cantidad contada",IF(OR(NOT(ISNUMBER(X382)),X382&lt;0,ABS(X382*1000-ROUND(X382*1000,0))&gt;0.0000001),"Cantidad inválida",IF(AND(Q382="NO",MOD(X382,1)&lt;&gt;0),"Cantidad fraccionaria no permitida",""))),IF(AND(R382="SI",OR(NOT(ISNUMBER(S382)),S382&lt;1,MOD(S382,1)&lt;&gt;0)),"Empaque inválido",""),IF(OR(AND(AF382="",AG382="ESCANEADO"),AND(AF382&lt;&gt;"",AG382&lt;&gt;"ESCANEADO")),"Barcode/estado inconsistente",""),IF(AK382&lt;&gt;"",AK382,"")))</f>
        <v/>
      </c>
      <c r="AJ382" s="21" t="n"/>
      <c r="AK382" s="17">
        <f>IF(G382="","",IF(OR(COUNTIFS($G$5:$G$445,G382,$I$5:$I$445,I382,$J$5:$J$445,J382,$P$5:$P$445,P382)&gt;1,AND(AF382&lt;&gt;"",COUNTIF($AF$5:$AF$445,AF382)&gt;1)),"REVISAR_POSIBLE_DUPLICADO",""))</f>
        <v/>
      </c>
    </row>
    <row r="383">
      <c r="A383" s="17" t="inlineStr">
        <is>
          <t>e127b2fa-831e-5a96-951e-40b4caa778ea</t>
        </is>
      </c>
      <c r="B383" s="18" t="inlineStr">
        <is>
          <t>NUEVO</t>
        </is>
      </c>
      <c r="C383" s="18" t="inlineStr">
        <is>
          <t>ACTIVO</t>
        </is>
      </c>
      <c r="D383" s="18" t="n"/>
      <c r="E383" s="17" t="n"/>
      <c r="F383" s="17" t="n"/>
      <c r="G383" s="19" t="n"/>
      <c r="H383" s="19" t="n"/>
      <c r="I383" s="20" t="n"/>
      <c r="J383" s="20" t="n"/>
      <c r="K383" s="21" t="n"/>
      <c r="L383" s="18" t="n"/>
      <c r="M383" s="22" t="n"/>
      <c r="N383" s="22" t="n"/>
      <c r="O383" s="23" t="n">
        <v>10</v>
      </c>
      <c r="P383" s="24" t="inlineStr">
        <is>
          <t>UNIDAD</t>
        </is>
      </c>
      <c r="Q383" s="20" t="inlineStr">
        <is>
          <t>NO</t>
        </is>
      </c>
      <c r="R383" s="20" t="inlineStr">
        <is>
          <t>NO</t>
        </is>
      </c>
      <c r="S383" s="25" t="n">
        <v>1</v>
      </c>
      <c r="T383" s="20" t="inlineStr">
        <is>
          <t>NO</t>
        </is>
      </c>
      <c r="U383" s="20" t="n"/>
      <c r="V383" s="21" t="n"/>
      <c r="W383" s="26" t="n"/>
      <c r="X383" s="27" t="n"/>
      <c r="Y383" s="20" t="n"/>
      <c r="Z383" s="20" t="n"/>
      <c r="AA383" s="26">
        <f>IF(X383="","",X383-IF(W383="",0,W383))</f>
        <v/>
      </c>
      <c r="AB383" s="28">
        <f>IF(OR(X383="",M383=""),"",X383*M383)</f>
        <v/>
      </c>
      <c r="AC383" s="28">
        <f>IF(OR(X383="",N383=""),"",X383*N383)</f>
        <v/>
      </c>
      <c r="AD383" s="28">
        <f>IF(OR(M383="",N383=""),"",N383-M383)</f>
        <v/>
      </c>
      <c r="AE383" s="29">
        <f>IFERROR(IF(M383&gt;0,(N383-M383)/M383,""),"")</f>
        <v/>
      </c>
      <c r="AF383" s="30" t="n"/>
      <c r="AG383" s="30" t="inlineStr">
        <is>
          <t>PENDIENTE</t>
        </is>
      </c>
      <c r="AH383" s="18">
        <f>IF(NOT(OR(B383="EXISTENTE",COUNTA(G383,H383,I383,J383,K383,M383,N383,U383,V383,X383,Y383,Z383,AF383,AJ383)&gt;0)),"",IF(AK383&lt;&gt;"","REVISAR",IF(OR(G383="",H383="",M383="",N383="",O383="",P383="",X383=""),"INCOMPLETO",IF(AI383&lt;&gt;"","REVISAR",IF(AND(AF383&lt;&gt;"",AG383="ESCANEADO"),"LISTO_COMPLETO","LISTO_SIN_BARCODE")))))</f>
        <v/>
      </c>
      <c r="AI383" s="17">
        <f>IF(NOT(OR(B383="EXISTENTE",COUNTA(G383,H383,I383,J383,K383,M383,N383,U383,V383,X383,Y383,Z383,AF383,AJ383)&gt;0)),"",TEXTJOIN(" | ",TRUE,IF(A383="","Falta ID staging",""),IF(COUNTIF($A$5:$A$445,A383)&gt;1,"ID staging duplicado",""),IF(G383="","Falta nombre",""),IF(LEN(G383)&gt;150,"Nombre &gt;150 caracteres",""),IF(H383="","Falta categoría",IF(COUNTIF(CategoriasLista,H383)=0,"Categoría inválida","")),IF(M383="","Falta precio compra",IF(OR(NOT(ISNUMBER(M383)),M383&lt;0),"Precio compra inválido","")),IF(N383="","Falta precio venta",IF(OR(NOT(ISNUMBER(N383)),N383&lt;=0,N383&lt;M383),"Precio venta inválido","")),IF(O383="","Falta stock mínimo",IF(OR(NOT(ISNUMBER(O383)),O383&lt;0,MOD(O383,1)&lt;&gt;0),"Stock mínimo inválido","")),IF(P383="","Falta unidad",IF(COUNTIF(UnidadesLista,P383)=0,"Unidad inválida","")),IF(AND(K383&lt;&gt;"",COUNTIF(ProveedoresLista,K383)=0),"Proveedor no catalogado",""),IF(X383="","Falta cantidad contada",IF(OR(NOT(ISNUMBER(X383)),X383&lt;0,ABS(X383*1000-ROUND(X383*1000,0))&gt;0.0000001),"Cantidad inválida",IF(AND(Q383="NO",MOD(X383,1)&lt;&gt;0),"Cantidad fraccionaria no permitida",""))),IF(AND(R383="SI",OR(NOT(ISNUMBER(S383)),S383&lt;1,MOD(S383,1)&lt;&gt;0)),"Empaque inválido",""),IF(OR(AND(AF383="",AG383="ESCANEADO"),AND(AF383&lt;&gt;"",AG383&lt;&gt;"ESCANEADO")),"Barcode/estado inconsistente",""),IF(AK383&lt;&gt;"",AK383,"")))</f>
        <v/>
      </c>
      <c r="AJ383" s="21" t="n"/>
      <c r="AK383" s="17">
        <f>IF(G383="","",IF(OR(COUNTIFS($G$5:$G$445,G383,$I$5:$I$445,I383,$J$5:$J$445,J383,$P$5:$P$445,P383)&gt;1,AND(AF383&lt;&gt;"",COUNTIF($AF$5:$AF$445,AF383)&gt;1)),"REVISAR_POSIBLE_DUPLICADO",""))</f>
        <v/>
      </c>
    </row>
    <row r="384">
      <c r="A384" s="17" t="inlineStr">
        <is>
          <t>4f38cde5-39a9-517a-ad4a-9250fd4e3c01</t>
        </is>
      </c>
      <c r="B384" s="18" t="inlineStr">
        <is>
          <t>NUEVO</t>
        </is>
      </c>
      <c r="C384" s="18" t="inlineStr">
        <is>
          <t>ACTIVO</t>
        </is>
      </c>
      <c r="D384" s="18" t="n"/>
      <c r="E384" s="17" t="n"/>
      <c r="F384" s="17" t="n"/>
      <c r="G384" s="19" t="n"/>
      <c r="H384" s="19" t="n"/>
      <c r="I384" s="20" t="n"/>
      <c r="J384" s="20" t="n"/>
      <c r="K384" s="21" t="n"/>
      <c r="L384" s="18" t="n"/>
      <c r="M384" s="22" t="n"/>
      <c r="N384" s="22" t="n"/>
      <c r="O384" s="23" t="n">
        <v>10</v>
      </c>
      <c r="P384" s="24" t="inlineStr">
        <is>
          <t>UNIDAD</t>
        </is>
      </c>
      <c r="Q384" s="20" t="inlineStr">
        <is>
          <t>NO</t>
        </is>
      </c>
      <c r="R384" s="20" t="inlineStr">
        <is>
          <t>NO</t>
        </is>
      </c>
      <c r="S384" s="25" t="n">
        <v>1</v>
      </c>
      <c r="T384" s="20" t="inlineStr">
        <is>
          <t>NO</t>
        </is>
      </c>
      <c r="U384" s="20" t="n"/>
      <c r="V384" s="21" t="n"/>
      <c r="W384" s="26" t="n"/>
      <c r="X384" s="27" t="n"/>
      <c r="Y384" s="20" t="n"/>
      <c r="Z384" s="20" t="n"/>
      <c r="AA384" s="26">
        <f>IF(X384="","",X384-IF(W384="",0,W384))</f>
        <v/>
      </c>
      <c r="AB384" s="28">
        <f>IF(OR(X384="",M384=""),"",X384*M384)</f>
        <v/>
      </c>
      <c r="AC384" s="28">
        <f>IF(OR(X384="",N384=""),"",X384*N384)</f>
        <v/>
      </c>
      <c r="AD384" s="28">
        <f>IF(OR(M384="",N384=""),"",N384-M384)</f>
        <v/>
      </c>
      <c r="AE384" s="29">
        <f>IFERROR(IF(M384&gt;0,(N384-M384)/M384,""),"")</f>
        <v/>
      </c>
      <c r="AF384" s="30" t="n"/>
      <c r="AG384" s="30" t="inlineStr">
        <is>
          <t>PENDIENTE</t>
        </is>
      </c>
      <c r="AH384" s="18">
        <f>IF(NOT(OR(B384="EXISTENTE",COUNTA(G384,H384,I384,J384,K384,M384,N384,U384,V384,X384,Y384,Z384,AF384,AJ384)&gt;0)),"",IF(AK384&lt;&gt;"","REVISAR",IF(OR(G384="",H384="",M384="",N384="",O384="",P384="",X384=""),"INCOMPLETO",IF(AI384&lt;&gt;"","REVISAR",IF(AND(AF384&lt;&gt;"",AG384="ESCANEADO"),"LISTO_COMPLETO","LISTO_SIN_BARCODE")))))</f>
        <v/>
      </c>
      <c r="AI384" s="17">
        <f>IF(NOT(OR(B384="EXISTENTE",COUNTA(G384,H384,I384,J384,K384,M384,N384,U384,V384,X384,Y384,Z384,AF384,AJ384)&gt;0)),"",TEXTJOIN(" | ",TRUE,IF(A384="","Falta ID staging",""),IF(COUNTIF($A$5:$A$445,A384)&gt;1,"ID staging duplicado",""),IF(G384="","Falta nombre",""),IF(LEN(G384)&gt;150,"Nombre &gt;150 caracteres",""),IF(H384="","Falta categoría",IF(COUNTIF(CategoriasLista,H384)=0,"Categoría inválida","")),IF(M384="","Falta precio compra",IF(OR(NOT(ISNUMBER(M384)),M384&lt;0),"Precio compra inválido","")),IF(N384="","Falta precio venta",IF(OR(NOT(ISNUMBER(N384)),N384&lt;=0,N384&lt;M384),"Precio venta inválido","")),IF(O384="","Falta stock mínimo",IF(OR(NOT(ISNUMBER(O384)),O384&lt;0,MOD(O384,1)&lt;&gt;0),"Stock mínimo inválido","")),IF(P384="","Falta unidad",IF(COUNTIF(UnidadesLista,P384)=0,"Unidad inválida","")),IF(AND(K384&lt;&gt;"",COUNTIF(ProveedoresLista,K384)=0),"Proveedor no catalogado",""),IF(X384="","Falta cantidad contada",IF(OR(NOT(ISNUMBER(X384)),X384&lt;0,ABS(X384*1000-ROUND(X384*1000,0))&gt;0.0000001),"Cantidad inválida",IF(AND(Q384="NO",MOD(X384,1)&lt;&gt;0),"Cantidad fraccionaria no permitida",""))),IF(AND(R384="SI",OR(NOT(ISNUMBER(S384)),S384&lt;1,MOD(S384,1)&lt;&gt;0)),"Empaque inválido",""),IF(OR(AND(AF384="",AG384="ESCANEADO"),AND(AF384&lt;&gt;"",AG384&lt;&gt;"ESCANEADO")),"Barcode/estado inconsistente",""),IF(AK384&lt;&gt;"",AK384,"")))</f>
        <v/>
      </c>
      <c r="AJ384" s="21" t="n"/>
      <c r="AK384" s="17">
        <f>IF(G384="","",IF(OR(COUNTIFS($G$5:$G$445,G384,$I$5:$I$445,I384,$J$5:$J$445,J384,$P$5:$P$445,P384)&gt;1,AND(AF384&lt;&gt;"",COUNTIF($AF$5:$AF$445,AF384)&gt;1)),"REVISAR_POSIBLE_DUPLICADO",""))</f>
        <v/>
      </c>
    </row>
    <row r="385">
      <c r="A385" s="17" t="inlineStr">
        <is>
          <t>fcc7ec96-1a7e-5435-81a1-d8466ca69b3d</t>
        </is>
      </c>
      <c r="B385" s="18" t="inlineStr">
        <is>
          <t>NUEVO</t>
        </is>
      </c>
      <c r="C385" s="18" t="inlineStr">
        <is>
          <t>ACTIVO</t>
        </is>
      </c>
      <c r="D385" s="18" t="n"/>
      <c r="E385" s="17" t="n"/>
      <c r="F385" s="17" t="n"/>
      <c r="G385" s="19" t="n"/>
      <c r="H385" s="19" t="n"/>
      <c r="I385" s="20" t="n"/>
      <c r="J385" s="20" t="n"/>
      <c r="K385" s="21" t="n"/>
      <c r="L385" s="18" t="n"/>
      <c r="M385" s="22" t="n"/>
      <c r="N385" s="22" t="n"/>
      <c r="O385" s="23" t="n">
        <v>10</v>
      </c>
      <c r="P385" s="24" t="inlineStr">
        <is>
          <t>UNIDAD</t>
        </is>
      </c>
      <c r="Q385" s="20" t="inlineStr">
        <is>
          <t>NO</t>
        </is>
      </c>
      <c r="R385" s="20" t="inlineStr">
        <is>
          <t>NO</t>
        </is>
      </c>
      <c r="S385" s="25" t="n">
        <v>1</v>
      </c>
      <c r="T385" s="20" t="inlineStr">
        <is>
          <t>NO</t>
        </is>
      </c>
      <c r="U385" s="20" t="n"/>
      <c r="V385" s="21" t="n"/>
      <c r="W385" s="26" t="n"/>
      <c r="X385" s="27" t="n"/>
      <c r="Y385" s="20" t="n"/>
      <c r="Z385" s="20" t="n"/>
      <c r="AA385" s="26">
        <f>IF(X385="","",X385-IF(W385="",0,W385))</f>
        <v/>
      </c>
      <c r="AB385" s="28">
        <f>IF(OR(X385="",M385=""),"",X385*M385)</f>
        <v/>
      </c>
      <c r="AC385" s="28">
        <f>IF(OR(X385="",N385=""),"",X385*N385)</f>
        <v/>
      </c>
      <c r="AD385" s="28">
        <f>IF(OR(M385="",N385=""),"",N385-M385)</f>
        <v/>
      </c>
      <c r="AE385" s="29">
        <f>IFERROR(IF(M385&gt;0,(N385-M385)/M385,""),"")</f>
        <v/>
      </c>
      <c r="AF385" s="30" t="n"/>
      <c r="AG385" s="30" t="inlineStr">
        <is>
          <t>PENDIENTE</t>
        </is>
      </c>
      <c r="AH385" s="18">
        <f>IF(NOT(OR(B385="EXISTENTE",COUNTA(G385,H385,I385,J385,K385,M385,N385,U385,V385,X385,Y385,Z385,AF385,AJ385)&gt;0)),"",IF(AK385&lt;&gt;"","REVISAR",IF(OR(G385="",H385="",M385="",N385="",O385="",P385="",X385=""),"INCOMPLETO",IF(AI385&lt;&gt;"","REVISAR",IF(AND(AF385&lt;&gt;"",AG385="ESCANEADO"),"LISTO_COMPLETO","LISTO_SIN_BARCODE")))))</f>
        <v/>
      </c>
      <c r="AI385" s="17">
        <f>IF(NOT(OR(B385="EXISTENTE",COUNTA(G385,H385,I385,J385,K385,M385,N385,U385,V385,X385,Y385,Z385,AF385,AJ385)&gt;0)),"",TEXTJOIN(" | ",TRUE,IF(A385="","Falta ID staging",""),IF(COUNTIF($A$5:$A$445,A385)&gt;1,"ID staging duplicado",""),IF(G385="","Falta nombre",""),IF(LEN(G385)&gt;150,"Nombre &gt;150 caracteres",""),IF(H385="","Falta categoría",IF(COUNTIF(CategoriasLista,H385)=0,"Categoría inválida","")),IF(M385="","Falta precio compra",IF(OR(NOT(ISNUMBER(M385)),M385&lt;0),"Precio compra inválido","")),IF(N385="","Falta precio venta",IF(OR(NOT(ISNUMBER(N385)),N385&lt;=0,N385&lt;M385),"Precio venta inválido","")),IF(O385="","Falta stock mínimo",IF(OR(NOT(ISNUMBER(O385)),O385&lt;0,MOD(O385,1)&lt;&gt;0),"Stock mínimo inválido","")),IF(P385="","Falta unidad",IF(COUNTIF(UnidadesLista,P385)=0,"Unidad inválida","")),IF(AND(K385&lt;&gt;"",COUNTIF(ProveedoresLista,K385)=0),"Proveedor no catalogado",""),IF(X385="","Falta cantidad contada",IF(OR(NOT(ISNUMBER(X385)),X385&lt;0,ABS(X385*1000-ROUND(X385*1000,0))&gt;0.0000001),"Cantidad inválida",IF(AND(Q385="NO",MOD(X385,1)&lt;&gt;0),"Cantidad fraccionaria no permitida",""))),IF(AND(R385="SI",OR(NOT(ISNUMBER(S385)),S385&lt;1,MOD(S385,1)&lt;&gt;0)),"Empaque inválido",""),IF(OR(AND(AF385="",AG385="ESCANEADO"),AND(AF385&lt;&gt;"",AG385&lt;&gt;"ESCANEADO")),"Barcode/estado inconsistente",""),IF(AK385&lt;&gt;"",AK385,"")))</f>
        <v/>
      </c>
      <c r="AJ385" s="21" t="n"/>
      <c r="AK385" s="17">
        <f>IF(G385="","",IF(OR(COUNTIFS($G$5:$G$445,G385,$I$5:$I$445,I385,$J$5:$J$445,J385,$P$5:$P$445,P385)&gt;1,AND(AF385&lt;&gt;"",COUNTIF($AF$5:$AF$445,AF385)&gt;1)),"REVISAR_POSIBLE_DUPLICADO",""))</f>
        <v/>
      </c>
    </row>
    <row r="386">
      <c r="A386" s="17" t="inlineStr">
        <is>
          <t>a545e986-b8a6-5dfe-b67c-4ed13e8835b2</t>
        </is>
      </c>
      <c r="B386" s="18" t="inlineStr">
        <is>
          <t>NUEVO</t>
        </is>
      </c>
      <c r="C386" s="18" t="inlineStr">
        <is>
          <t>ACTIVO</t>
        </is>
      </c>
      <c r="D386" s="18" t="n"/>
      <c r="E386" s="17" t="n"/>
      <c r="F386" s="17" t="n"/>
      <c r="G386" s="19" t="n"/>
      <c r="H386" s="19" t="n"/>
      <c r="I386" s="20" t="n"/>
      <c r="J386" s="20" t="n"/>
      <c r="K386" s="21" t="n"/>
      <c r="L386" s="18" t="n"/>
      <c r="M386" s="22" t="n"/>
      <c r="N386" s="22" t="n"/>
      <c r="O386" s="23" t="n">
        <v>10</v>
      </c>
      <c r="P386" s="24" t="inlineStr">
        <is>
          <t>UNIDAD</t>
        </is>
      </c>
      <c r="Q386" s="20" t="inlineStr">
        <is>
          <t>NO</t>
        </is>
      </c>
      <c r="R386" s="20" t="inlineStr">
        <is>
          <t>NO</t>
        </is>
      </c>
      <c r="S386" s="25" t="n">
        <v>1</v>
      </c>
      <c r="T386" s="20" t="inlineStr">
        <is>
          <t>NO</t>
        </is>
      </c>
      <c r="U386" s="20" t="n"/>
      <c r="V386" s="21" t="n"/>
      <c r="W386" s="26" t="n"/>
      <c r="X386" s="27" t="n"/>
      <c r="Y386" s="20" t="n"/>
      <c r="Z386" s="20" t="n"/>
      <c r="AA386" s="26">
        <f>IF(X386="","",X386-IF(W386="",0,W386))</f>
        <v/>
      </c>
      <c r="AB386" s="28">
        <f>IF(OR(X386="",M386=""),"",X386*M386)</f>
        <v/>
      </c>
      <c r="AC386" s="28">
        <f>IF(OR(X386="",N386=""),"",X386*N386)</f>
        <v/>
      </c>
      <c r="AD386" s="28">
        <f>IF(OR(M386="",N386=""),"",N386-M386)</f>
        <v/>
      </c>
      <c r="AE386" s="29">
        <f>IFERROR(IF(M386&gt;0,(N386-M386)/M386,""),"")</f>
        <v/>
      </c>
      <c r="AF386" s="30" t="n"/>
      <c r="AG386" s="30" t="inlineStr">
        <is>
          <t>PENDIENTE</t>
        </is>
      </c>
      <c r="AH386" s="18">
        <f>IF(NOT(OR(B386="EXISTENTE",COUNTA(G386,H386,I386,J386,K386,M386,N386,U386,V386,X386,Y386,Z386,AF386,AJ386)&gt;0)),"",IF(AK386&lt;&gt;"","REVISAR",IF(OR(G386="",H386="",M386="",N386="",O386="",P386="",X386=""),"INCOMPLETO",IF(AI386&lt;&gt;"","REVISAR",IF(AND(AF386&lt;&gt;"",AG386="ESCANEADO"),"LISTO_COMPLETO","LISTO_SIN_BARCODE")))))</f>
        <v/>
      </c>
      <c r="AI386" s="17">
        <f>IF(NOT(OR(B386="EXISTENTE",COUNTA(G386,H386,I386,J386,K386,M386,N386,U386,V386,X386,Y386,Z386,AF386,AJ386)&gt;0)),"",TEXTJOIN(" | ",TRUE,IF(A386="","Falta ID staging",""),IF(COUNTIF($A$5:$A$445,A386)&gt;1,"ID staging duplicado",""),IF(G386="","Falta nombre",""),IF(LEN(G386)&gt;150,"Nombre &gt;150 caracteres",""),IF(H386="","Falta categoría",IF(COUNTIF(CategoriasLista,H386)=0,"Categoría inválida","")),IF(M386="","Falta precio compra",IF(OR(NOT(ISNUMBER(M386)),M386&lt;0),"Precio compra inválido","")),IF(N386="","Falta precio venta",IF(OR(NOT(ISNUMBER(N386)),N386&lt;=0,N386&lt;M386),"Precio venta inválido","")),IF(O386="","Falta stock mínimo",IF(OR(NOT(ISNUMBER(O386)),O386&lt;0,MOD(O386,1)&lt;&gt;0),"Stock mínimo inválido","")),IF(P386="","Falta unidad",IF(COUNTIF(UnidadesLista,P386)=0,"Unidad inválida","")),IF(AND(K386&lt;&gt;"",COUNTIF(ProveedoresLista,K386)=0),"Proveedor no catalogado",""),IF(X386="","Falta cantidad contada",IF(OR(NOT(ISNUMBER(X386)),X386&lt;0,ABS(X386*1000-ROUND(X386*1000,0))&gt;0.0000001),"Cantidad inválida",IF(AND(Q386="NO",MOD(X386,1)&lt;&gt;0),"Cantidad fraccionaria no permitida",""))),IF(AND(R386="SI",OR(NOT(ISNUMBER(S386)),S386&lt;1,MOD(S386,1)&lt;&gt;0)),"Empaque inválido",""),IF(OR(AND(AF386="",AG386="ESCANEADO"),AND(AF386&lt;&gt;"",AG386&lt;&gt;"ESCANEADO")),"Barcode/estado inconsistente",""),IF(AK386&lt;&gt;"",AK386,"")))</f>
        <v/>
      </c>
      <c r="AJ386" s="21" t="n"/>
      <c r="AK386" s="17">
        <f>IF(G386="","",IF(OR(COUNTIFS($G$5:$G$445,G386,$I$5:$I$445,I386,$J$5:$J$445,J386,$P$5:$P$445,P386)&gt;1,AND(AF386&lt;&gt;"",COUNTIF($AF$5:$AF$445,AF386)&gt;1)),"REVISAR_POSIBLE_DUPLICADO",""))</f>
        <v/>
      </c>
    </row>
    <row r="387">
      <c r="A387" s="17" t="inlineStr">
        <is>
          <t>65328329-1e0d-5a6e-9a35-3df8d48b2297</t>
        </is>
      </c>
      <c r="B387" s="18" t="inlineStr">
        <is>
          <t>NUEVO</t>
        </is>
      </c>
      <c r="C387" s="18" t="inlineStr">
        <is>
          <t>ACTIVO</t>
        </is>
      </c>
      <c r="D387" s="18" t="n"/>
      <c r="E387" s="17" t="n"/>
      <c r="F387" s="17" t="n"/>
      <c r="G387" s="19" t="n"/>
      <c r="H387" s="19" t="n"/>
      <c r="I387" s="20" t="n"/>
      <c r="J387" s="20" t="n"/>
      <c r="K387" s="21" t="n"/>
      <c r="L387" s="18" t="n"/>
      <c r="M387" s="22" t="n"/>
      <c r="N387" s="22" t="n"/>
      <c r="O387" s="23" t="n">
        <v>10</v>
      </c>
      <c r="P387" s="24" t="inlineStr">
        <is>
          <t>UNIDAD</t>
        </is>
      </c>
      <c r="Q387" s="20" t="inlineStr">
        <is>
          <t>NO</t>
        </is>
      </c>
      <c r="R387" s="20" t="inlineStr">
        <is>
          <t>NO</t>
        </is>
      </c>
      <c r="S387" s="25" t="n">
        <v>1</v>
      </c>
      <c r="T387" s="20" t="inlineStr">
        <is>
          <t>NO</t>
        </is>
      </c>
      <c r="U387" s="20" t="n"/>
      <c r="V387" s="21" t="n"/>
      <c r="W387" s="26" t="n"/>
      <c r="X387" s="27" t="n"/>
      <c r="Y387" s="20" t="n"/>
      <c r="Z387" s="20" t="n"/>
      <c r="AA387" s="26">
        <f>IF(X387="","",X387-IF(W387="",0,W387))</f>
        <v/>
      </c>
      <c r="AB387" s="28">
        <f>IF(OR(X387="",M387=""),"",X387*M387)</f>
        <v/>
      </c>
      <c r="AC387" s="28">
        <f>IF(OR(X387="",N387=""),"",X387*N387)</f>
        <v/>
      </c>
      <c r="AD387" s="28">
        <f>IF(OR(M387="",N387=""),"",N387-M387)</f>
        <v/>
      </c>
      <c r="AE387" s="29">
        <f>IFERROR(IF(M387&gt;0,(N387-M387)/M387,""),"")</f>
        <v/>
      </c>
      <c r="AF387" s="30" t="n"/>
      <c r="AG387" s="30" t="inlineStr">
        <is>
          <t>PENDIENTE</t>
        </is>
      </c>
      <c r="AH387" s="18">
        <f>IF(NOT(OR(B387="EXISTENTE",COUNTA(G387,H387,I387,J387,K387,M387,N387,U387,V387,X387,Y387,Z387,AF387,AJ387)&gt;0)),"",IF(AK387&lt;&gt;"","REVISAR",IF(OR(G387="",H387="",M387="",N387="",O387="",P387="",X387=""),"INCOMPLETO",IF(AI387&lt;&gt;"","REVISAR",IF(AND(AF387&lt;&gt;"",AG387="ESCANEADO"),"LISTO_COMPLETO","LISTO_SIN_BARCODE")))))</f>
        <v/>
      </c>
      <c r="AI387" s="17">
        <f>IF(NOT(OR(B387="EXISTENTE",COUNTA(G387,H387,I387,J387,K387,M387,N387,U387,V387,X387,Y387,Z387,AF387,AJ387)&gt;0)),"",TEXTJOIN(" | ",TRUE,IF(A387="","Falta ID staging",""),IF(COUNTIF($A$5:$A$445,A387)&gt;1,"ID staging duplicado",""),IF(G387="","Falta nombre",""),IF(LEN(G387)&gt;150,"Nombre &gt;150 caracteres",""),IF(H387="","Falta categoría",IF(COUNTIF(CategoriasLista,H387)=0,"Categoría inválida","")),IF(M387="","Falta precio compra",IF(OR(NOT(ISNUMBER(M387)),M387&lt;0),"Precio compra inválido","")),IF(N387="","Falta precio venta",IF(OR(NOT(ISNUMBER(N387)),N387&lt;=0,N387&lt;M387),"Precio venta inválido","")),IF(O387="","Falta stock mínimo",IF(OR(NOT(ISNUMBER(O387)),O387&lt;0,MOD(O387,1)&lt;&gt;0),"Stock mínimo inválido","")),IF(P387="","Falta unidad",IF(COUNTIF(UnidadesLista,P387)=0,"Unidad inválida","")),IF(AND(K387&lt;&gt;"",COUNTIF(ProveedoresLista,K387)=0),"Proveedor no catalogado",""),IF(X387="","Falta cantidad contada",IF(OR(NOT(ISNUMBER(X387)),X387&lt;0,ABS(X387*1000-ROUND(X387*1000,0))&gt;0.0000001),"Cantidad inválida",IF(AND(Q387="NO",MOD(X387,1)&lt;&gt;0),"Cantidad fraccionaria no permitida",""))),IF(AND(R387="SI",OR(NOT(ISNUMBER(S387)),S387&lt;1,MOD(S387,1)&lt;&gt;0)),"Empaque inválido",""),IF(OR(AND(AF387="",AG387="ESCANEADO"),AND(AF387&lt;&gt;"",AG387&lt;&gt;"ESCANEADO")),"Barcode/estado inconsistente",""),IF(AK387&lt;&gt;"",AK387,"")))</f>
        <v/>
      </c>
      <c r="AJ387" s="21" t="n"/>
      <c r="AK387" s="17">
        <f>IF(G387="","",IF(OR(COUNTIFS($G$5:$G$445,G387,$I$5:$I$445,I387,$J$5:$J$445,J387,$P$5:$P$445,P387)&gt;1,AND(AF387&lt;&gt;"",COUNTIF($AF$5:$AF$445,AF387)&gt;1)),"REVISAR_POSIBLE_DUPLICADO",""))</f>
        <v/>
      </c>
    </row>
    <row r="388">
      <c r="A388" s="17" t="inlineStr">
        <is>
          <t>0fc5b8f1-303e-5748-8dc6-1cbcc86941fb</t>
        </is>
      </c>
      <c r="B388" s="18" t="inlineStr">
        <is>
          <t>NUEVO</t>
        </is>
      </c>
      <c r="C388" s="18" t="inlineStr">
        <is>
          <t>ACTIVO</t>
        </is>
      </c>
      <c r="D388" s="18" t="n"/>
      <c r="E388" s="17" t="n"/>
      <c r="F388" s="17" t="n"/>
      <c r="G388" s="19" t="n"/>
      <c r="H388" s="19" t="n"/>
      <c r="I388" s="20" t="n"/>
      <c r="J388" s="20" t="n"/>
      <c r="K388" s="21" t="n"/>
      <c r="L388" s="18" t="n"/>
      <c r="M388" s="22" t="n"/>
      <c r="N388" s="22" t="n"/>
      <c r="O388" s="23" t="n">
        <v>10</v>
      </c>
      <c r="P388" s="24" t="inlineStr">
        <is>
          <t>UNIDAD</t>
        </is>
      </c>
      <c r="Q388" s="20" t="inlineStr">
        <is>
          <t>NO</t>
        </is>
      </c>
      <c r="R388" s="20" t="inlineStr">
        <is>
          <t>NO</t>
        </is>
      </c>
      <c r="S388" s="25" t="n">
        <v>1</v>
      </c>
      <c r="T388" s="20" t="inlineStr">
        <is>
          <t>NO</t>
        </is>
      </c>
      <c r="U388" s="20" t="n"/>
      <c r="V388" s="21" t="n"/>
      <c r="W388" s="26" t="n"/>
      <c r="X388" s="27" t="n"/>
      <c r="Y388" s="20" t="n"/>
      <c r="Z388" s="20" t="n"/>
      <c r="AA388" s="26">
        <f>IF(X388="","",X388-IF(W388="",0,W388))</f>
        <v/>
      </c>
      <c r="AB388" s="28">
        <f>IF(OR(X388="",M388=""),"",X388*M388)</f>
        <v/>
      </c>
      <c r="AC388" s="28">
        <f>IF(OR(X388="",N388=""),"",X388*N388)</f>
        <v/>
      </c>
      <c r="AD388" s="28">
        <f>IF(OR(M388="",N388=""),"",N388-M388)</f>
        <v/>
      </c>
      <c r="AE388" s="29">
        <f>IFERROR(IF(M388&gt;0,(N388-M388)/M388,""),"")</f>
        <v/>
      </c>
      <c r="AF388" s="30" t="n"/>
      <c r="AG388" s="30" t="inlineStr">
        <is>
          <t>PENDIENTE</t>
        </is>
      </c>
      <c r="AH388" s="18">
        <f>IF(NOT(OR(B388="EXISTENTE",COUNTA(G388,H388,I388,J388,K388,M388,N388,U388,V388,X388,Y388,Z388,AF388,AJ388)&gt;0)),"",IF(AK388&lt;&gt;"","REVISAR",IF(OR(G388="",H388="",M388="",N388="",O388="",P388="",X388=""),"INCOMPLETO",IF(AI388&lt;&gt;"","REVISAR",IF(AND(AF388&lt;&gt;"",AG388="ESCANEADO"),"LISTO_COMPLETO","LISTO_SIN_BARCODE")))))</f>
        <v/>
      </c>
      <c r="AI388" s="17">
        <f>IF(NOT(OR(B388="EXISTENTE",COUNTA(G388,H388,I388,J388,K388,M388,N388,U388,V388,X388,Y388,Z388,AF388,AJ388)&gt;0)),"",TEXTJOIN(" | ",TRUE,IF(A388="","Falta ID staging",""),IF(COUNTIF($A$5:$A$445,A388)&gt;1,"ID staging duplicado",""),IF(G388="","Falta nombre",""),IF(LEN(G388)&gt;150,"Nombre &gt;150 caracteres",""),IF(H388="","Falta categoría",IF(COUNTIF(CategoriasLista,H388)=0,"Categoría inválida","")),IF(M388="","Falta precio compra",IF(OR(NOT(ISNUMBER(M388)),M388&lt;0),"Precio compra inválido","")),IF(N388="","Falta precio venta",IF(OR(NOT(ISNUMBER(N388)),N388&lt;=0,N388&lt;M388),"Precio venta inválido","")),IF(O388="","Falta stock mínimo",IF(OR(NOT(ISNUMBER(O388)),O388&lt;0,MOD(O388,1)&lt;&gt;0),"Stock mínimo inválido","")),IF(P388="","Falta unidad",IF(COUNTIF(UnidadesLista,P388)=0,"Unidad inválida","")),IF(AND(K388&lt;&gt;"",COUNTIF(ProveedoresLista,K388)=0),"Proveedor no catalogado",""),IF(X388="","Falta cantidad contada",IF(OR(NOT(ISNUMBER(X388)),X388&lt;0,ABS(X388*1000-ROUND(X388*1000,0))&gt;0.0000001),"Cantidad inválida",IF(AND(Q388="NO",MOD(X388,1)&lt;&gt;0),"Cantidad fraccionaria no permitida",""))),IF(AND(R388="SI",OR(NOT(ISNUMBER(S388)),S388&lt;1,MOD(S388,1)&lt;&gt;0)),"Empaque inválido",""),IF(OR(AND(AF388="",AG388="ESCANEADO"),AND(AF388&lt;&gt;"",AG388&lt;&gt;"ESCANEADO")),"Barcode/estado inconsistente",""),IF(AK388&lt;&gt;"",AK388,"")))</f>
        <v/>
      </c>
      <c r="AJ388" s="21" t="n"/>
      <c r="AK388" s="17">
        <f>IF(G388="","",IF(OR(COUNTIFS($G$5:$G$445,G388,$I$5:$I$445,I388,$J$5:$J$445,J388,$P$5:$P$445,P388)&gt;1,AND(AF388&lt;&gt;"",COUNTIF($AF$5:$AF$445,AF388)&gt;1)),"REVISAR_POSIBLE_DUPLICADO",""))</f>
        <v/>
      </c>
    </row>
    <row r="389">
      <c r="A389" s="17" t="inlineStr">
        <is>
          <t>7ded4776-7900-5293-9f43-a9a178adbdda</t>
        </is>
      </c>
      <c r="B389" s="18" t="inlineStr">
        <is>
          <t>NUEVO</t>
        </is>
      </c>
      <c r="C389" s="18" t="inlineStr">
        <is>
          <t>ACTIVO</t>
        </is>
      </c>
      <c r="D389" s="18" t="n"/>
      <c r="E389" s="17" t="n"/>
      <c r="F389" s="17" t="n"/>
      <c r="G389" s="19" t="n"/>
      <c r="H389" s="19" t="n"/>
      <c r="I389" s="20" t="n"/>
      <c r="J389" s="20" t="n"/>
      <c r="K389" s="21" t="n"/>
      <c r="L389" s="18" t="n"/>
      <c r="M389" s="22" t="n"/>
      <c r="N389" s="22" t="n"/>
      <c r="O389" s="23" t="n">
        <v>10</v>
      </c>
      <c r="P389" s="24" t="inlineStr">
        <is>
          <t>UNIDAD</t>
        </is>
      </c>
      <c r="Q389" s="20" t="inlineStr">
        <is>
          <t>NO</t>
        </is>
      </c>
      <c r="R389" s="20" t="inlineStr">
        <is>
          <t>NO</t>
        </is>
      </c>
      <c r="S389" s="25" t="n">
        <v>1</v>
      </c>
      <c r="T389" s="20" t="inlineStr">
        <is>
          <t>NO</t>
        </is>
      </c>
      <c r="U389" s="20" t="n"/>
      <c r="V389" s="21" t="n"/>
      <c r="W389" s="26" t="n"/>
      <c r="X389" s="27" t="n"/>
      <c r="Y389" s="20" t="n"/>
      <c r="Z389" s="20" t="n"/>
      <c r="AA389" s="26">
        <f>IF(X389="","",X389-IF(W389="",0,W389))</f>
        <v/>
      </c>
      <c r="AB389" s="28">
        <f>IF(OR(X389="",M389=""),"",X389*M389)</f>
        <v/>
      </c>
      <c r="AC389" s="28">
        <f>IF(OR(X389="",N389=""),"",X389*N389)</f>
        <v/>
      </c>
      <c r="AD389" s="28">
        <f>IF(OR(M389="",N389=""),"",N389-M389)</f>
        <v/>
      </c>
      <c r="AE389" s="29">
        <f>IFERROR(IF(M389&gt;0,(N389-M389)/M389,""),"")</f>
        <v/>
      </c>
      <c r="AF389" s="30" t="n"/>
      <c r="AG389" s="30" t="inlineStr">
        <is>
          <t>PENDIENTE</t>
        </is>
      </c>
      <c r="AH389" s="18">
        <f>IF(NOT(OR(B389="EXISTENTE",COUNTA(G389,H389,I389,J389,K389,M389,N389,U389,V389,X389,Y389,Z389,AF389,AJ389)&gt;0)),"",IF(AK389&lt;&gt;"","REVISAR",IF(OR(G389="",H389="",M389="",N389="",O389="",P389="",X389=""),"INCOMPLETO",IF(AI389&lt;&gt;"","REVISAR",IF(AND(AF389&lt;&gt;"",AG389="ESCANEADO"),"LISTO_COMPLETO","LISTO_SIN_BARCODE")))))</f>
        <v/>
      </c>
      <c r="AI389" s="17">
        <f>IF(NOT(OR(B389="EXISTENTE",COUNTA(G389,H389,I389,J389,K389,M389,N389,U389,V389,X389,Y389,Z389,AF389,AJ389)&gt;0)),"",TEXTJOIN(" | ",TRUE,IF(A389="","Falta ID staging",""),IF(COUNTIF($A$5:$A$445,A389)&gt;1,"ID staging duplicado",""),IF(G389="","Falta nombre",""),IF(LEN(G389)&gt;150,"Nombre &gt;150 caracteres",""),IF(H389="","Falta categoría",IF(COUNTIF(CategoriasLista,H389)=0,"Categoría inválida","")),IF(M389="","Falta precio compra",IF(OR(NOT(ISNUMBER(M389)),M389&lt;0),"Precio compra inválido","")),IF(N389="","Falta precio venta",IF(OR(NOT(ISNUMBER(N389)),N389&lt;=0,N389&lt;M389),"Precio venta inválido","")),IF(O389="","Falta stock mínimo",IF(OR(NOT(ISNUMBER(O389)),O389&lt;0,MOD(O389,1)&lt;&gt;0),"Stock mínimo inválido","")),IF(P389="","Falta unidad",IF(COUNTIF(UnidadesLista,P389)=0,"Unidad inválida","")),IF(AND(K389&lt;&gt;"",COUNTIF(ProveedoresLista,K389)=0),"Proveedor no catalogado",""),IF(X389="","Falta cantidad contada",IF(OR(NOT(ISNUMBER(X389)),X389&lt;0,ABS(X389*1000-ROUND(X389*1000,0))&gt;0.0000001),"Cantidad inválida",IF(AND(Q389="NO",MOD(X389,1)&lt;&gt;0),"Cantidad fraccionaria no permitida",""))),IF(AND(R389="SI",OR(NOT(ISNUMBER(S389)),S389&lt;1,MOD(S389,1)&lt;&gt;0)),"Empaque inválido",""),IF(OR(AND(AF389="",AG389="ESCANEADO"),AND(AF389&lt;&gt;"",AG389&lt;&gt;"ESCANEADO")),"Barcode/estado inconsistente",""),IF(AK389&lt;&gt;"",AK389,"")))</f>
        <v/>
      </c>
      <c r="AJ389" s="21" t="n"/>
      <c r="AK389" s="17">
        <f>IF(G389="","",IF(OR(COUNTIFS($G$5:$G$445,G389,$I$5:$I$445,I389,$J$5:$J$445,J389,$P$5:$P$445,P389)&gt;1,AND(AF389&lt;&gt;"",COUNTIF($AF$5:$AF$445,AF389)&gt;1)),"REVISAR_POSIBLE_DUPLICADO",""))</f>
        <v/>
      </c>
    </row>
    <row r="390">
      <c r="A390" s="17" t="inlineStr">
        <is>
          <t>edfe81cf-b48b-52bc-8d61-efa546c573f3</t>
        </is>
      </c>
      <c r="B390" s="18" t="inlineStr">
        <is>
          <t>NUEVO</t>
        </is>
      </c>
      <c r="C390" s="18" t="inlineStr">
        <is>
          <t>ACTIVO</t>
        </is>
      </c>
      <c r="D390" s="18" t="n"/>
      <c r="E390" s="17" t="n"/>
      <c r="F390" s="17" t="n"/>
      <c r="G390" s="19" t="n"/>
      <c r="H390" s="19" t="n"/>
      <c r="I390" s="20" t="n"/>
      <c r="J390" s="20" t="n"/>
      <c r="K390" s="21" t="n"/>
      <c r="L390" s="18" t="n"/>
      <c r="M390" s="22" t="n"/>
      <c r="N390" s="22" t="n"/>
      <c r="O390" s="23" t="n">
        <v>10</v>
      </c>
      <c r="P390" s="24" t="inlineStr">
        <is>
          <t>UNIDAD</t>
        </is>
      </c>
      <c r="Q390" s="20" t="inlineStr">
        <is>
          <t>NO</t>
        </is>
      </c>
      <c r="R390" s="20" t="inlineStr">
        <is>
          <t>NO</t>
        </is>
      </c>
      <c r="S390" s="25" t="n">
        <v>1</v>
      </c>
      <c r="T390" s="20" t="inlineStr">
        <is>
          <t>NO</t>
        </is>
      </c>
      <c r="U390" s="20" t="n"/>
      <c r="V390" s="21" t="n"/>
      <c r="W390" s="26" t="n"/>
      <c r="X390" s="27" t="n"/>
      <c r="Y390" s="20" t="n"/>
      <c r="Z390" s="20" t="n"/>
      <c r="AA390" s="26">
        <f>IF(X390="","",X390-IF(W390="",0,W390))</f>
        <v/>
      </c>
      <c r="AB390" s="28">
        <f>IF(OR(X390="",M390=""),"",X390*M390)</f>
        <v/>
      </c>
      <c r="AC390" s="28">
        <f>IF(OR(X390="",N390=""),"",X390*N390)</f>
        <v/>
      </c>
      <c r="AD390" s="28">
        <f>IF(OR(M390="",N390=""),"",N390-M390)</f>
        <v/>
      </c>
      <c r="AE390" s="29">
        <f>IFERROR(IF(M390&gt;0,(N390-M390)/M390,""),"")</f>
        <v/>
      </c>
      <c r="AF390" s="30" t="n"/>
      <c r="AG390" s="30" t="inlineStr">
        <is>
          <t>PENDIENTE</t>
        </is>
      </c>
      <c r="AH390" s="18">
        <f>IF(NOT(OR(B390="EXISTENTE",COUNTA(G390,H390,I390,J390,K390,M390,N390,U390,V390,X390,Y390,Z390,AF390,AJ390)&gt;0)),"",IF(AK390&lt;&gt;"","REVISAR",IF(OR(G390="",H390="",M390="",N390="",O390="",P390="",X390=""),"INCOMPLETO",IF(AI390&lt;&gt;"","REVISAR",IF(AND(AF390&lt;&gt;"",AG390="ESCANEADO"),"LISTO_COMPLETO","LISTO_SIN_BARCODE")))))</f>
        <v/>
      </c>
      <c r="AI390" s="17">
        <f>IF(NOT(OR(B390="EXISTENTE",COUNTA(G390,H390,I390,J390,K390,M390,N390,U390,V390,X390,Y390,Z390,AF390,AJ390)&gt;0)),"",TEXTJOIN(" | ",TRUE,IF(A390="","Falta ID staging",""),IF(COUNTIF($A$5:$A$445,A390)&gt;1,"ID staging duplicado",""),IF(G390="","Falta nombre",""),IF(LEN(G390)&gt;150,"Nombre &gt;150 caracteres",""),IF(H390="","Falta categoría",IF(COUNTIF(CategoriasLista,H390)=0,"Categoría inválida","")),IF(M390="","Falta precio compra",IF(OR(NOT(ISNUMBER(M390)),M390&lt;0),"Precio compra inválido","")),IF(N390="","Falta precio venta",IF(OR(NOT(ISNUMBER(N390)),N390&lt;=0,N390&lt;M390),"Precio venta inválido","")),IF(O390="","Falta stock mínimo",IF(OR(NOT(ISNUMBER(O390)),O390&lt;0,MOD(O390,1)&lt;&gt;0),"Stock mínimo inválido","")),IF(P390="","Falta unidad",IF(COUNTIF(UnidadesLista,P390)=0,"Unidad inválida","")),IF(AND(K390&lt;&gt;"",COUNTIF(ProveedoresLista,K390)=0),"Proveedor no catalogado",""),IF(X390="","Falta cantidad contada",IF(OR(NOT(ISNUMBER(X390)),X390&lt;0,ABS(X390*1000-ROUND(X390*1000,0))&gt;0.0000001),"Cantidad inválida",IF(AND(Q390="NO",MOD(X390,1)&lt;&gt;0),"Cantidad fraccionaria no permitida",""))),IF(AND(R390="SI",OR(NOT(ISNUMBER(S390)),S390&lt;1,MOD(S390,1)&lt;&gt;0)),"Empaque inválido",""),IF(OR(AND(AF390="",AG390="ESCANEADO"),AND(AF390&lt;&gt;"",AG390&lt;&gt;"ESCANEADO")),"Barcode/estado inconsistente",""),IF(AK390&lt;&gt;"",AK390,"")))</f>
        <v/>
      </c>
      <c r="AJ390" s="21" t="n"/>
      <c r="AK390" s="17">
        <f>IF(G390="","",IF(OR(COUNTIFS($G$5:$G$445,G390,$I$5:$I$445,I390,$J$5:$J$445,J390,$P$5:$P$445,P390)&gt;1,AND(AF390&lt;&gt;"",COUNTIF($AF$5:$AF$445,AF390)&gt;1)),"REVISAR_POSIBLE_DUPLICADO",""))</f>
        <v/>
      </c>
    </row>
    <row r="391">
      <c r="A391" s="17" t="inlineStr">
        <is>
          <t>0458ebd9-e819-5bf0-84b4-827f32bbde44</t>
        </is>
      </c>
      <c r="B391" s="18" t="inlineStr">
        <is>
          <t>NUEVO</t>
        </is>
      </c>
      <c r="C391" s="18" t="inlineStr">
        <is>
          <t>ACTIVO</t>
        </is>
      </c>
      <c r="D391" s="18" t="n"/>
      <c r="E391" s="17" t="n"/>
      <c r="F391" s="17" t="n"/>
      <c r="G391" s="19" t="n"/>
      <c r="H391" s="19" t="n"/>
      <c r="I391" s="20" t="n"/>
      <c r="J391" s="20" t="n"/>
      <c r="K391" s="21" t="n"/>
      <c r="L391" s="18" t="n"/>
      <c r="M391" s="22" t="n"/>
      <c r="N391" s="22" t="n"/>
      <c r="O391" s="23" t="n">
        <v>10</v>
      </c>
      <c r="P391" s="24" t="inlineStr">
        <is>
          <t>UNIDAD</t>
        </is>
      </c>
      <c r="Q391" s="20" t="inlineStr">
        <is>
          <t>NO</t>
        </is>
      </c>
      <c r="R391" s="20" t="inlineStr">
        <is>
          <t>NO</t>
        </is>
      </c>
      <c r="S391" s="25" t="n">
        <v>1</v>
      </c>
      <c r="T391" s="20" t="inlineStr">
        <is>
          <t>NO</t>
        </is>
      </c>
      <c r="U391" s="20" t="n"/>
      <c r="V391" s="21" t="n"/>
      <c r="W391" s="26" t="n"/>
      <c r="X391" s="27" t="n"/>
      <c r="Y391" s="20" t="n"/>
      <c r="Z391" s="20" t="n"/>
      <c r="AA391" s="26">
        <f>IF(X391="","",X391-IF(W391="",0,W391))</f>
        <v/>
      </c>
      <c r="AB391" s="28">
        <f>IF(OR(X391="",M391=""),"",X391*M391)</f>
        <v/>
      </c>
      <c r="AC391" s="28">
        <f>IF(OR(X391="",N391=""),"",X391*N391)</f>
        <v/>
      </c>
      <c r="AD391" s="28">
        <f>IF(OR(M391="",N391=""),"",N391-M391)</f>
        <v/>
      </c>
      <c r="AE391" s="29">
        <f>IFERROR(IF(M391&gt;0,(N391-M391)/M391,""),"")</f>
        <v/>
      </c>
      <c r="AF391" s="30" t="n"/>
      <c r="AG391" s="30" t="inlineStr">
        <is>
          <t>PENDIENTE</t>
        </is>
      </c>
      <c r="AH391" s="18">
        <f>IF(NOT(OR(B391="EXISTENTE",COUNTA(G391,H391,I391,J391,K391,M391,N391,U391,V391,X391,Y391,Z391,AF391,AJ391)&gt;0)),"",IF(AK391&lt;&gt;"","REVISAR",IF(OR(G391="",H391="",M391="",N391="",O391="",P391="",X391=""),"INCOMPLETO",IF(AI391&lt;&gt;"","REVISAR",IF(AND(AF391&lt;&gt;"",AG391="ESCANEADO"),"LISTO_COMPLETO","LISTO_SIN_BARCODE")))))</f>
        <v/>
      </c>
      <c r="AI391" s="17">
        <f>IF(NOT(OR(B391="EXISTENTE",COUNTA(G391,H391,I391,J391,K391,M391,N391,U391,V391,X391,Y391,Z391,AF391,AJ391)&gt;0)),"",TEXTJOIN(" | ",TRUE,IF(A391="","Falta ID staging",""),IF(COUNTIF($A$5:$A$445,A391)&gt;1,"ID staging duplicado",""),IF(G391="","Falta nombre",""),IF(LEN(G391)&gt;150,"Nombre &gt;150 caracteres",""),IF(H391="","Falta categoría",IF(COUNTIF(CategoriasLista,H391)=0,"Categoría inválida","")),IF(M391="","Falta precio compra",IF(OR(NOT(ISNUMBER(M391)),M391&lt;0),"Precio compra inválido","")),IF(N391="","Falta precio venta",IF(OR(NOT(ISNUMBER(N391)),N391&lt;=0,N391&lt;M391),"Precio venta inválido","")),IF(O391="","Falta stock mínimo",IF(OR(NOT(ISNUMBER(O391)),O391&lt;0,MOD(O391,1)&lt;&gt;0),"Stock mínimo inválido","")),IF(P391="","Falta unidad",IF(COUNTIF(UnidadesLista,P391)=0,"Unidad inválida","")),IF(AND(K391&lt;&gt;"",COUNTIF(ProveedoresLista,K391)=0),"Proveedor no catalogado",""),IF(X391="","Falta cantidad contada",IF(OR(NOT(ISNUMBER(X391)),X391&lt;0,ABS(X391*1000-ROUND(X391*1000,0))&gt;0.0000001),"Cantidad inválida",IF(AND(Q391="NO",MOD(X391,1)&lt;&gt;0),"Cantidad fraccionaria no permitida",""))),IF(AND(R391="SI",OR(NOT(ISNUMBER(S391)),S391&lt;1,MOD(S391,1)&lt;&gt;0)),"Empaque inválido",""),IF(OR(AND(AF391="",AG391="ESCANEADO"),AND(AF391&lt;&gt;"",AG391&lt;&gt;"ESCANEADO")),"Barcode/estado inconsistente",""),IF(AK391&lt;&gt;"",AK391,"")))</f>
        <v/>
      </c>
      <c r="AJ391" s="21" t="n"/>
      <c r="AK391" s="17">
        <f>IF(G391="","",IF(OR(COUNTIFS($G$5:$G$445,G391,$I$5:$I$445,I391,$J$5:$J$445,J391,$P$5:$P$445,P391)&gt;1,AND(AF391&lt;&gt;"",COUNTIF($AF$5:$AF$445,AF391)&gt;1)),"REVISAR_POSIBLE_DUPLICADO",""))</f>
        <v/>
      </c>
    </row>
    <row r="392">
      <c r="A392" s="17" t="inlineStr">
        <is>
          <t>5d370ec6-f195-553a-a9a0-8c4a6f1db3df</t>
        </is>
      </c>
      <c r="B392" s="18" t="inlineStr">
        <is>
          <t>NUEVO</t>
        </is>
      </c>
      <c r="C392" s="18" t="inlineStr">
        <is>
          <t>ACTIVO</t>
        </is>
      </c>
      <c r="D392" s="18" t="n"/>
      <c r="E392" s="17" t="n"/>
      <c r="F392" s="17" t="n"/>
      <c r="G392" s="19" t="n"/>
      <c r="H392" s="19" t="n"/>
      <c r="I392" s="20" t="n"/>
      <c r="J392" s="20" t="n"/>
      <c r="K392" s="21" t="n"/>
      <c r="L392" s="18" t="n"/>
      <c r="M392" s="22" t="n"/>
      <c r="N392" s="22" t="n"/>
      <c r="O392" s="23" t="n">
        <v>10</v>
      </c>
      <c r="P392" s="24" t="inlineStr">
        <is>
          <t>UNIDAD</t>
        </is>
      </c>
      <c r="Q392" s="20" t="inlineStr">
        <is>
          <t>NO</t>
        </is>
      </c>
      <c r="R392" s="20" t="inlineStr">
        <is>
          <t>NO</t>
        </is>
      </c>
      <c r="S392" s="25" t="n">
        <v>1</v>
      </c>
      <c r="T392" s="20" t="inlineStr">
        <is>
          <t>NO</t>
        </is>
      </c>
      <c r="U392" s="20" t="n"/>
      <c r="V392" s="21" t="n"/>
      <c r="W392" s="26" t="n"/>
      <c r="X392" s="27" t="n"/>
      <c r="Y392" s="20" t="n"/>
      <c r="Z392" s="20" t="n"/>
      <c r="AA392" s="26">
        <f>IF(X392="","",X392-IF(W392="",0,W392))</f>
        <v/>
      </c>
      <c r="AB392" s="28">
        <f>IF(OR(X392="",M392=""),"",X392*M392)</f>
        <v/>
      </c>
      <c r="AC392" s="28">
        <f>IF(OR(X392="",N392=""),"",X392*N392)</f>
        <v/>
      </c>
      <c r="AD392" s="28">
        <f>IF(OR(M392="",N392=""),"",N392-M392)</f>
        <v/>
      </c>
      <c r="AE392" s="29">
        <f>IFERROR(IF(M392&gt;0,(N392-M392)/M392,""),"")</f>
        <v/>
      </c>
      <c r="AF392" s="30" t="n"/>
      <c r="AG392" s="30" t="inlineStr">
        <is>
          <t>PENDIENTE</t>
        </is>
      </c>
      <c r="AH392" s="18">
        <f>IF(NOT(OR(B392="EXISTENTE",COUNTA(G392,H392,I392,J392,K392,M392,N392,U392,V392,X392,Y392,Z392,AF392,AJ392)&gt;0)),"",IF(AK392&lt;&gt;"","REVISAR",IF(OR(G392="",H392="",M392="",N392="",O392="",P392="",X392=""),"INCOMPLETO",IF(AI392&lt;&gt;"","REVISAR",IF(AND(AF392&lt;&gt;"",AG392="ESCANEADO"),"LISTO_COMPLETO","LISTO_SIN_BARCODE")))))</f>
        <v/>
      </c>
      <c r="AI392" s="17">
        <f>IF(NOT(OR(B392="EXISTENTE",COUNTA(G392,H392,I392,J392,K392,M392,N392,U392,V392,X392,Y392,Z392,AF392,AJ392)&gt;0)),"",TEXTJOIN(" | ",TRUE,IF(A392="","Falta ID staging",""),IF(COUNTIF($A$5:$A$445,A392)&gt;1,"ID staging duplicado",""),IF(G392="","Falta nombre",""),IF(LEN(G392)&gt;150,"Nombre &gt;150 caracteres",""),IF(H392="","Falta categoría",IF(COUNTIF(CategoriasLista,H392)=0,"Categoría inválida","")),IF(M392="","Falta precio compra",IF(OR(NOT(ISNUMBER(M392)),M392&lt;0),"Precio compra inválido","")),IF(N392="","Falta precio venta",IF(OR(NOT(ISNUMBER(N392)),N392&lt;=0,N392&lt;M392),"Precio venta inválido","")),IF(O392="","Falta stock mínimo",IF(OR(NOT(ISNUMBER(O392)),O392&lt;0,MOD(O392,1)&lt;&gt;0),"Stock mínimo inválido","")),IF(P392="","Falta unidad",IF(COUNTIF(UnidadesLista,P392)=0,"Unidad inválida","")),IF(AND(K392&lt;&gt;"",COUNTIF(ProveedoresLista,K392)=0),"Proveedor no catalogado",""),IF(X392="","Falta cantidad contada",IF(OR(NOT(ISNUMBER(X392)),X392&lt;0,ABS(X392*1000-ROUND(X392*1000,0))&gt;0.0000001),"Cantidad inválida",IF(AND(Q392="NO",MOD(X392,1)&lt;&gt;0),"Cantidad fraccionaria no permitida",""))),IF(AND(R392="SI",OR(NOT(ISNUMBER(S392)),S392&lt;1,MOD(S392,1)&lt;&gt;0)),"Empaque inválido",""),IF(OR(AND(AF392="",AG392="ESCANEADO"),AND(AF392&lt;&gt;"",AG392&lt;&gt;"ESCANEADO")),"Barcode/estado inconsistente",""),IF(AK392&lt;&gt;"",AK392,"")))</f>
        <v/>
      </c>
      <c r="AJ392" s="21" t="n"/>
      <c r="AK392" s="17">
        <f>IF(G392="","",IF(OR(COUNTIFS($G$5:$G$445,G392,$I$5:$I$445,I392,$J$5:$J$445,J392,$P$5:$P$445,P392)&gt;1,AND(AF392&lt;&gt;"",COUNTIF($AF$5:$AF$445,AF392)&gt;1)),"REVISAR_POSIBLE_DUPLICADO",""))</f>
        <v/>
      </c>
    </row>
    <row r="393">
      <c r="A393" s="17" t="inlineStr">
        <is>
          <t>9e70050d-6ecb-5ce0-8d76-fc69f7d61c27</t>
        </is>
      </c>
      <c r="B393" s="18" t="inlineStr">
        <is>
          <t>NUEVO</t>
        </is>
      </c>
      <c r="C393" s="18" t="inlineStr">
        <is>
          <t>ACTIVO</t>
        </is>
      </c>
      <c r="D393" s="18" t="n"/>
      <c r="E393" s="17" t="n"/>
      <c r="F393" s="17" t="n"/>
      <c r="G393" s="19" t="n"/>
      <c r="H393" s="19" t="n"/>
      <c r="I393" s="20" t="n"/>
      <c r="J393" s="20" t="n"/>
      <c r="K393" s="21" t="n"/>
      <c r="L393" s="18" t="n"/>
      <c r="M393" s="22" t="n"/>
      <c r="N393" s="22" t="n"/>
      <c r="O393" s="23" t="n">
        <v>10</v>
      </c>
      <c r="P393" s="24" t="inlineStr">
        <is>
          <t>UNIDAD</t>
        </is>
      </c>
      <c r="Q393" s="20" t="inlineStr">
        <is>
          <t>NO</t>
        </is>
      </c>
      <c r="R393" s="20" t="inlineStr">
        <is>
          <t>NO</t>
        </is>
      </c>
      <c r="S393" s="25" t="n">
        <v>1</v>
      </c>
      <c r="T393" s="20" t="inlineStr">
        <is>
          <t>NO</t>
        </is>
      </c>
      <c r="U393" s="20" t="n"/>
      <c r="V393" s="21" t="n"/>
      <c r="W393" s="26" t="n"/>
      <c r="X393" s="27" t="n"/>
      <c r="Y393" s="20" t="n"/>
      <c r="Z393" s="20" t="n"/>
      <c r="AA393" s="26">
        <f>IF(X393="","",X393-IF(W393="",0,W393))</f>
        <v/>
      </c>
      <c r="AB393" s="28">
        <f>IF(OR(X393="",M393=""),"",X393*M393)</f>
        <v/>
      </c>
      <c r="AC393" s="28">
        <f>IF(OR(X393="",N393=""),"",X393*N393)</f>
        <v/>
      </c>
      <c r="AD393" s="28">
        <f>IF(OR(M393="",N393=""),"",N393-M393)</f>
        <v/>
      </c>
      <c r="AE393" s="29">
        <f>IFERROR(IF(M393&gt;0,(N393-M393)/M393,""),"")</f>
        <v/>
      </c>
      <c r="AF393" s="30" t="n"/>
      <c r="AG393" s="30" t="inlineStr">
        <is>
          <t>PENDIENTE</t>
        </is>
      </c>
      <c r="AH393" s="18">
        <f>IF(NOT(OR(B393="EXISTENTE",COUNTA(G393,H393,I393,J393,K393,M393,N393,U393,V393,X393,Y393,Z393,AF393,AJ393)&gt;0)),"",IF(AK393&lt;&gt;"","REVISAR",IF(OR(G393="",H393="",M393="",N393="",O393="",P393="",X393=""),"INCOMPLETO",IF(AI393&lt;&gt;"","REVISAR",IF(AND(AF393&lt;&gt;"",AG393="ESCANEADO"),"LISTO_COMPLETO","LISTO_SIN_BARCODE")))))</f>
        <v/>
      </c>
      <c r="AI393" s="17">
        <f>IF(NOT(OR(B393="EXISTENTE",COUNTA(G393,H393,I393,J393,K393,M393,N393,U393,V393,X393,Y393,Z393,AF393,AJ393)&gt;0)),"",TEXTJOIN(" | ",TRUE,IF(A393="","Falta ID staging",""),IF(COUNTIF($A$5:$A$445,A393)&gt;1,"ID staging duplicado",""),IF(G393="","Falta nombre",""),IF(LEN(G393)&gt;150,"Nombre &gt;150 caracteres",""),IF(H393="","Falta categoría",IF(COUNTIF(CategoriasLista,H393)=0,"Categoría inválida","")),IF(M393="","Falta precio compra",IF(OR(NOT(ISNUMBER(M393)),M393&lt;0),"Precio compra inválido","")),IF(N393="","Falta precio venta",IF(OR(NOT(ISNUMBER(N393)),N393&lt;=0,N393&lt;M393),"Precio venta inválido","")),IF(O393="","Falta stock mínimo",IF(OR(NOT(ISNUMBER(O393)),O393&lt;0,MOD(O393,1)&lt;&gt;0),"Stock mínimo inválido","")),IF(P393="","Falta unidad",IF(COUNTIF(UnidadesLista,P393)=0,"Unidad inválida","")),IF(AND(K393&lt;&gt;"",COUNTIF(ProveedoresLista,K393)=0),"Proveedor no catalogado",""),IF(X393="","Falta cantidad contada",IF(OR(NOT(ISNUMBER(X393)),X393&lt;0,ABS(X393*1000-ROUND(X393*1000,0))&gt;0.0000001),"Cantidad inválida",IF(AND(Q393="NO",MOD(X393,1)&lt;&gt;0),"Cantidad fraccionaria no permitida",""))),IF(AND(R393="SI",OR(NOT(ISNUMBER(S393)),S393&lt;1,MOD(S393,1)&lt;&gt;0)),"Empaque inválido",""),IF(OR(AND(AF393="",AG393="ESCANEADO"),AND(AF393&lt;&gt;"",AG393&lt;&gt;"ESCANEADO")),"Barcode/estado inconsistente",""),IF(AK393&lt;&gt;"",AK393,"")))</f>
        <v/>
      </c>
      <c r="AJ393" s="21" t="n"/>
      <c r="AK393" s="17">
        <f>IF(G393="","",IF(OR(COUNTIFS($G$5:$G$445,G393,$I$5:$I$445,I393,$J$5:$J$445,J393,$P$5:$P$445,P393)&gt;1,AND(AF393&lt;&gt;"",COUNTIF($AF$5:$AF$445,AF393)&gt;1)),"REVISAR_POSIBLE_DUPLICADO",""))</f>
        <v/>
      </c>
    </row>
    <row r="394">
      <c r="A394" s="17" t="inlineStr">
        <is>
          <t>6e789110-87d6-5530-a604-b830c9dbfd8f</t>
        </is>
      </c>
      <c r="B394" s="18" t="inlineStr">
        <is>
          <t>NUEVO</t>
        </is>
      </c>
      <c r="C394" s="18" t="inlineStr">
        <is>
          <t>ACTIVO</t>
        </is>
      </c>
      <c r="D394" s="18" t="n"/>
      <c r="E394" s="17" t="n"/>
      <c r="F394" s="17" t="n"/>
      <c r="G394" s="19" t="n"/>
      <c r="H394" s="19" t="n"/>
      <c r="I394" s="20" t="n"/>
      <c r="J394" s="20" t="n"/>
      <c r="K394" s="21" t="n"/>
      <c r="L394" s="18" t="n"/>
      <c r="M394" s="22" t="n"/>
      <c r="N394" s="22" t="n"/>
      <c r="O394" s="23" t="n">
        <v>10</v>
      </c>
      <c r="P394" s="24" t="inlineStr">
        <is>
          <t>UNIDAD</t>
        </is>
      </c>
      <c r="Q394" s="20" t="inlineStr">
        <is>
          <t>NO</t>
        </is>
      </c>
      <c r="R394" s="20" t="inlineStr">
        <is>
          <t>NO</t>
        </is>
      </c>
      <c r="S394" s="25" t="n">
        <v>1</v>
      </c>
      <c r="T394" s="20" t="inlineStr">
        <is>
          <t>NO</t>
        </is>
      </c>
      <c r="U394" s="20" t="n"/>
      <c r="V394" s="21" t="n"/>
      <c r="W394" s="26" t="n"/>
      <c r="X394" s="27" t="n"/>
      <c r="Y394" s="20" t="n"/>
      <c r="Z394" s="20" t="n"/>
      <c r="AA394" s="26">
        <f>IF(X394="","",X394-IF(W394="",0,W394))</f>
        <v/>
      </c>
      <c r="AB394" s="28">
        <f>IF(OR(X394="",M394=""),"",X394*M394)</f>
        <v/>
      </c>
      <c r="AC394" s="28">
        <f>IF(OR(X394="",N394=""),"",X394*N394)</f>
        <v/>
      </c>
      <c r="AD394" s="28">
        <f>IF(OR(M394="",N394=""),"",N394-M394)</f>
        <v/>
      </c>
      <c r="AE394" s="29">
        <f>IFERROR(IF(M394&gt;0,(N394-M394)/M394,""),"")</f>
        <v/>
      </c>
      <c r="AF394" s="30" t="n"/>
      <c r="AG394" s="30" t="inlineStr">
        <is>
          <t>PENDIENTE</t>
        </is>
      </c>
      <c r="AH394" s="18">
        <f>IF(NOT(OR(B394="EXISTENTE",COUNTA(G394,H394,I394,J394,K394,M394,N394,U394,V394,X394,Y394,Z394,AF394,AJ394)&gt;0)),"",IF(AK394&lt;&gt;"","REVISAR",IF(OR(G394="",H394="",M394="",N394="",O394="",P394="",X394=""),"INCOMPLETO",IF(AI394&lt;&gt;"","REVISAR",IF(AND(AF394&lt;&gt;"",AG394="ESCANEADO"),"LISTO_COMPLETO","LISTO_SIN_BARCODE")))))</f>
        <v/>
      </c>
      <c r="AI394" s="17">
        <f>IF(NOT(OR(B394="EXISTENTE",COUNTA(G394,H394,I394,J394,K394,M394,N394,U394,V394,X394,Y394,Z394,AF394,AJ394)&gt;0)),"",TEXTJOIN(" | ",TRUE,IF(A394="","Falta ID staging",""),IF(COUNTIF($A$5:$A$445,A394)&gt;1,"ID staging duplicado",""),IF(G394="","Falta nombre",""),IF(LEN(G394)&gt;150,"Nombre &gt;150 caracteres",""),IF(H394="","Falta categoría",IF(COUNTIF(CategoriasLista,H394)=0,"Categoría inválida","")),IF(M394="","Falta precio compra",IF(OR(NOT(ISNUMBER(M394)),M394&lt;0),"Precio compra inválido","")),IF(N394="","Falta precio venta",IF(OR(NOT(ISNUMBER(N394)),N394&lt;=0,N394&lt;M394),"Precio venta inválido","")),IF(O394="","Falta stock mínimo",IF(OR(NOT(ISNUMBER(O394)),O394&lt;0,MOD(O394,1)&lt;&gt;0),"Stock mínimo inválido","")),IF(P394="","Falta unidad",IF(COUNTIF(UnidadesLista,P394)=0,"Unidad inválida","")),IF(AND(K394&lt;&gt;"",COUNTIF(ProveedoresLista,K394)=0),"Proveedor no catalogado",""),IF(X394="","Falta cantidad contada",IF(OR(NOT(ISNUMBER(X394)),X394&lt;0,ABS(X394*1000-ROUND(X394*1000,0))&gt;0.0000001),"Cantidad inválida",IF(AND(Q394="NO",MOD(X394,1)&lt;&gt;0),"Cantidad fraccionaria no permitida",""))),IF(AND(R394="SI",OR(NOT(ISNUMBER(S394)),S394&lt;1,MOD(S394,1)&lt;&gt;0)),"Empaque inválido",""),IF(OR(AND(AF394="",AG394="ESCANEADO"),AND(AF394&lt;&gt;"",AG394&lt;&gt;"ESCANEADO")),"Barcode/estado inconsistente",""),IF(AK394&lt;&gt;"",AK394,"")))</f>
        <v/>
      </c>
      <c r="AJ394" s="21" t="n"/>
      <c r="AK394" s="17">
        <f>IF(G394="","",IF(OR(COUNTIFS($G$5:$G$445,G394,$I$5:$I$445,I394,$J$5:$J$445,J394,$P$5:$P$445,P394)&gt;1,AND(AF394&lt;&gt;"",COUNTIF($AF$5:$AF$445,AF394)&gt;1)),"REVISAR_POSIBLE_DUPLICADO",""))</f>
        <v/>
      </c>
    </row>
    <row r="395">
      <c r="A395" s="17" t="inlineStr">
        <is>
          <t>ac3ce8fb-c2f8-5677-9381-8c6a55972a47</t>
        </is>
      </c>
      <c r="B395" s="18" t="inlineStr">
        <is>
          <t>NUEVO</t>
        </is>
      </c>
      <c r="C395" s="18" t="inlineStr">
        <is>
          <t>ACTIVO</t>
        </is>
      </c>
      <c r="D395" s="18" t="n"/>
      <c r="E395" s="17" t="n"/>
      <c r="F395" s="17" t="n"/>
      <c r="G395" s="19" t="n"/>
      <c r="H395" s="19" t="n"/>
      <c r="I395" s="20" t="n"/>
      <c r="J395" s="20" t="n"/>
      <c r="K395" s="21" t="n"/>
      <c r="L395" s="18" t="n"/>
      <c r="M395" s="22" t="n"/>
      <c r="N395" s="22" t="n"/>
      <c r="O395" s="23" t="n">
        <v>10</v>
      </c>
      <c r="P395" s="24" t="inlineStr">
        <is>
          <t>UNIDAD</t>
        </is>
      </c>
      <c r="Q395" s="20" t="inlineStr">
        <is>
          <t>NO</t>
        </is>
      </c>
      <c r="R395" s="20" t="inlineStr">
        <is>
          <t>NO</t>
        </is>
      </c>
      <c r="S395" s="25" t="n">
        <v>1</v>
      </c>
      <c r="T395" s="20" t="inlineStr">
        <is>
          <t>NO</t>
        </is>
      </c>
      <c r="U395" s="20" t="n"/>
      <c r="V395" s="21" t="n"/>
      <c r="W395" s="26" t="n"/>
      <c r="X395" s="27" t="n"/>
      <c r="Y395" s="20" t="n"/>
      <c r="Z395" s="20" t="n"/>
      <c r="AA395" s="26">
        <f>IF(X395="","",X395-IF(W395="",0,W395))</f>
        <v/>
      </c>
      <c r="AB395" s="28">
        <f>IF(OR(X395="",M395=""),"",X395*M395)</f>
        <v/>
      </c>
      <c r="AC395" s="28">
        <f>IF(OR(X395="",N395=""),"",X395*N395)</f>
        <v/>
      </c>
      <c r="AD395" s="28">
        <f>IF(OR(M395="",N395=""),"",N395-M395)</f>
        <v/>
      </c>
      <c r="AE395" s="29">
        <f>IFERROR(IF(M395&gt;0,(N395-M395)/M395,""),"")</f>
        <v/>
      </c>
      <c r="AF395" s="30" t="n"/>
      <c r="AG395" s="30" t="inlineStr">
        <is>
          <t>PENDIENTE</t>
        </is>
      </c>
      <c r="AH395" s="18">
        <f>IF(NOT(OR(B395="EXISTENTE",COUNTA(G395,H395,I395,J395,K395,M395,N395,U395,V395,X395,Y395,Z395,AF395,AJ395)&gt;0)),"",IF(AK395&lt;&gt;"","REVISAR",IF(OR(G395="",H395="",M395="",N395="",O395="",P395="",X395=""),"INCOMPLETO",IF(AI395&lt;&gt;"","REVISAR",IF(AND(AF395&lt;&gt;"",AG395="ESCANEADO"),"LISTO_COMPLETO","LISTO_SIN_BARCODE")))))</f>
        <v/>
      </c>
      <c r="AI395" s="17">
        <f>IF(NOT(OR(B395="EXISTENTE",COUNTA(G395,H395,I395,J395,K395,M395,N395,U395,V395,X395,Y395,Z395,AF395,AJ395)&gt;0)),"",TEXTJOIN(" | ",TRUE,IF(A395="","Falta ID staging",""),IF(COUNTIF($A$5:$A$445,A395)&gt;1,"ID staging duplicado",""),IF(G395="","Falta nombre",""),IF(LEN(G395)&gt;150,"Nombre &gt;150 caracteres",""),IF(H395="","Falta categoría",IF(COUNTIF(CategoriasLista,H395)=0,"Categoría inválida","")),IF(M395="","Falta precio compra",IF(OR(NOT(ISNUMBER(M395)),M395&lt;0),"Precio compra inválido","")),IF(N395="","Falta precio venta",IF(OR(NOT(ISNUMBER(N395)),N395&lt;=0,N395&lt;M395),"Precio venta inválido","")),IF(O395="","Falta stock mínimo",IF(OR(NOT(ISNUMBER(O395)),O395&lt;0,MOD(O395,1)&lt;&gt;0),"Stock mínimo inválido","")),IF(P395="","Falta unidad",IF(COUNTIF(UnidadesLista,P395)=0,"Unidad inválida","")),IF(AND(K395&lt;&gt;"",COUNTIF(ProveedoresLista,K395)=0),"Proveedor no catalogado",""),IF(X395="","Falta cantidad contada",IF(OR(NOT(ISNUMBER(X395)),X395&lt;0,ABS(X395*1000-ROUND(X395*1000,0))&gt;0.0000001),"Cantidad inválida",IF(AND(Q395="NO",MOD(X395,1)&lt;&gt;0),"Cantidad fraccionaria no permitida",""))),IF(AND(R395="SI",OR(NOT(ISNUMBER(S395)),S395&lt;1,MOD(S395,1)&lt;&gt;0)),"Empaque inválido",""),IF(OR(AND(AF395="",AG395="ESCANEADO"),AND(AF395&lt;&gt;"",AG395&lt;&gt;"ESCANEADO")),"Barcode/estado inconsistente",""),IF(AK395&lt;&gt;"",AK395,"")))</f>
        <v/>
      </c>
      <c r="AJ395" s="21" t="n"/>
      <c r="AK395" s="17">
        <f>IF(G395="","",IF(OR(COUNTIFS($G$5:$G$445,G395,$I$5:$I$445,I395,$J$5:$J$445,J395,$P$5:$P$445,P395)&gt;1,AND(AF395&lt;&gt;"",COUNTIF($AF$5:$AF$445,AF395)&gt;1)),"REVISAR_POSIBLE_DUPLICADO",""))</f>
        <v/>
      </c>
    </row>
    <row r="396">
      <c r="A396" s="17" t="inlineStr">
        <is>
          <t>d83a5254-36e8-5436-9c27-a23844b764fa</t>
        </is>
      </c>
      <c r="B396" s="18" t="inlineStr">
        <is>
          <t>NUEVO</t>
        </is>
      </c>
      <c r="C396" s="18" t="inlineStr">
        <is>
          <t>ACTIVO</t>
        </is>
      </c>
      <c r="D396" s="18" t="n"/>
      <c r="E396" s="17" t="n"/>
      <c r="F396" s="17" t="n"/>
      <c r="G396" s="19" t="n"/>
      <c r="H396" s="19" t="n"/>
      <c r="I396" s="20" t="n"/>
      <c r="J396" s="20" t="n"/>
      <c r="K396" s="21" t="n"/>
      <c r="L396" s="18" t="n"/>
      <c r="M396" s="22" t="n"/>
      <c r="N396" s="22" t="n"/>
      <c r="O396" s="23" t="n">
        <v>10</v>
      </c>
      <c r="P396" s="24" t="inlineStr">
        <is>
          <t>UNIDAD</t>
        </is>
      </c>
      <c r="Q396" s="20" t="inlineStr">
        <is>
          <t>NO</t>
        </is>
      </c>
      <c r="R396" s="20" t="inlineStr">
        <is>
          <t>NO</t>
        </is>
      </c>
      <c r="S396" s="25" t="n">
        <v>1</v>
      </c>
      <c r="T396" s="20" t="inlineStr">
        <is>
          <t>NO</t>
        </is>
      </c>
      <c r="U396" s="20" t="n"/>
      <c r="V396" s="21" t="n"/>
      <c r="W396" s="26" t="n"/>
      <c r="X396" s="27" t="n"/>
      <c r="Y396" s="20" t="n"/>
      <c r="Z396" s="20" t="n"/>
      <c r="AA396" s="26">
        <f>IF(X396="","",X396-IF(W396="",0,W396))</f>
        <v/>
      </c>
      <c r="AB396" s="28">
        <f>IF(OR(X396="",M396=""),"",X396*M396)</f>
        <v/>
      </c>
      <c r="AC396" s="28">
        <f>IF(OR(X396="",N396=""),"",X396*N396)</f>
        <v/>
      </c>
      <c r="AD396" s="28">
        <f>IF(OR(M396="",N396=""),"",N396-M396)</f>
        <v/>
      </c>
      <c r="AE396" s="29">
        <f>IFERROR(IF(M396&gt;0,(N396-M396)/M396,""),"")</f>
        <v/>
      </c>
      <c r="AF396" s="30" t="n"/>
      <c r="AG396" s="30" t="inlineStr">
        <is>
          <t>PENDIENTE</t>
        </is>
      </c>
      <c r="AH396" s="18">
        <f>IF(NOT(OR(B396="EXISTENTE",COUNTA(G396,H396,I396,J396,K396,M396,N396,U396,V396,X396,Y396,Z396,AF396,AJ396)&gt;0)),"",IF(AK396&lt;&gt;"","REVISAR",IF(OR(G396="",H396="",M396="",N396="",O396="",P396="",X396=""),"INCOMPLETO",IF(AI396&lt;&gt;"","REVISAR",IF(AND(AF396&lt;&gt;"",AG396="ESCANEADO"),"LISTO_COMPLETO","LISTO_SIN_BARCODE")))))</f>
        <v/>
      </c>
      <c r="AI396" s="17">
        <f>IF(NOT(OR(B396="EXISTENTE",COUNTA(G396,H396,I396,J396,K396,M396,N396,U396,V396,X396,Y396,Z396,AF396,AJ396)&gt;0)),"",TEXTJOIN(" | ",TRUE,IF(A396="","Falta ID staging",""),IF(COUNTIF($A$5:$A$445,A396)&gt;1,"ID staging duplicado",""),IF(G396="","Falta nombre",""),IF(LEN(G396)&gt;150,"Nombre &gt;150 caracteres",""),IF(H396="","Falta categoría",IF(COUNTIF(CategoriasLista,H396)=0,"Categoría inválida","")),IF(M396="","Falta precio compra",IF(OR(NOT(ISNUMBER(M396)),M396&lt;0),"Precio compra inválido","")),IF(N396="","Falta precio venta",IF(OR(NOT(ISNUMBER(N396)),N396&lt;=0,N396&lt;M396),"Precio venta inválido","")),IF(O396="","Falta stock mínimo",IF(OR(NOT(ISNUMBER(O396)),O396&lt;0,MOD(O396,1)&lt;&gt;0),"Stock mínimo inválido","")),IF(P396="","Falta unidad",IF(COUNTIF(UnidadesLista,P396)=0,"Unidad inválida","")),IF(AND(K396&lt;&gt;"",COUNTIF(ProveedoresLista,K396)=0),"Proveedor no catalogado",""),IF(X396="","Falta cantidad contada",IF(OR(NOT(ISNUMBER(X396)),X396&lt;0,ABS(X396*1000-ROUND(X396*1000,0))&gt;0.0000001),"Cantidad inválida",IF(AND(Q396="NO",MOD(X396,1)&lt;&gt;0),"Cantidad fraccionaria no permitida",""))),IF(AND(R396="SI",OR(NOT(ISNUMBER(S396)),S396&lt;1,MOD(S396,1)&lt;&gt;0)),"Empaque inválido",""),IF(OR(AND(AF396="",AG396="ESCANEADO"),AND(AF396&lt;&gt;"",AG396&lt;&gt;"ESCANEADO")),"Barcode/estado inconsistente",""),IF(AK396&lt;&gt;"",AK396,"")))</f>
        <v/>
      </c>
      <c r="AJ396" s="21" t="n"/>
      <c r="AK396" s="17">
        <f>IF(G396="","",IF(OR(COUNTIFS($G$5:$G$445,G396,$I$5:$I$445,I396,$J$5:$J$445,J396,$P$5:$P$445,P396)&gt;1,AND(AF396&lt;&gt;"",COUNTIF($AF$5:$AF$445,AF396)&gt;1)),"REVISAR_POSIBLE_DUPLICADO",""))</f>
        <v/>
      </c>
    </row>
    <row r="397">
      <c r="A397" s="17" t="inlineStr">
        <is>
          <t>36657463-c21d-54e5-9b7c-cf35784a8bd4</t>
        </is>
      </c>
      <c r="B397" s="18" t="inlineStr">
        <is>
          <t>NUEVO</t>
        </is>
      </c>
      <c r="C397" s="18" t="inlineStr">
        <is>
          <t>ACTIVO</t>
        </is>
      </c>
      <c r="D397" s="18" t="n"/>
      <c r="E397" s="17" t="n"/>
      <c r="F397" s="17" t="n"/>
      <c r="G397" s="19" t="n"/>
      <c r="H397" s="19" t="n"/>
      <c r="I397" s="20" t="n"/>
      <c r="J397" s="20" t="n"/>
      <c r="K397" s="21" t="n"/>
      <c r="L397" s="18" t="n"/>
      <c r="M397" s="22" t="n"/>
      <c r="N397" s="22" t="n"/>
      <c r="O397" s="23" t="n">
        <v>10</v>
      </c>
      <c r="P397" s="24" t="inlineStr">
        <is>
          <t>UNIDAD</t>
        </is>
      </c>
      <c r="Q397" s="20" t="inlineStr">
        <is>
          <t>NO</t>
        </is>
      </c>
      <c r="R397" s="20" t="inlineStr">
        <is>
          <t>NO</t>
        </is>
      </c>
      <c r="S397" s="25" t="n">
        <v>1</v>
      </c>
      <c r="T397" s="20" t="inlineStr">
        <is>
          <t>NO</t>
        </is>
      </c>
      <c r="U397" s="20" t="n"/>
      <c r="V397" s="21" t="n"/>
      <c r="W397" s="26" t="n"/>
      <c r="X397" s="27" t="n"/>
      <c r="Y397" s="20" t="n"/>
      <c r="Z397" s="20" t="n"/>
      <c r="AA397" s="26">
        <f>IF(X397="","",X397-IF(W397="",0,W397))</f>
        <v/>
      </c>
      <c r="AB397" s="28">
        <f>IF(OR(X397="",M397=""),"",X397*M397)</f>
        <v/>
      </c>
      <c r="AC397" s="28">
        <f>IF(OR(X397="",N397=""),"",X397*N397)</f>
        <v/>
      </c>
      <c r="AD397" s="28">
        <f>IF(OR(M397="",N397=""),"",N397-M397)</f>
        <v/>
      </c>
      <c r="AE397" s="29">
        <f>IFERROR(IF(M397&gt;0,(N397-M397)/M397,""),"")</f>
        <v/>
      </c>
      <c r="AF397" s="30" t="n"/>
      <c r="AG397" s="30" t="inlineStr">
        <is>
          <t>PENDIENTE</t>
        </is>
      </c>
      <c r="AH397" s="18">
        <f>IF(NOT(OR(B397="EXISTENTE",COUNTA(G397,H397,I397,J397,K397,M397,N397,U397,V397,X397,Y397,Z397,AF397,AJ397)&gt;0)),"",IF(AK397&lt;&gt;"","REVISAR",IF(OR(G397="",H397="",M397="",N397="",O397="",P397="",X397=""),"INCOMPLETO",IF(AI397&lt;&gt;"","REVISAR",IF(AND(AF397&lt;&gt;"",AG397="ESCANEADO"),"LISTO_COMPLETO","LISTO_SIN_BARCODE")))))</f>
        <v/>
      </c>
      <c r="AI397" s="17">
        <f>IF(NOT(OR(B397="EXISTENTE",COUNTA(G397,H397,I397,J397,K397,M397,N397,U397,V397,X397,Y397,Z397,AF397,AJ397)&gt;0)),"",TEXTJOIN(" | ",TRUE,IF(A397="","Falta ID staging",""),IF(COUNTIF($A$5:$A$445,A397)&gt;1,"ID staging duplicado",""),IF(G397="","Falta nombre",""),IF(LEN(G397)&gt;150,"Nombre &gt;150 caracteres",""),IF(H397="","Falta categoría",IF(COUNTIF(CategoriasLista,H397)=0,"Categoría inválida","")),IF(M397="","Falta precio compra",IF(OR(NOT(ISNUMBER(M397)),M397&lt;0),"Precio compra inválido","")),IF(N397="","Falta precio venta",IF(OR(NOT(ISNUMBER(N397)),N397&lt;=0,N397&lt;M397),"Precio venta inválido","")),IF(O397="","Falta stock mínimo",IF(OR(NOT(ISNUMBER(O397)),O397&lt;0,MOD(O397,1)&lt;&gt;0),"Stock mínimo inválido","")),IF(P397="","Falta unidad",IF(COUNTIF(UnidadesLista,P397)=0,"Unidad inválida","")),IF(AND(K397&lt;&gt;"",COUNTIF(ProveedoresLista,K397)=0),"Proveedor no catalogado",""),IF(X397="","Falta cantidad contada",IF(OR(NOT(ISNUMBER(X397)),X397&lt;0,ABS(X397*1000-ROUND(X397*1000,0))&gt;0.0000001),"Cantidad inválida",IF(AND(Q397="NO",MOD(X397,1)&lt;&gt;0),"Cantidad fraccionaria no permitida",""))),IF(AND(R397="SI",OR(NOT(ISNUMBER(S397)),S397&lt;1,MOD(S397,1)&lt;&gt;0)),"Empaque inválido",""),IF(OR(AND(AF397="",AG397="ESCANEADO"),AND(AF397&lt;&gt;"",AG397&lt;&gt;"ESCANEADO")),"Barcode/estado inconsistente",""),IF(AK397&lt;&gt;"",AK397,"")))</f>
        <v/>
      </c>
      <c r="AJ397" s="21" t="n"/>
      <c r="AK397" s="17">
        <f>IF(G397="","",IF(OR(COUNTIFS($G$5:$G$445,G397,$I$5:$I$445,I397,$J$5:$J$445,J397,$P$5:$P$445,P397)&gt;1,AND(AF397&lt;&gt;"",COUNTIF($AF$5:$AF$445,AF397)&gt;1)),"REVISAR_POSIBLE_DUPLICADO",""))</f>
        <v/>
      </c>
    </row>
    <row r="398">
      <c r="A398" s="17" t="inlineStr">
        <is>
          <t>69cfd257-126a-5dd8-bec3-136afdb4ed76</t>
        </is>
      </c>
      <c r="B398" s="18" t="inlineStr">
        <is>
          <t>NUEVO</t>
        </is>
      </c>
      <c r="C398" s="18" t="inlineStr">
        <is>
          <t>ACTIVO</t>
        </is>
      </c>
      <c r="D398" s="18" t="n"/>
      <c r="E398" s="17" t="n"/>
      <c r="F398" s="17" t="n"/>
      <c r="G398" s="19" t="n"/>
      <c r="H398" s="19" t="n"/>
      <c r="I398" s="20" t="n"/>
      <c r="J398" s="20" t="n"/>
      <c r="K398" s="21" t="n"/>
      <c r="L398" s="18" t="n"/>
      <c r="M398" s="22" t="n"/>
      <c r="N398" s="22" t="n"/>
      <c r="O398" s="23" t="n">
        <v>10</v>
      </c>
      <c r="P398" s="24" t="inlineStr">
        <is>
          <t>UNIDAD</t>
        </is>
      </c>
      <c r="Q398" s="20" t="inlineStr">
        <is>
          <t>NO</t>
        </is>
      </c>
      <c r="R398" s="20" t="inlineStr">
        <is>
          <t>NO</t>
        </is>
      </c>
      <c r="S398" s="25" t="n">
        <v>1</v>
      </c>
      <c r="T398" s="20" t="inlineStr">
        <is>
          <t>NO</t>
        </is>
      </c>
      <c r="U398" s="20" t="n"/>
      <c r="V398" s="21" t="n"/>
      <c r="W398" s="26" t="n"/>
      <c r="X398" s="27" t="n"/>
      <c r="Y398" s="20" t="n"/>
      <c r="Z398" s="20" t="n"/>
      <c r="AA398" s="26">
        <f>IF(X398="","",X398-IF(W398="",0,W398))</f>
        <v/>
      </c>
      <c r="AB398" s="28">
        <f>IF(OR(X398="",M398=""),"",X398*M398)</f>
        <v/>
      </c>
      <c r="AC398" s="28">
        <f>IF(OR(X398="",N398=""),"",X398*N398)</f>
        <v/>
      </c>
      <c r="AD398" s="28">
        <f>IF(OR(M398="",N398=""),"",N398-M398)</f>
        <v/>
      </c>
      <c r="AE398" s="29">
        <f>IFERROR(IF(M398&gt;0,(N398-M398)/M398,""),"")</f>
        <v/>
      </c>
      <c r="AF398" s="30" t="n"/>
      <c r="AG398" s="30" t="inlineStr">
        <is>
          <t>PENDIENTE</t>
        </is>
      </c>
      <c r="AH398" s="18">
        <f>IF(NOT(OR(B398="EXISTENTE",COUNTA(G398,H398,I398,J398,K398,M398,N398,U398,V398,X398,Y398,Z398,AF398,AJ398)&gt;0)),"",IF(AK398&lt;&gt;"","REVISAR",IF(OR(G398="",H398="",M398="",N398="",O398="",P398="",X398=""),"INCOMPLETO",IF(AI398&lt;&gt;"","REVISAR",IF(AND(AF398&lt;&gt;"",AG398="ESCANEADO"),"LISTO_COMPLETO","LISTO_SIN_BARCODE")))))</f>
        <v/>
      </c>
      <c r="AI398" s="17">
        <f>IF(NOT(OR(B398="EXISTENTE",COUNTA(G398,H398,I398,J398,K398,M398,N398,U398,V398,X398,Y398,Z398,AF398,AJ398)&gt;0)),"",TEXTJOIN(" | ",TRUE,IF(A398="","Falta ID staging",""),IF(COUNTIF($A$5:$A$445,A398)&gt;1,"ID staging duplicado",""),IF(G398="","Falta nombre",""),IF(LEN(G398)&gt;150,"Nombre &gt;150 caracteres",""),IF(H398="","Falta categoría",IF(COUNTIF(CategoriasLista,H398)=0,"Categoría inválida","")),IF(M398="","Falta precio compra",IF(OR(NOT(ISNUMBER(M398)),M398&lt;0),"Precio compra inválido","")),IF(N398="","Falta precio venta",IF(OR(NOT(ISNUMBER(N398)),N398&lt;=0,N398&lt;M398),"Precio venta inválido","")),IF(O398="","Falta stock mínimo",IF(OR(NOT(ISNUMBER(O398)),O398&lt;0,MOD(O398,1)&lt;&gt;0),"Stock mínimo inválido","")),IF(P398="","Falta unidad",IF(COUNTIF(UnidadesLista,P398)=0,"Unidad inválida","")),IF(AND(K398&lt;&gt;"",COUNTIF(ProveedoresLista,K398)=0),"Proveedor no catalogado",""),IF(X398="","Falta cantidad contada",IF(OR(NOT(ISNUMBER(X398)),X398&lt;0,ABS(X398*1000-ROUND(X398*1000,0))&gt;0.0000001),"Cantidad inválida",IF(AND(Q398="NO",MOD(X398,1)&lt;&gt;0),"Cantidad fraccionaria no permitida",""))),IF(AND(R398="SI",OR(NOT(ISNUMBER(S398)),S398&lt;1,MOD(S398,1)&lt;&gt;0)),"Empaque inválido",""),IF(OR(AND(AF398="",AG398="ESCANEADO"),AND(AF398&lt;&gt;"",AG398&lt;&gt;"ESCANEADO")),"Barcode/estado inconsistente",""),IF(AK398&lt;&gt;"",AK398,"")))</f>
        <v/>
      </c>
      <c r="AJ398" s="21" t="n"/>
      <c r="AK398" s="17">
        <f>IF(G398="","",IF(OR(COUNTIFS($G$5:$G$445,G398,$I$5:$I$445,I398,$J$5:$J$445,J398,$P$5:$P$445,P398)&gt;1,AND(AF398&lt;&gt;"",COUNTIF($AF$5:$AF$445,AF398)&gt;1)),"REVISAR_POSIBLE_DUPLICADO",""))</f>
        <v/>
      </c>
    </row>
    <row r="399">
      <c r="A399" s="17" t="inlineStr">
        <is>
          <t>5f9aaae7-6e04-54d8-b6ee-1d0a5fbc53fc</t>
        </is>
      </c>
      <c r="B399" s="18" t="inlineStr">
        <is>
          <t>NUEVO</t>
        </is>
      </c>
      <c r="C399" s="18" t="inlineStr">
        <is>
          <t>ACTIVO</t>
        </is>
      </c>
      <c r="D399" s="18" t="n"/>
      <c r="E399" s="17" t="n"/>
      <c r="F399" s="17" t="n"/>
      <c r="G399" s="19" t="n"/>
      <c r="H399" s="19" t="n"/>
      <c r="I399" s="20" t="n"/>
      <c r="J399" s="20" t="n"/>
      <c r="K399" s="21" t="n"/>
      <c r="L399" s="18" t="n"/>
      <c r="M399" s="22" t="n"/>
      <c r="N399" s="22" t="n"/>
      <c r="O399" s="23" t="n">
        <v>10</v>
      </c>
      <c r="P399" s="24" t="inlineStr">
        <is>
          <t>UNIDAD</t>
        </is>
      </c>
      <c r="Q399" s="20" t="inlineStr">
        <is>
          <t>NO</t>
        </is>
      </c>
      <c r="R399" s="20" t="inlineStr">
        <is>
          <t>NO</t>
        </is>
      </c>
      <c r="S399" s="25" t="n">
        <v>1</v>
      </c>
      <c r="T399" s="20" t="inlineStr">
        <is>
          <t>NO</t>
        </is>
      </c>
      <c r="U399" s="20" t="n"/>
      <c r="V399" s="21" t="n"/>
      <c r="W399" s="26" t="n"/>
      <c r="X399" s="27" t="n"/>
      <c r="Y399" s="20" t="n"/>
      <c r="Z399" s="20" t="n"/>
      <c r="AA399" s="26">
        <f>IF(X399="","",X399-IF(W399="",0,W399))</f>
        <v/>
      </c>
      <c r="AB399" s="28">
        <f>IF(OR(X399="",M399=""),"",X399*M399)</f>
        <v/>
      </c>
      <c r="AC399" s="28">
        <f>IF(OR(X399="",N399=""),"",X399*N399)</f>
        <v/>
      </c>
      <c r="AD399" s="28">
        <f>IF(OR(M399="",N399=""),"",N399-M399)</f>
        <v/>
      </c>
      <c r="AE399" s="29">
        <f>IFERROR(IF(M399&gt;0,(N399-M399)/M399,""),"")</f>
        <v/>
      </c>
      <c r="AF399" s="30" t="n"/>
      <c r="AG399" s="30" t="inlineStr">
        <is>
          <t>PENDIENTE</t>
        </is>
      </c>
      <c r="AH399" s="18">
        <f>IF(NOT(OR(B399="EXISTENTE",COUNTA(G399,H399,I399,J399,K399,M399,N399,U399,V399,X399,Y399,Z399,AF399,AJ399)&gt;0)),"",IF(AK399&lt;&gt;"","REVISAR",IF(OR(G399="",H399="",M399="",N399="",O399="",P399="",X399=""),"INCOMPLETO",IF(AI399&lt;&gt;"","REVISAR",IF(AND(AF399&lt;&gt;"",AG399="ESCANEADO"),"LISTO_COMPLETO","LISTO_SIN_BARCODE")))))</f>
        <v/>
      </c>
      <c r="AI399" s="17">
        <f>IF(NOT(OR(B399="EXISTENTE",COUNTA(G399,H399,I399,J399,K399,M399,N399,U399,V399,X399,Y399,Z399,AF399,AJ399)&gt;0)),"",TEXTJOIN(" | ",TRUE,IF(A399="","Falta ID staging",""),IF(COUNTIF($A$5:$A$445,A399)&gt;1,"ID staging duplicado",""),IF(G399="","Falta nombre",""),IF(LEN(G399)&gt;150,"Nombre &gt;150 caracteres",""),IF(H399="","Falta categoría",IF(COUNTIF(CategoriasLista,H399)=0,"Categoría inválida","")),IF(M399="","Falta precio compra",IF(OR(NOT(ISNUMBER(M399)),M399&lt;0),"Precio compra inválido","")),IF(N399="","Falta precio venta",IF(OR(NOT(ISNUMBER(N399)),N399&lt;=0,N399&lt;M399),"Precio venta inválido","")),IF(O399="","Falta stock mínimo",IF(OR(NOT(ISNUMBER(O399)),O399&lt;0,MOD(O399,1)&lt;&gt;0),"Stock mínimo inválido","")),IF(P399="","Falta unidad",IF(COUNTIF(UnidadesLista,P399)=0,"Unidad inválida","")),IF(AND(K399&lt;&gt;"",COUNTIF(ProveedoresLista,K399)=0),"Proveedor no catalogado",""),IF(X399="","Falta cantidad contada",IF(OR(NOT(ISNUMBER(X399)),X399&lt;0,ABS(X399*1000-ROUND(X399*1000,0))&gt;0.0000001),"Cantidad inválida",IF(AND(Q399="NO",MOD(X399,1)&lt;&gt;0),"Cantidad fraccionaria no permitida",""))),IF(AND(R399="SI",OR(NOT(ISNUMBER(S399)),S399&lt;1,MOD(S399,1)&lt;&gt;0)),"Empaque inválido",""),IF(OR(AND(AF399="",AG399="ESCANEADO"),AND(AF399&lt;&gt;"",AG399&lt;&gt;"ESCANEADO")),"Barcode/estado inconsistente",""),IF(AK399&lt;&gt;"",AK399,"")))</f>
        <v/>
      </c>
      <c r="AJ399" s="21" t="n"/>
      <c r="AK399" s="17">
        <f>IF(G399="","",IF(OR(COUNTIFS($G$5:$G$445,G399,$I$5:$I$445,I399,$J$5:$J$445,J399,$P$5:$P$445,P399)&gt;1,AND(AF399&lt;&gt;"",COUNTIF($AF$5:$AF$445,AF399)&gt;1)),"REVISAR_POSIBLE_DUPLICADO",""))</f>
        <v/>
      </c>
    </row>
    <row r="400">
      <c r="A400" s="17" t="inlineStr">
        <is>
          <t>1dadc140-5283-59e2-a2fe-c92c6e8254a0</t>
        </is>
      </c>
      <c r="B400" s="18" t="inlineStr">
        <is>
          <t>NUEVO</t>
        </is>
      </c>
      <c r="C400" s="18" t="inlineStr">
        <is>
          <t>ACTIVO</t>
        </is>
      </c>
      <c r="D400" s="18" t="n"/>
      <c r="E400" s="17" t="n"/>
      <c r="F400" s="17" t="n"/>
      <c r="G400" s="19" t="n"/>
      <c r="H400" s="19" t="n"/>
      <c r="I400" s="20" t="n"/>
      <c r="J400" s="20" t="n"/>
      <c r="K400" s="21" t="n"/>
      <c r="L400" s="18" t="n"/>
      <c r="M400" s="22" t="n"/>
      <c r="N400" s="22" t="n"/>
      <c r="O400" s="23" t="n">
        <v>10</v>
      </c>
      <c r="P400" s="24" t="inlineStr">
        <is>
          <t>UNIDAD</t>
        </is>
      </c>
      <c r="Q400" s="20" t="inlineStr">
        <is>
          <t>NO</t>
        </is>
      </c>
      <c r="R400" s="20" t="inlineStr">
        <is>
          <t>NO</t>
        </is>
      </c>
      <c r="S400" s="25" t="n">
        <v>1</v>
      </c>
      <c r="T400" s="20" t="inlineStr">
        <is>
          <t>NO</t>
        </is>
      </c>
      <c r="U400" s="20" t="n"/>
      <c r="V400" s="21" t="n"/>
      <c r="W400" s="26" t="n"/>
      <c r="X400" s="27" t="n"/>
      <c r="Y400" s="20" t="n"/>
      <c r="Z400" s="20" t="n"/>
      <c r="AA400" s="26">
        <f>IF(X400="","",X400-IF(W400="",0,W400))</f>
        <v/>
      </c>
      <c r="AB400" s="28">
        <f>IF(OR(X400="",M400=""),"",X400*M400)</f>
        <v/>
      </c>
      <c r="AC400" s="28">
        <f>IF(OR(X400="",N400=""),"",X400*N400)</f>
        <v/>
      </c>
      <c r="AD400" s="28">
        <f>IF(OR(M400="",N400=""),"",N400-M400)</f>
        <v/>
      </c>
      <c r="AE400" s="29">
        <f>IFERROR(IF(M400&gt;0,(N400-M400)/M400,""),"")</f>
        <v/>
      </c>
      <c r="AF400" s="30" t="n"/>
      <c r="AG400" s="30" t="inlineStr">
        <is>
          <t>PENDIENTE</t>
        </is>
      </c>
      <c r="AH400" s="18">
        <f>IF(NOT(OR(B400="EXISTENTE",COUNTA(G400,H400,I400,J400,K400,M400,N400,U400,V400,X400,Y400,Z400,AF400,AJ400)&gt;0)),"",IF(AK400&lt;&gt;"","REVISAR",IF(OR(G400="",H400="",M400="",N400="",O400="",P400="",X400=""),"INCOMPLETO",IF(AI400&lt;&gt;"","REVISAR",IF(AND(AF400&lt;&gt;"",AG400="ESCANEADO"),"LISTO_COMPLETO","LISTO_SIN_BARCODE")))))</f>
        <v/>
      </c>
      <c r="AI400" s="17">
        <f>IF(NOT(OR(B400="EXISTENTE",COUNTA(G400,H400,I400,J400,K400,M400,N400,U400,V400,X400,Y400,Z400,AF400,AJ400)&gt;0)),"",TEXTJOIN(" | ",TRUE,IF(A400="","Falta ID staging",""),IF(COUNTIF($A$5:$A$445,A400)&gt;1,"ID staging duplicado",""),IF(G400="","Falta nombre",""),IF(LEN(G400)&gt;150,"Nombre &gt;150 caracteres",""),IF(H400="","Falta categoría",IF(COUNTIF(CategoriasLista,H400)=0,"Categoría inválida","")),IF(M400="","Falta precio compra",IF(OR(NOT(ISNUMBER(M400)),M400&lt;0),"Precio compra inválido","")),IF(N400="","Falta precio venta",IF(OR(NOT(ISNUMBER(N400)),N400&lt;=0,N400&lt;M400),"Precio venta inválido","")),IF(O400="","Falta stock mínimo",IF(OR(NOT(ISNUMBER(O400)),O400&lt;0,MOD(O400,1)&lt;&gt;0),"Stock mínimo inválido","")),IF(P400="","Falta unidad",IF(COUNTIF(UnidadesLista,P400)=0,"Unidad inválida","")),IF(AND(K400&lt;&gt;"",COUNTIF(ProveedoresLista,K400)=0),"Proveedor no catalogado",""),IF(X400="","Falta cantidad contada",IF(OR(NOT(ISNUMBER(X400)),X400&lt;0,ABS(X400*1000-ROUND(X400*1000,0))&gt;0.0000001),"Cantidad inválida",IF(AND(Q400="NO",MOD(X400,1)&lt;&gt;0),"Cantidad fraccionaria no permitida",""))),IF(AND(R400="SI",OR(NOT(ISNUMBER(S400)),S400&lt;1,MOD(S400,1)&lt;&gt;0)),"Empaque inválido",""),IF(OR(AND(AF400="",AG400="ESCANEADO"),AND(AF400&lt;&gt;"",AG400&lt;&gt;"ESCANEADO")),"Barcode/estado inconsistente",""),IF(AK400&lt;&gt;"",AK400,"")))</f>
        <v/>
      </c>
      <c r="AJ400" s="21" t="n"/>
      <c r="AK400" s="17">
        <f>IF(G400="","",IF(OR(COUNTIFS($G$5:$G$445,G400,$I$5:$I$445,I400,$J$5:$J$445,J400,$P$5:$P$445,P400)&gt;1,AND(AF400&lt;&gt;"",COUNTIF($AF$5:$AF$445,AF400)&gt;1)),"REVISAR_POSIBLE_DUPLICADO",""))</f>
        <v/>
      </c>
    </row>
    <row r="401">
      <c r="A401" s="17" t="inlineStr">
        <is>
          <t>8af8b6f4-6673-5e33-9200-caaa41c92796</t>
        </is>
      </c>
      <c r="B401" s="18" t="inlineStr">
        <is>
          <t>NUEVO</t>
        </is>
      </c>
      <c r="C401" s="18" t="inlineStr">
        <is>
          <t>ACTIVO</t>
        </is>
      </c>
      <c r="D401" s="18" t="n"/>
      <c r="E401" s="17" t="n"/>
      <c r="F401" s="17" t="n"/>
      <c r="G401" s="19" t="n"/>
      <c r="H401" s="19" t="n"/>
      <c r="I401" s="20" t="n"/>
      <c r="J401" s="20" t="n"/>
      <c r="K401" s="21" t="n"/>
      <c r="L401" s="18" t="n"/>
      <c r="M401" s="22" t="n"/>
      <c r="N401" s="22" t="n"/>
      <c r="O401" s="23" t="n">
        <v>10</v>
      </c>
      <c r="P401" s="24" t="inlineStr">
        <is>
          <t>UNIDAD</t>
        </is>
      </c>
      <c r="Q401" s="20" t="inlineStr">
        <is>
          <t>NO</t>
        </is>
      </c>
      <c r="R401" s="20" t="inlineStr">
        <is>
          <t>NO</t>
        </is>
      </c>
      <c r="S401" s="25" t="n">
        <v>1</v>
      </c>
      <c r="T401" s="20" t="inlineStr">
        <is>
          <t>NO</t>
        </is>
      </c>
      <c r="U401" s="20" t="n"/>
      <c r="V401" s="21" t="n"/>
      <c r="W401" s="26" t="n"/>
      <c r="X401" s="27" t="n"/>
      <c r="Y401" s="20" t="n"/>
      <c r="Z401" s="20" t="n"/>
      <c r="AA401" s="26">
        <f>IF(X401="","",X401-IF(W401="",0,W401))</f>
        <v/>
      </c>
      <c r="AB401" s="28">
        <f>IF(OR(X401="",M401=""),"",X401*M401)</f>
        <v/>
      </c>
      <c r="AC401" s="28">
        <f>IF(OR(X401="",N401=""),"",X401*N401)</f>
        <v/>
      </c>
      <c r="AD401" s="28">
        <f>IF(OR(M401="",N401=""),"",N401-M401)</f>
        <v/>
      </c>
      <c r="AE401" s="29">
        <f>IFERROR(IF(M401&gt;0,(N401-M401)/M401,""),"")</f>
        <v/>
      </c>
      <c r="AF401" s="30" t="n"/>
      <c r="AG401" s="30" t="inlineStr">
        <is>
          <t>PENDIENTE</t>
        </is>
      </c>
      <c r="AH401" s="18">
        <f>IF(NOT(OR(B401="EXISTENTE",COUNTA(G401,H401,I401,J401,K401,M401,N401,U401,V401,X401,Y401,Z401,AF401,AJ401)&gt;0)),"",IF(AK401&lt;&gt;"","REVISAR",IF(OR(G401="",H401="",M401="",N401="",O401="",P401="",X401=""),"INCOMPLETO",IF(AI401&lt;&gt;"","REVISAR",IF(AND(AF401&lt;&gt;"",AG401="ESCANEADO"),"LISTO_COMPLETO","LISTO_SIN_BARCODE")))))</f>
        <v/>
      </c>
      <c r="AI401" s="17">
        <f>IF(NOT(OR(B401="EXISTENTE",COUNTA(G401,H401,I401,J401,K401,M401,N401,U401,V401,X401,Y401,Z401,AF401,AJ401)&gt;0)),"",TEXTJOIN(" | ",TRUE,IF(A401="","Falta ID staging",""),IF(COUNTIF($A$5:$A$445,A401)&gt;1,"ID staging duplicado",""),IF(G401="","Falta nombre",""),IF(LEN(G401)&gt;150,"Nombre &gt;150 caracteres",""),IF(H401="","Falta categoría",IF(COUNTIF(CategoriasLista,H401)=0,"Categoría inválida","")),IF(M401="","Falta precio compra",IF(OR(NOT(ISNUMBER(M401)),M401&lt;0),"Precio compra inválido","")),IF(N401="","Falta precio venta",IF(OR(NOT(ISNUMBER(N401)),N401&lt;=0,N401&lt;M401),"Precio venta inválido","")),IF(O401="","Falta stock mínimo",IF(OR(NOT(ISNUMBER(O401)),O401&lt;0,MOD(O401,1)&lt;&gt;0),"Stock mínimo inválido","")),IF(P401="","Falta unidad",IF(COUNTIF(UnidadesLista,P401)=0,"Unidad inválida","")),IF(AND(K401&lt;&gt;"",COUNTIF(ProveedoresLista,K401)=0),"Proveedor no catalogado",""),IF(X401="","Falta cantidad contada",IF(OR(NOT(ISNUMBER(X401)),X401&lt;0,ABS(X401*1000-ROUND(X401*1000,0))&gt;0.0000001),"Cantidad inválida",IF(AND(Q401="NO",MOD(X401,1)&lt;&gt;0),"Cantidad fraccionaria no permitida",""))),IF(AND(R401="SI",OR(NOT(ISNUMBER(S401)),S401&lt;1,MOD(S401,1)&lt;&gt;0)),"Empaque inválido",""),IF(OR(AND(AF401="",AG401="ESCANEADO"),AND(AF401&lt;&gt;"",AG401&lt;&gt;"ESCANEADO")),"Barcode/estado inconsistente",""),IF(AK401&lt;&gt;"",AK401,"")))</f>
        <v/>
      </c>
      <c r="AJ401" s="21" t="n"/>
      <c r="AK401" s="17">
        <f>IF(G401="","",IF(OR(COUNTIFS($G$5:$G$445,G401,$I$5:$I$445,I401,$J$5:$J$445,J401,$P$5:$P$445,P401)&gt;1,AND(AF401&lt;&gt;"",COUNTIF($AF$5:$AF$445,AF401)&gt;1)),"REVISAR_POSIBLE_DUPLICADO",""))</f>
        <v/>
      </c>
    </row>
    <row r="402">
      <c r="A402" s="17" t="inlineStr">
        <is>
          <t>1a1074ac-fe96-5e5a-8a3e-9e3ca1f03ed9</t>
        </is>
      </c>
      <c r="B402" s="18" t="inlineStr">
        <is>
          <t>NUEVO</t>
        </is>
      </c>
      <c r="C402" s="18" t="inlineStr">
        <is>
          <t>ACTIVO</t>
        </is>
      </c>
      <c r="D402" s="18" t="n"/>
      <c r="E402" s="17" t="n"/>
      <c r="F402" s="17" t="n"/>
      <c r="G402" s="19" t="n"/>
      <c r="H402" s="19" t="n"/>
      <c r="I402" s="20" t="n"/>
      <c r="J402" s="20" t="n"/>
      <c r="K402" s="21" t="n"/>
      <c r="L402" s="18" t="n"/>
      <c r="M402" s="22" t="n"/>
      <c r="N402" s="22" t="n"/>
      <c r="O402" s="23" t="n">
        <v>10</v>
      </c>
      <c r="P402" s="24" t="inlineStr">
        <is>
          <t>UNIDAD</t>
        </is>
      </c>
      <c r="Q402" s="20" t="inlineStr">
        <is>
          <t>NO</t>
        </is>
      </c>
      <c r="R402" s="20" t="inlineStr">
        <is>
          <t>NO</t>
        </is>
      </c>
      <c r="S402" s="25" t="n">
        <v>1</v>
      </c>
      <c r="T402" s="20" t="inlineStr">
        <is>
          <t>NO</t>
        </is>
      </c>
      <c r="U402" s="20" t="n"/>
      <c r="V402" s="21" t="n"/>
      <c r="W402" s="26" t="n"/>
      <c r="X402" s="27" t="n"/>
      <c r="Y402" s="20" t="n"/>
      <c r="Z402" s="20" t="n"/>
      <c r="AA402" s="26">
        <f>IF(X402="","",X402-IF(W402="",0,W402))</f>
        <v/>
      </c>
      <c r="AB402" s="28">
        <f>IF(OR(X402="",M402=""),"",X402*M402)</f>
        <v/>
      </c>
      <c r="AC402" s="28">
        <f>IF(OR(X402="",N402=""),"",X402*N402)</f>
        <v/>
      </c>
      <c r="AD402" s="28">
        <f>IF(OR(M402="",N402=""),"",N402-M402)</f>
        <v/>
      </c>
      <c r="AE402" s="29">
        <f>IFERROR(IF(M402&gt;0,(N402-M402)/M402,""),"")</f>
        <v/>
      </c>
      <c r="AF402" s="30" t="n"/>
      <c r="AG402" s="30" t="inlineStr">
        <is>
          <t>PENDIENTE</t>
        </is>
      </c>
      <c r="AH402" s="18">
        <f>IF(NOT(OR(B402="EXISTENTE",COUNTA(G402,H402,I402,J402,K402,M402,N402,U402,V402,X402,Y402,Z402,AF402,AJ402)&gt;0)),"",IF(AK402&lt;&gt;"","REVISAR",IF(OR(G402="",H402="",M402="",N402="",O402="",P402="",X402=""),"INCOMPLETO",IF(AI402&lt;&gt;"","REVISAR",IF(AND(AF402&lt;&gt;"",AG402="ESCANEADO"),"LISTO_COMPLETO","LISTO_SIN_BARCODE")))))</f>
        <v/>
      </c>
      <c r="AI402" s="17">
        <f>IF(NOT(OR(B402="EXISTENTE",COUNTA(G402,H402,I402,J402,K402,M402,N402,U402,V402,X402,Y402,Z402,AF402,AJ402)&gt;0)),"",TEXTJOIN(" | ",TRUE,IF(A402="","Falta ID staging",""),IF(COUNTIF($A$5:$A$445,A402)&gt;1,"ID staging duplicado",""),IF(G402="","Falta nombre",""),IF(LEN(G402)&gt;150,"Nombre &gt;150 caracteres",""),IF(H402="","Falta categoría",IF(COUNTIF(CategoriasLista,H402)=0,"Categoría inválida","")),IF(M402="","Falta precio compra",IF(OR(NOT(ISNUMBER(M402)),M402&lt;0),"Precio compra inválido","")),IF(N402="","Falta precio venta",IF(OR(NOT(ISNUMBER(N402)),N402&lt;=0,N402&lt;M402),"Precio venta inválido","")),IF(O402="","Falta stock mínimo",IF(OR(NOT(ISNUMBER(O402)),O402&lt;0,MOD(O402,1)&lt;&gt;0),"Stock mínimo inválido","")),IF(P402="","Falta unidad",IF(COUNTIF(UnidadesLista,P402)=0,"Unidad inválida","")),IF(AND(K402&lt;&gt;"",COUNTIF(ProveedoresLista,K402)=0),"Proveedor no catalogado",""),IF(X402="","Falta cantidad contada",IF(OR(NOT(ISNUMBER(X402)),X402&lt;0,ABS(X402*1000-ROUND(X402*1000,0))&gt;0.0000001),"Cantidad inválida",IF(AND(Q402="NO",MOD(X402,1)&lt;&gt;0),"Cantidad fraccionaria no permitida",""))),IF(AND(R402="SI",OR(NOT(ISNUMBER(S402)),S402&lt;1,MOD(S402,1)&lt;&gt;0)),"Empaque inválido",""),IF(OR(AND(AF402="",AG402="ESCANEADO"),AND(AF402&lt;&gt;"",AG402&lt;&gt;"ESCANEADO")),"Barcode/estado inconsistente",""),IF(AK402&lt;&gt;"",AK402,"")))</f>
        <v/>
      </c>
      <c r="AJ402" s="21" t="n"/>
      <c r="AK402" s="17">
        <f>IF(G402="","",IF(OR(COUNTIFS($G$5:$G$445,G402,$I$5:$I$445,I402,$J$5:$J$445,J402,$P$5:$P$445,P402)&gt;1,AND(AF402&lt;&gt;"",COUNTIF($AF$5:$AF$445,AF402)&gt;1)),"REVISAR_POSIBLE_DUPLICADO",""))</f>
        <v/>
      </c>
    </row>
    <row r="403">
      <c r="A403" s="17" t="inlineStr">
        <is>
          <t>9a011244-a59a-59dc-8151-4a5262aa3f8b</t>
        </is>
      </c>
      <c r="B403" s="18" t="inlineStr">
        <is>
          <t>NUEVO</t>
        </is>
      </c>
      <c r="C403" s="18" t="inlineStr">
        <is>
          <t>ACTIVO</t>
        </is>
      </c>
      <c r="D403" s="18" t="n"/>
      <c r="E403" s="17" t="n"/>
      <c r="F403" s="17" t="n"/>
      <c r="G403" s="19" t="n"/>
      <c r="H403" s="19" t="n"/>
      <c r="I403" s="20" t="n"/>
      <c r="J403" s="20" t="n"/>
      <c r="K403" s="21" t="n"/>
      <c r="L403" s="18" t="n"/>
      <c r="M403" s="22" t="n"/>
      <c r="N403" s="22" t="n"/>
      <c r="O403" s="23" t="n">
        <v>10</v>
      </c>
      <c r="P403" s="24" t="inlineStr">
        <is>
          <t>UNIDAD</t>
        </is>
      </c>
      <c r="Q403" s="20" t="inlineStr">
        <is>
          <t>NO</t>
        </is>
      </c>
      <c r="R403" s="20" t="inlineStr">
        <is>
          <t>NO</t>
        </is>
      </c>
      <c r="S403" s="25" t="n">
        <v>1</v>
      </c>
      <c r="T403" s="20" t="inlineStr">
        <is>
          <t>NO</t>
        </is>
      </c>
      <c r="U403" s="20" t="n"/>
      <c r="V403" s="21" t="n"/>
      <c r="W403" s="26" t="n"/>
      <c r="X403" s="27" t="n"/>
      <c r="Y403" s="20" t="n"/>
      <c r="Z403" s="20" t="n"/>
      <c r="AA403" s="26">
        <f>IF(X403="","",X403-IF(W403="",0,W403))</f>
        <v/>
      </c>
      <c r="AB403" s="28">
        <f>IF(OR(X403="",M403=""),"",X403*M403)</f>
        <v/>
      </c>
      <c r="AC403" s="28">
        <f>IF(OR(X403="",N403=""),"",X403*N403)</f>
        <v/>
      </c>
      <c r="AD403" s="28">
        <f>IF(OR(M403="",N403=""),"",N403-M403)</f>
        <v/>
      </c>
      <c r="AE403" s="29">
        <f>IFERROR(IF(M403&gt;0,(N403-M403)/M403,""),"")</f>
        <v/>
      </c>
      <c r="AF403" s="30" t="n"/>
      <c r="AG403" s="30" t="inlineStr">
        <is>
          <t>PENDIENTE</t>
        </is>
      </c>
      <c r="AH403" s="18">
        <f>IF(NOT(OR(B403="EXISTENTE",COUNTA(G403,H403,I403,J403,K403,M403,N403,U403,V403,X403,Y403,Z403,AF403,AJ403)&gt;0)),"",IF(AK403&lt;&gt;"","REVISAR",IF(OR(G403="",H403="",M403="",N403="",O403="",P403="",X403=""),"INCOMPLETO",IF(AI403&lt;&gt;"","REVISAR",IF(AND(AF403&lt;&gt;"",AG403="ESCANEADO"),"LISTO_COMPLETO","LISTO_SIN_BARCODE")))))</f>
        <v/>
      </c>
      <c r="AI403" s="17">
        <f>IF(NOT(OR(B403="EXISTENTE",COUNTA(G403,H403,I403,J403,K403,M403,N403,U403,V403,X403,Y403,Z403,AF403,AJ403)&gt;0)),"",TEXTJOIN(" | ",TRUE,IF(A403="","Falta ID staging",""),IF(COUNTIF($A$5:$A$445,A403)&gt;1,"ID staging duplicado",""),IF(G403="","Falta nombre",""),IF(LEN(G403)&gt;150,"Nombre &gt;150 caracteres",""),IF(H403="","Falta categoría",IF(COUNTIF(CategoriasLista,H403)=0,"Categoría inválida","")),IF(M403="","Falta precio compra",IF(OR(NOT(ISNUMBER(M403)),M403&lt;0),"Precio compra inválido","")),IF(N403="","Falta precio venta",IF(OR(NOT(ISNUMBER(N403)),N403&lt;=0,N403&lt;M403),"Precio venta inválido","")),IF(O403="","Falta stock mínimo",IF(OR(NOT(ISNUMBER(O403)),O403&lt;0,MOD(O403,1)&lt;&gt;0),"Stock mínimo inválido","")),IF(P403="","Falta unidad",IF(COUNTIF(UnidadesLista,P403)=0,"Unidad inválida","")),IF(AND(K403&lt;&gt;"",COUNTIF(ProveedoresLista,K403)=0),"Proveedor no catalogado",""),IF(X403="","Falta cantidad contada",IF(OR(NOT(ISNUMBER(X403)),X403&lt;0,ABS(X403*1000-ROUND(X403*1000,0))&gt;0.0000001),"Cantidad inválida",IF(AND(Q403="NO",MOD(X403,1)&lt;&gt;0),"Cantidad fraccionaria no permitida",""))),IF(AND(R403="SI",OR(NOT(ISNUMBER(S403)),S403&lt;1,MOD(S403,1)&lt;&gt;0)),"Empaque inválido",""),IF(OR(AND(AF403="",AG403="ESCANEADO"),AND(AF403&lt;&gt;"",AG403&lt;&gt;"ESCANEADO")),"Barcode/estado inconsistente",""),IF(AK403&lt;&gt;"",AK403,"")))</f>
        <v/>
      </c>
      <c r="AJ403" s="21" t="n"/>
      <c r="AK403" s="17">
        <f>IF(G403="","",IF(OR(COUNTIFS($G$5:$G$445,G403,$I$5:$I$445,I403,$J$5:$J$445,J403,$P$5:$P$445,P403)&gt;1,AND(AF403&lt;&gt;"",COUNTIF($AF$5:$AF$445,AF403)&gt;1)),"REVISAR_POSIBLE_DUPLICADO",""))</f>
        <v/>
      </c>
    </row>
    <row r="404">
      <c r="A404" s="17" t="inlineStr">
        <is>
          <t>6e341cf0-fd5f-59dd-a588-07c504ad7a53</t>
        </is>
      </c>
      <c r="B404" s="18" t="inlineStr">
        <is>
          <t>NUEVO</t>
        </is>
      </c>
      <c r="C404" s="18" t="inlineStr">
        <is>
          <t>ACTIVO</t>
        </is>
      </c>
      <c r="D404" s="18" t="n"/>
      <c r="E404" s="17" t="n"/>
      <c r="F404" s="17" t="n"/>
      <c r="G404" s="19" t="n"/>
      <c r="H404" s="19" t="n"/>
      <c r="I404" s="20" t="n"/>
      <c r="J404" s="20" t="n"/>
      <c r="K404" s="21" t="n"/>
      <c r="L404" s="18" t="n"/>
      <c r="M404" s="22" t="n"/>
      <c r="N404" s="22" t="n"/>
      <c r="O404" s="23" t="n">
        <v>10</v>
      </c>
      <c r="P404" s="24" t="inlineStr">
        <is>
          <t>UNIDAD</t>
        </is>
      </c>
      <c r="Q404" s="20" t="inlineStr">
        <is>
          <t>NO</t>
        </is>
      </c>
      <c r="R404" s="20" t="inlineStr">
        <is>
          <t>NO</t>
        </is>
      </c>
      <c r="S404" s="25" t="n">
        <v>1</v>
      </c>
      <c r="T404" s="20" t="inlineStr">
        <is>
          <t>NO</t>
        </is>
      </c>
      <c r="U404" s="20" t="n"/>
      <c r="V404" s="21" t="n"/>
      <c r="W404" s="26" t="n"/>
      <c r="X404" s="27" t="n"/>
      <c r="Y404" s="20" t="n"/>
      <c r="Z404" s="20" t="n"/>
      <c r="AA404" s="26">
        <f>IF(X404="","",X404-IF(W404="",0,W404))</f>
        <v/>
      </c>
      <c r="AB404" s="28">
        <f>IF(OR(X404="",M404=""),"",X404*M404)</f>
        <v/>
      </c>
      <c r="AC404" s="28">
        <f>IF(OR(X404="",N404=""),"",X404*N404)</f>
        <v/>
      </c>
      <c r="AD404" s="28">
        <f>IF(OR(M404="",N404=""),"",N404-M404)</f>
        <v/>
      </c>
      <c r="AE404" s="29">
        <f>IFERROR(IF(M404&gt;0,(N404-M404)/M404,""),"")</f>
        <v/>
      </c>
      <c r="AF404" s="30" t="n"/>
      <c r="AG404" s="30" t="inlineStr">
        <is>
          <t>PENDIENTE</t>
        </is>
      </c>
      <c r="AH404" s="18">
        <f>IF(NOT(OR(B404="EXISTENTE",COUNTA(G404,H404,I404,J404,K404,M404,N404,U404,V404,X404,Y404,Z404,AF404,AJ404)&gt;0)),"",IF(AK404&lt;&gt;"","REVISAR",IF(OR(G404="",H404="",M404="",N404="",O404="",P404="",X404=""),"INCOMPLETO",IF(AI404&lt;&gt;"","REVISAR",IF(AND(AF404&lt;&gt;"",AG404="ESCANEADO"),"LISTO_COMPLETO","LISTO_SIN_BARCODE")))))</f>
        <v/>
      </c>
      <c r="AI404" s="17">
        <f>IF(NOT(OR(B404="EXISTENTE",COUNTA(G404,H404,I404,J404,K404,M404,N404,U404,V404,X404,Y404,Z404,AF404,AJ404)&gt;0)),"",TEXTJOIN(" | ",TRUE,IF(A404="","Falta ID staging",""),IF(COUNTIF($A$5:$A$445,A404)&gt;1,"ID staging duplicado",""),IF(G404="","Falta nombre",""),IF(LEN(G404)&gt;150,"Nombre &gt;150 caracteres",""),IF(H404="","Falta categoría",IF(COUNTIF(CategoriasLista,H404)=0,"Categoría inválida","")),IF(M404="","Falta precio compra",IF(OR(NOT(ISNUMBER(M404)),M404&lt;0),"Precio compra inválido","")),IF(N404="","Falta precio venta",IF(OR(NOT(ISNUMBER(N404)),N404&lt;=0,N404&lt;M404),"Precio venta inválido","")),IF(O404="","Falta stock mínimo",IF(OR(NOT(ISNUMBER(O404)),O404&lt;0,MOD(O404,1)&lt;&gt;0),"Stock mínimo inválido","")),IF(P404="","Falta unidad",IF(COUNTIF(UnidadesLista,P404)=0,"Unidad inválida","")),IF(AND(K404&lt;&gt;"",COUNTIF(ProveedoresLista,K404)=0),"Proveedor no catalogado",""),IF(X404="","Falta cantidad contada",IF(OR(NOT(ISNUMBER(X404)),X404&lt;0,ABS(X404*1000-ROUND(X404*1000,0))&gt;0.0000001),"Cantidad inválida",IF(AND(Q404="NO",MOD(X404,1)&lt;&gt;0),"Cantidad fraccionaria no permitida",""))),IF(AND(R404="SI",OR(NOT(ISNUMBER(S404)),S404&lt;1,MOD(S404,1)&lt;&gt;0)),"Empaque inválido",""),IF(OR(AND(AF404="",AG404="ESCANEADO"),AND(AF404&lt;&gt;"",AG404&lt;&gt;"ESCANEADO")),"Barcode/estado inconsistente",""),IF(AK404&lt;&gt;"",AK404,"")))</f>
        <v/>
      </c>
      <c r="AJ404" s="21" t="n"/>
      <c r="AK404" s="17">
        <f>IF(G404="","",IF(OR(COUNTIFS($G$5:$G$445,G404,$I$5:$I$445,I404,$J$5:$J$445,J404,$P$5:$P$445,P404)&gt;1,AND(AF404&lt;&gt;"",COUNTIF($AF$5:$AF$445,AF404)&gt;1)),"REVISAR_POSIBLE_DUPLICADO",""))</f>
        <v/>
      </c>
    </row>
    <row r="405">
      <c r="A405" s="17" t="inlineStr">
        <is>
          <t>d9fed998-19ab-52b9-955e-0928c77bab9f</t>
        </is>
      </c>
      <c r="B405" s="18" t="inlineStr">
        <is>
          <t>NUEVO</t>
        </is>
      </c>
      <c r="C405" s="18" t="inlineStr">
        <is>
          <t>ACTIVO</t>
        </is>
      </c>
      <c r="D405" s="18" t="n"/>
      <c r="E405" s="17" t="n"/>
      <c r="F405" s="17" t="n"/>
      <c r="G405" s="19" t="n"/>
      <c r="H405" s="19" t="n"/>
      <c r="I405" s="20" t="n"/>
      <c r="J405" s="20" t="n"/>
      <c r="K405" s="21" t="n"/>
      <c r="L405" s="18" t="n"/>
      <c r="M405" s="22" t="n"/>
      <c r="N405" s="22" t="n"/>
      <c r="O405" s="23" t="n">
        <v>10</v>
      </c>
      <c r="P405" s="24" t="inlineStr">
        <is>
          <t>UNIDAD</t>
        </is>
      </c>
      <c r="Q405" s="20" t="inlineStr">
        <is>
          <t>NO</t>
        </is>
      </c>
      <c r="R405" s="20" t="inlineStr">
        <is>
          <t>NO</t>
        </is>
      </c>
      <c r="S405" s="25" t="n">
        <v>1</v>
      </c>
      <c r="T405" s="20" t="inlineStr">
        <is>
          <t>NO</t>
        </is>
      </c>
      <c r="U405" s="20" t="n"/>
      <c r="V405" s="21" t="n"/>
      <c r="W405" s="26" t="n"/>
      <c r="X405" s="27" t="n"/>
      <c r="Y405" s="20" t="n"/>
      <c r="Z405" s="20" t="n"/>
      <c r="AA405" s="26">
        <f>IF(X405="","",X405-IF(W405="",0,W405))</f>
        <v/>
      </c>
      <c r="AB405" s="28">
        <f>IF(OR(X405="",M405=""),"",X405*M405)</f>
        <v/>
      </c>
      <c r="AC405" s="28">
        <f>IF(OR(X405="",N405=""),"",X405*N405)</f>
        <v/>
      </c>
      <c r="AD405" s="28">
        <f>IF(OR(M405="",N405=""),"",N405-M405)</f>
        <v/>
      </c>
      <c r="AE405" s="29">
        <f>IFERROR(IF(M405&gt;0,(N405-M405)/M405,""),"")</f>
        <v/>
      </c>
      <c r="AF405" s="30" t="n"/>
      <c r="AG405" s="30" t="inlineStr">
        <is>
          <t>PENDIENTE</t>
        </is>
      </c>
      <c r="AH405" s="18">
        <f>IF(NOT(OR(B405="EXISTENTE",COUNTA(G405,H405,I405,J405,K405,M405,N405,U405,V405,X405,Y405,Z405,AF405,AJ405)&gt;0)),"",IF(AK405&lt;&gt;"","REVISAR",IF(OR(G405="",H405="",M405="",N405="",O405="",P405="",X405=""),"INCOMPLETO",IF(AI405&lt;&gt;"","REVISAR",IF(AND(AF405&lt;&gt;"",AG405="ESCANEADO"),"LISTO_COMPLETO","LISTO_SIN_BARCODE")))))</f>
        <v/>
      </c>
      <c r="AI405" s="17">
        <f>IF(NOT(OR(B405="EXISTENTE",COUNTA(G405,H405,I405,J405,K405,M405,N405,U405,V405,X405,Y405,Z405,AF405,AJ405)&gt;0)),"",TEXTJOIN(" | ",TRUE,IF(A405="","Falta ID staging",""),IF(COUNTIF($A$5:$A$445,A405)&gt;1,"ID staging duplicado",""),IF(G405="","Falta nombre",""),IF(LEN(G405)&gt;150,"Nombre &gt;150 caracteres",""),IF(H405="","Falta categoría",IF(COUNTIF(CategoriasLista,H405)=0,"Categoría inválida","")),IF(M405="","Falta precio compra",IF(OR(NOT(ISNUMBER(M405)),M405&lt;0),"Precio compra inválido","")),IF(N405="","Falta precio venta",IF(OR(NOT(ISNUMBER(N405)),N405&lt;=0,N405&lt;M405),"Precio venta inválido","")),IF(O405="","Falta stock mínimo",IF(OR(NOT(ISNUMBER(O405)),O405&lt;0,MOD(O405,1)&lt;&gt;0),"Stock mínimo inválido","")),IF(P405="","Falta unidad",IF(COUNTIF(UnidadesLista,P405)=0,"Unidad inválida","")),IF(AND(K405&lt;&gt;"",COUNTIF(ProveedoresLista,K405)=0),"Proveedor no catalogado",""),IF(X405="","Falta cantidad contada",IF(OR(NOT(ISNUMBER(X405)),X405&lt;0,ABS(X405*1000-ROUND(X405*1000,0))&gt;0.0000001),"Cantidad inválida",IF(AND(Q405="NO",MOD(X405,1)&lt;&gt;0),"Cantidad fraccionaria no permitida",""))),IF(AND(R405="SI",OR(NOT(ISNUMBER(S405)),S405&lt;1,MOD(S405,1)&lt;&gt;0)),"Empaque inválido",""),IF(OR(AND(AF405="",AG405="ESCANEADO"),AND(AF405&lt;&gt;"",AG405&lt;&gt;"ESCANEADO")),"Barcode/estado inconsistente",""),IF(AK405&lt;&gt;"",AK405,"")))</f>
        <v/>
      </c>
      <c r="AJ405" s="21" t="n"/>
      <c r="AK405" s="17">
        <f>IF(G405="","",IF(OR(COUNTIFS($G$5:$G$445,G405,$I$5:$I$445,I405,$J$5:$J$445,J405,$P$5:$P$445,P405)&gt;1,AND(AF405&lt;&gt;"",COUNTIF($AF$5:$AF$445,AF405)&gt;1)),"REVISAR_POSIBLE_DUPLICADO",""))</f>
        <v/>
      </c>
    </row>
    <row r="406">
      <c r="A406" s="17" t="inlineStr">
        <is>
          <t>99be0678-4b85-5e31-a44d-0173195f4fc5</t>
        </is>
      </c>
      <c r="B406" s="18" t="inlineStr">
        <is>
          <t>NUEVO</t>
        </is>
      </c>
      <c r="C406" s="18" t="inlineStr">
        <is>
          <t>ACTIVO</t>
        </is>
      </c>
      <c r="D406" s="18" t="n"/>
      <c r="E406" s="17" t="n"/>
      <c r="F406" s="17" t="n"/>
      <c r="G406" s="19" t="n"/>
      <c r="H406" s="19" t="n"/>
      <c r="I406" s="20" t="n"/>
      <c r="J406" s="20" t="n"/>
      <c r="K406" s="21" t="n"/>
      <c r="L406" s="18" t="n"/>
      <c r="M406" s="22" t="n"/>
      <c r="N406" s="22" t="n"/>
      <c r="O406" s="23" t="n">
        <v>10</v>
      </c>
      <c r="P406" s="24" t="inlineStr">
        <is>
          <t>UNIDAD</t>
        </is>
      </c>
      <c r="Q406" s="20" t="inlineStr">
        <is>
          <t>NO</t>
        </is>
      </c>
      <c r="R406" s="20" t="inlineStr">
        <is>
          <t>NO</t>
        </is>
      </c>
      <c r="S406" s="25" t="n">
        <v>1</v>
      </c>
      <c r="T406" s="20" t="inlineStr">
        <is>
          <t>NO</t>
        </is>
      </c>
      <c r="U406" s="20" t="n"/>
      <c r="V406" s="21" t="n"/>
      <c r="W406" s="26" t="n"/>
      <c r="X406" s="27" t="n"/>
      <c r="Y406" s="20" t="n"/>
      <c r="Z406" s="20" t="n"/>
      <c r="AA406" s="26">
        <f>IF(X406="","",X406-IF(W406="",0,W406))</f>
        <v/>
      </c>
      <c r="AB406" s="28">
        <f>IF(OR(X406="",M406=""),"",X406*M406)</f>
        <v/>
      </c>
      <c r="AC406" s="28">
        <f>IF(OR(X406="",N406=""),"",X406*N406)</f>
        <v/>
      </c>
      <c r="AD406" s="28">
        <f>IF(OR(M406="",N406=""),"",N406-M406)</f>
        <v/>
      </c>
      <c r="AE406" s="29">
        <f>IFERROR(IF(M406&gt;0,(N406-M406)/M406,""),"")</f>
        <v/>
      </c>
      <c r="AF406" s="30" t="n"/>
      <c r="AG406" s="30" t="inlineStr">
        <is>
          <t>PENDIENTE</t>
        </is>
      </c>
      <c r="AH406" s="18">
        <f>IF(NOT(OR(B406="EXISTENTE",COUNTA(G406,H406,I406,J406,K406,M406,N406,U406,V406,X406,Y406,Z406,AF406,AJ406)&gt;0)),"",IF(AK406&lt;&gt;"","REVISAR",IF(OR(G406="",H406="",M406="",N406="",O406="",P406="",X406=""),"INCOMPLETO",IF(AI406&lt;&gt;"","REVISAR",IF(AND(AF406&lt;&gt;"",AG406="ESCANEADO"),"LISTO_COMPLETO","LISTO_SIN_BARCODE")))))</f>
        <v/>
      </c>
      <c r="AI406" s="17">
        <f>IF(NOT(OR(B406="EXISTENTE",COUNTA(G406,H406,I406,J406,K406,M406,N406,U406,V406,X406,Y406,Z406,AF406,AJ406)&gt;0)),"",TEXTJOIN(" | ",TRUE,IF(A406="","Falta ID staging",""),IF(COUNTIF($A$5:$A$445,A406)&gt;1,"ID staging duplicado",""),IF(G406="","Falta nombre",""),IF(LEN(G406)&gt;150,"Nombre &gt;150 caracteres",""),IF(H406="","Falta categoría",IF(COUNTIF(CategoriasLista,H406)=0,"Categoría inválida","")),IF(M406="","Falta precio compra",IF(OR(NOT(ISNUMBER(M406)),M406&lt;0),"Precio compra inválido","")),IF(N406="","Falta precio venta",IF(OR(NOT(ISNUMBER(N406)),N406&lt;=0,N406&lt;M406),"Precio venta inválido","")),IF(O406="","Falta stock mínimo",IF(OR(NOT(ISNUMBER(O406)),O406&lt;0,MOD(O406,1)&lt;&gt;0),"Stock mínimo inválido","")),IF(P406="","Falta unidad",IF(COUNTIF(UnidadesLista,P406)=0,"Unidad inválida","")),IF(AND(K406&lt;&gt;"",COUNTIF(ProveedoresLista,K406)=0),"Proveedor no catalogado",""),IF(X406="","Falta cantidad contada",IF(OR(NOT(ISNUMBER(X406)),X406&lt;0,ABS(X406*1000-ROUND(X406*1000,0))&gt;0.0000001),"Cantidad inválida",IF(AND(Q406="NO",MOD(X406,1)&lt;&gt;0),"Cantidad fraccionaria no permitida",""))),IF(AND(R406="SI",OR(NOT(ISNUMBER(S406)),S406&lt;1,MOD(S406,1)&lt;&gt;0)),"Empaque inválido",""),IF(OR(AND(AF406="",AG406="ESCANEADO"),AND(AF406&lt;&gt;"",AG406&lt;&gt;"ESCANEADO")),"Barcode/estado inconsistente",""),IF(AK406&lt;&gt;"",AK406,"")))</f>
        <v/>
      </c>
      <c r="AJ406" s="21" t="n"/>
      <c r="AK406" s="17">
        <f>IF(G406="","",IF(OR(COUNTIFS($G$5:$G$445,G406,$I$5:$I$445,I406,$J$5:$J$445,J406,$P$5:$P$445,P406)&gt;1,AND(AF406&lt;&gt;"",COUNTIF($AF$5:$AF$445,AF406)&gt;1)),"REVISAR_POSIBLE_DUPLICADO",""))</f>
        <v/>
      </c>
    </row>
    <row r="407">
      <c r="A407" s="17" t="inlineStr">
        <is>
          <t>45d3650a-7fe3-56a2-bf3e-1f476babb7e8</t>
        </is>
      </c>
      <c r="B407" s="18" t="inlineStr">
        <is>
          <t>NUEVO</t>
        </is>
      </c>
      <c r="C407" s="18" t="inlineStr">
        <is>
          <t>ACTIVO</t>
        </is>
      </c>
      <c r="D407" s="18" t="n"/>
      <c r="E407" s="17" t="n"/>
      <c r="F407" s="17" t="n"/>
      <c r="G407" s="19" t="n"/>
      <c r="H407" s="19" t="n"/>
      <c r="I407" s="20" t="n"/>
      <c r="J407" s="20" t="n"/>
      <c r="K407" s="21" t="n"/>
      <c r="L407" s="18" t="n"/>
      <c r="M407" s="22" t="n"/>
      <c r="N407" s="22" t="n"/>
      <c r="O407" s="23" t="n">
        <v>10</v>
      </c>
      <c r="P407" s="24" t="inlineStr">
        <is>
          <t>UNIDAD</t>
        </is>
      </c>
      <c r="Q407" s="20" t="inlineStr">
        <is>
          <t>NO</t>
        </is>
      </c>
      <c r="R407" s="20" t="inlineStr">
        <is>
          <t>NO</t>
        </is>
      </c>
      <c r="S407" s="25" t="n">
        <v>1</v>
      </c>
      <c r="T407" s="20" t="inlineStr">
        <is>
          <t>NO</t>
        </is>
      </c>
      <c r="U407" s="20" t="n"/>
      <c r="V407" s="21" t="n"/>
      <c r="W407" s="26" t="n"/>
      <c r="X407" s="27" t="n"/>
      <c r="Y407" s="20" t="n"/>
      <c r="Z407" s="20" t="n"/>
      <c r="AA407" s="26">
        <f>IF(X407="","",X407-IF(W407="",0,W407))</f>
        <v/>
      </c>
      <c r="AB407" s="28">
        <f>IF(OR(X407="",M407=""),"",X407*M407)</f>
        <v/>
      </c>
      <c r="AC407" s="28">
        <f>IF(OR(X407="",N407=""),"",X407*N407)</f>
        <v/>
      </c>
      <c r="AD407" s="28">
        <f>IF(OR(M407="",N407=""),"",N407-M407)</f>
        <v/>
      </c>
      <c r="AE407" s="29">
        <f>IFERROR(IF(M407&gt;0,(N407-M407)/M407,""),"")</f>
        <v/>
      </c>
      <c r="AF407" s="30" t="n"/>
      <c r="AG407" s="30" t="inlineStr">
        <is>
          <t>PENDIENTE</t>
        </is>
      </c>
      <c r="AH407" s="18">
        <f>IF(NOT(OR(B407="EXISTENTE",COUNTA(G407,H407,I407,J407,K407,M407,N407,U407,V407,X407,Y407,Z407,AF407,AJ407)&gt;0)),"",IF(AK407&lt;&gt;"","REVISAR",IF(OR(G407="",H407="",M407="",N407="",O407="",P407="",X407=""),"INCOMPLETO",IF(AI407&lt;&gt;"","REVISAR",IF(AND(AF407&lt;&gt;"",AG407="ESCANEADO"),"LISTO_COMPLETO","LISTO_SIN_BARCODE")))))</f>
        <v/>
      </c>
      <c r="AI407" s="17">
        <f>IF(NOT(OR(B407="EXISTENTE",COUNTA(G407,H407,I407,J407,K407,M407,N407,U407,V407,X407,Y407,Z407,AF407,AJ407)&gt;0)),"",TEXTJOIN(" | ",TRUE,IF(A407="","Falta ID staging",""),IF(COUNTIF($A$5:$A$445,A407)&gt;1,"ID staging duplicado",""),IF(G407="","Falta nombre",""),IF(LEN(G407)&gt;150,"Nombre &gt;150 caracteres",""),IF(H407="","Falta categoría",IF(COUNTIF(CategoriasLista,H407)=0,"Categoría inválida","")),IF(M407="","Falta precio compra",IF(OR(NOT(ISNUMBER(M407)),M407&lt;0),"Precio compra inválido","")),IF(N407="","Falta precio venta",IF(OR(NOT(ISNUMBER(N407)),N407&lt;=0,N407&lt;M407),"Precio venta inválido","")),IF(O407="","Falta stock mínimo",IF(OR(NOT(ISNUMBER(O407)),O407&lt;0,MOD(O407,1)&lt;&gt;0),"Stock mínimo inválido","")),IF(P407="","Falta unidad",IF(COUNTIF(UnidadesLista,P407)=0,"Unidad inválida","")),IF(AND(K407&lt;&gt;"",COUNTIF(ProveedoresLista,K407)=0),"Proveedor no catalogado",""),IF(X407="","Falta cantidad contada",IF(OR(NOT(ISNUMBER(X407)),X407&lt;0,ABS(X407*1000-ROUND(X407*1000,0))&gt;0.0000001),"Cantidad inválida",IF(AND(Q407="NO",MOD(X407,1)&lt;&gt;0),"Cantidad fraccionaria no permitida",""))),IF(AND(R407="SI",OR(NOT(ISNUMBER(S407)),S407&lt;1,MOD(S407,1)&lt;&gt;0)),"Empaque inválido",""),IF(OR(AND(AF407="",AG407="ESCANEADO"),AND(AF407&lt;&gt;"",AG407&lt;&gt;"ESCANEADO")),"Barcode/estado inconsistente",""),IF(AK407&lt;&gt;"",AK407,"")))</f>
        <v/>
      </c>
      <c r="AJ407" s="21" t="n"/>
      <c r="AK407" s="17">
        <f>IF(G407="","",IF(OR(COUNTIFS($G$5:$G$445,G407,$I$5:$I$445,I407,$J$5:$J$445,J407,$P$5:$P$445,P407)&gt;1,AND(AF407&lt;&gt;"",COUNTIF($AF$5:$AF$445,AF407)&gt;1)),"REVISAR_POSIBLE_DUPLICADO",""))</f>
        <v/>
      </c>
    </row>
    <row r="408">
      <c r="A408" s="17" t="inlineStr">
        <is>
          <t>5fbae27d-029b-5650-970f-f4be34ca18ad</t>
        </is>
      </c>
      <c r="B408" s="18" t="inlineStr">
        <is>
          <t>NUEVO</t>
        </is>
      </c>
      <c r="C408" s="18" t="inlineStr">
        <is>
          <t>ACTIVO</t>
        </is>
      </c>
      <c r="D408" s="18" t="n"/>
      <c r="E408" s="17" t="n"/>
      <c r="F408" s="17" t="n"/>
      <c r="G408" s="19" t="n"/>
      <c r="H408" s="19" t="n"/>
      <c r="I408" s="20" t="n"/>
      <c r="J408" s="20" t="n"/>
      <c r="K408" s="21" t="n"/>
      <c r="L408" s="18" t="n"/>
      <c r="M408" s="22" t="n"/>
      <c r="N408" s="22" t="n"/>
      <c r="O408" s="23" t="n">
        <v>10</v>
      </c>
      <c r="P408" s="24" t="inlineStr">
        <is>
          <t>UNIDAD</t>
        </is>
      </c>
      <c r="Q408" s="20" t="inlineStr">
        <is>
          <t>NO</t>
        </is>
      </c>
      <c r="R408" s="20" t="inlineStr">
        <is>
          <t>NO</t>
        </is>
      </c>
      <c r="S408" s="25" t="n">
        <v>1</v>
      </c>
      <c r="T408" s="20" t="inlineStr">
        <is>
          <t>NO</t>
        </is>
      </c>
      <c r="U408" s="20" t="n"/>
      <c r="V408" s="21" t="n"/>
      <c r="W408" s="26" t="n"/>
      <c r="X408" s="27" t="n"/>
      <c r="Y408" s="20" t="n"/>
      <c r="Z408" s="20" t="n"/>
      <c r="AA408" s="26">
        <f>IF(X408="","",X408-IF(W408="",0,W408))</f>
        <v/>
      </c>
      <c r="AB408" s="28">
        <f>IF(OR(X408="",M408=""),"",X408*M408)</f>
        <v/>
      </c>
      <c r="AC408" s="28">
        <f>IF(OR(X408="",N408=""),"",X408*N408)</f>
        <v/>
      </c>
      <c r="AD408" s="28">
        <f>IF(OR(M408="",N408=""),"",N408-M408)</f>
        <v/>
      </c>
      <c r="AE408" s="29">
        <f>IFERROR(IF(M408&gt;0,(N408-M408)/M408,""),"")</f>
        <v/>
      </c>
      <c r="AF408" s="30" t="n"/>
      <c r="AG408" s="30" t="inlineStr">
        <is>
          <t>PENDIENTE</t>
        </is>
      </c>
      <c r="AH408" s="18">
        <f>IF(NOT(OR(B408="EXISTENTE",COUNTA(G408,H408,I408,J408,K408,M408,N408,U408,V408,X408,Y408,Z408,AF408,AJ408)&gt;0)),"",IF(AK408&lt;&gt;"","REVISAR",IF(OR(G408="",H408="",M408="",N408="",O408="",P408="",X408=""),"INCOMPLETO",IF(AI408&lt;&gt;"","REVISAR",IF(AND(AF408&lt;&gt;"",AG408="ESCANEADO"),"LISTO_COMPLETO","LISTO_SIN_BARCODE")))))</f>
        <v/>
      </c>
      <c r="AI408" s="17">
        <f>IF(NOT(OR(B408="EXISTENTE",COUNTA(G408,H408,I408,J408,K408,M408,N408,U408,V408,X408,Y408,Z408,AF408,AJ408)&gt;0)),"",TEXTJOIN(" | ",TRUE,IF(A408="","Falta ID staging",""),IF(COUNTIF($A$5:$A$445,A408)&gt;1,"ID staging duplicado",""),IF(G408="","Falta nombre",""),IF(LEN(G408)&gt;150,"Nombre &gt;150 caracteres",""),IF(H408="","Falta categoría",IF(COUNTIF(CategoriasLista,H408)=0,"Categoría inválida","")),IF(M408="","Falta precio compra",IF(OR(NOT(ISNUMBER(M408)),M408&lt;0),"Precio compra inválido","")),IF(N408="","Falta precio venta",IF(OR(NOT(ISNUMBER(N408)),N408&lt;=0,N408&lt;M408),"Precio venta inválido","")),IF(O408="","Falta stock mínimo",IF(OR(NOT(ISNUMBER(O408)),O408&lt;0,MOD(O408,1)&lt;&gt;0),"Stock mínimo inválido","")),IF(P408="","Falta unidad",IF(COUNTIF(UnidadesLista,P408)=0,"Unidad inválida","")),IF(AND(K408&lt;&gt;"",COUNTIF(ProveedoresLista,K408)=0),"Proveedor no catalogado",""),IF(X408="","Falta cantidad contada",IF(OR(NOT(ISNUMBER(X408)),X408&lt;0,ABS(X408*1000-ROUND(X408*1000,0))&gt;0.0000001),"Cantidad inválida",IF(AND(Q408="NO",MOD(X408,1)&lt;&gt;0),"Cantidad fraccionaria no permitida",""))),IF(AND(R408="SI",OR(NOT(ISNUMBER(S408)),S408&lt;1,MOD(S408,1)&lt;&gt;0)),"Empaque inválido",""),IF(OR(AND(AF408="",AG408="ESCANEADO"),AND(AF408&lt;&gt;"",AG408&lt;&gt;"ESCANEADO")),"Barcode/estado inconsistente",""),IF(AK408&lt;&gt;"",AK408,"")))</f>
        <v/>
      </c>
      <c r="AJ408" s="21" t="n"/>
      <c r="AK408" s="17">
        <f>IF(G408="","",IF(OR(COUNTIFS($G$5:$G$445,G408,$I$5:$I$445,I408,$J$5:$J$445,J408,$P$5:$P$445,P408)&gt;1,AND(AF408&lt;&gt;"",COUNTIF($AF$5:$AF$445,AF408)&gt;1)),"REVISAR_POSIBLE_DUPLICADO",""))</f>
        <v/>
      </c>
    </row>
    <row r="409">
      <c r="A409" s="17" t="inlineStr">
        <is>
          <t>a14b59ab-a5f1-5219-b720-ff906f58e43e</t>
        </is>
      </c>
      <c r="B409" s="18" t="inlineStr">
        <is>
          <t>NUEVO</t>
        </is>
      </c>
      <c r="C409" s="18" t="inlineStr">
        <is>
          <t>ACTIVO</t>
        </is>
      </c>
      <c r="D409" s="18" t="n"/>
      <c r="E409" s="17" t="n"/>
      <c r="F409" s="17" t="n"/>
      <c r="G409" s="19" t="n"/>
      <c r="H409" s="19" t="n"/>
      <c r="I409" s="20" t="n"/>
      <c r="J409" s="20" t="n"/>
      <c r="K409" s="21" t="n"/>
      <c r="L409" s="18" t="n"/>
      <c r="M409" s="22" t="n"/>
      <c r="N409" s="22" t="n"/>
      <c r="O409" s="23" t="n">
        <v>10</v>
      </c>
      <c r="P409" s="24" t="inlineStr">
        <is>
          <t>UNIDAD</t>
        </is>
      </c>
      <c r="Q409" s="20" t="inlineStr">
        <is>
          <t>NO</t>
        </is>
      </c>
      <c r="R409" s="20" t="inlineStr">
        <is>
          <t>NO</t>
        </is>
      </c>
      <c r="S409" s="25" t="n">
        <v>1</v>
      </c>
      <c r="T409" s="20" t="inlineStr">
        <is>
          <t>NO</t>
        </is>
      </c>
      <c r="U409" s="20" t="n"/>
      <c r="V409" s="21" t="n"/>
      <c r="W409" s="26" t="n"/>
      <c r="X409" s="27" t="n"/>
      <c r="Y409" s="20" t="n"/>
      <c r="Z409" s="20" t="n"/>
      <c r="AA409" s="26">
        <f>IF(X409="","",X409-IF(W409="",0,W409))</f>
        <v/>
      </c>
      <c r="AB409" s="28">
        <f>IF(OR(X409="",M409=""),"",X409*M409)</f>
        <v/>
      </c>
      <c r="AC409" s="28">
        <f>IF(OR(X409="",N409=""),"",X409*N409)</f>
        <v/>
      </c>
      <c r="AD409" s="28">
        <f>IF(OR(M409="",N409=""),"",N409-M409)</f>
        <v/>
      </c>
      <c r="AE409" s="29">
        <f>IFERROR(IF(M409&gt;0,(N409-M409)/M409,""),"")</f>
        <v/>
      </c>
      <c r="AF409" s="30" t="n"/>
      <c r="AG409" s="30" t="inlineStr">
        <is>
          <t>PENDIENTE</t>
        </is>
      </c>
      <c r="AH409" s="18">
        <f>IF(NOT(OR(B409="EXISTENTE",COUNTA(G409,H409,I409,J409,K409,M409,N409,U409,V409,X409,Y409,Z409,AF409,AJ409)&gt;0)),"",IF(AK409&lt;&gt;"","REVISAR",IF(OR(G409="",H409="",M409="",N409="",O409="",P409="",X409=""),"INCOMPLETO",IF(AI409&lt;&gt;"","REVISAR",IF(AND(AF409&lt;&gt;"",AG409="ESCANEADO"),"LISTO_COMPLETO","LISTO_SIN_BARCODE")))))</f>
        <v/>
      </c>
      <c r="AI409" s="17">
        <f>IF(NOT(OR(B409="EXISTENTE",COUNTA(G409,H409,I409,J409,K409,M409,N409,U409,V409,X409,Y409,Z409,AF409,AJ409)&gt;0)),"",TEXTJOIN(" | ",TRUE,IF(A409="","Falta ID staging",""),IF(COUNTIF($A$5:$A$445,A409)&gt;1,"ID staging duplicado",""),IF(G409="","Falta nombre",""),IF(LEN(G409)&gt;150,"Nombre &gt;150 caracteres",""),IF(H409="","Falta categoría",IF(COUNTIF(CategoriasLista,H409)=0,"Categoría inválida","")),IF(M409="","Falta precio compra",IF(OR(NOT(ISNUMBER(M409)),M409&lt;0),"Precio compra inválido","")),IF(N409="","Falta precio venta",IF(OR(NOT(ISNUMBER(N409)),N409&lt;=0,N409&lt;M409),"Precio venta inválido","")),IF(O409="","Falta stock mínimo",IF(OR(NOT(ISNUMBER(O409)),O409&lt;0,MOD(O409,1)&lt;&gt;0),"Stock mínimo inválido","")),IF(P409="","Falta unidad",IF(COUNTIF(UnidadesLista,P409)=0,"Unidad inválida","")),IF(AND(K409&lt;&gt;"",COUNTIF(ProveedoresLista,K409)=0),"Proveedor no catalogado",""),IF(X409="","Falta cantidad contada",IF(OR(NOT(ISNUMBER(X409)),X409&lt;0,ABS(X409*1000-ROUND(X409*1000,0))&gt;0.0000001),"Cantidad inválida",IF(AND(Q409="NO",MOD(X409,1)&lt;&gt;0),"Cantidad fraccionaria no permitida",""))),IF(AND(R409="SI",OR(NOT(ISNUMBER(S409)),S409&lt;1,MOD(S409,1)&lt;&gt;0)),"Empaque inválido",""),IF(OR(AND(AF409="",AG409="ESCANEADO"),AND(AF409&lt;&gt;"",AG409&lt;&gt;"ESCANEADO")),"Barcode/estado inconsistente",""),IF(AK409&lt;&gt;"",AK409,"")))</f>
        <v/>
      </c>
      <c r="AJ409" s="21" t="n"/>
      <c r="AK409" s="17">
        <f>IF(G409="","",IF(OR(COUNTIFS($G$5:$G$445,G409,$I$5:$I$445,I409,$J$5:$J$445,J409,$P$5:$P$445,P409)&gt;1,AND(AF409&lt;&gt;"",COUNTIF($AF$5:$AF$445,AF409)&gt;1)),"REVISAR_POSIBLE_DUPLICADO",""))</f>
        <v/>
      </c>
    </row>
    <row r="410">
      <c r="A410" s="17" t="inlineStr">
        <is>
          <t>5d506b0b-3ce4-5820-861c-02c525811311</t>
        </is>
      </c>
      <c r="B410" s="18" t="inlineStr">
        <is>
          <t>NUEVO</t>
        </is>
      </c>
      <c r="C410" s="18" t="inlineStr">
        <is>
          <t>ACTIVO</t>
        </is>
      </c>
      <c r="D410" s="18" t="n"/>
      <c r="E410" s="17" t="n"/>
      <c r="F410" s="17" t="n"/>
      <c r="G410" s="19" t="n"/>
      <c r="H410" s="19" t="n"/>
      <c r="I410" s="20" t="n"/>
      <c r="J410" s="20" t="n"/>
      <c r="K410" s="21" t="n"/>
      <c r="L410" s="18" t="n"/>
      <c r="M410" s="22" t="n"/>
      <c r="N410" s="22" t="n"/>
      <c r="O410" s="23" t="n">
        <v>10</v>
      </c>
      <c r="P410" s="24" t="inlineStr">
        <is>
          <t>UNIDAD</t>
        </is>
      </c>
      <c r="Q410" s="20" t="inlineStr">
        <is>
          <t>NO</t>
        </is>
      </c>
      <c r="R410" s="20" t="inlineStr">
        <is>
          <t>NO</t>
        </is>
      </c>
      <c r="S410" s="25" t="n">
        <v>1</v>
      </c>
      <c r="T410" s="20" t="inlineStr">
        <is>
          <t>NO</t>
        </is>
      </c>
      <c r="U410" s="20" t="n"/>
      <c r="V410" s="21" t="n"/>
      <c r="W410" s="26" t="n"/>
      <c r="X410" s="27" t="n"/>
      <c r="Y410" s="20" t="n"/>
      <c r="Z410" s="20" t="n"/>
      <c r="AA410" s="26">
        <f>IF(X410="","",X410-IF(W410="",0,W410))</f>
        <v/>
      </c>
      <c r="AB410" s="28">
        <f>IF(OR(X410="",M410=""),"",X410*M410)</f>
        <v/>
      </c>
      <c r="AC410" s="28">
        <f>IF(OR(X410="",N410=""),"",X410*N410)</f>
        <v/>
      </c>
      <c r="AD410" s="28">
        <f>IF(OR(M410="",N410=""),"",N410-M410)</f>
        <v/>
      </c>
      <c r="AE410" s="29">
        <f>IFERROR(IF(M410&gt;0,(N410-M410)/M410,""),"")</f>
        <v/>
      </c>
      <c r="AF410" s="30" t="n"/>
      <c r="AG410" s="30" t="inlineStr">
        <is>
          <t>PENDIENTE</t>
        </is>
      </c>
      <c r="AH410" s="18">
        <f>IF(NOT(OR(B410="EXISTENTE",COUNTA(G410,H410,I410,J410,K410,M410,N410,U410,V410,X410,Y410,Z410,AF410,AJ410)&gt;0)),"",IF(AK410&lt;&gt;"","REVISAR",IF(OR(G410="",H410="",M410="",N410="",O410="",P410="",X410=""),"INCOMPLETO",IF(AI410&lt;&gt;"","REVISAR",IF(AND(AF410&lt;&gt;"",AG410="ESCANEADO"),"LISTO_COMPLETO","LISTO_SIN_BARCODE")))))</f>
        <v/>
      </c>
      <c r="AI410" s="17">
        <f>IF(NOT(OR(B410="EXISTENTE",COUNTA(G410,H410,I410,J410,K410,M410,N410,U410,V410,X410,Y410,Z410,AF410,AJ410)&gt;0)),"",TEXTJOIN(" | ",TRUE,IF(A410="","Falta ID staging",""),IF(COUNTIF($A$5:$A$445,A410)&gt;1,"ID staging duplicado",""),IF(G410="","Falta nombre",""),IF(LEN(G410)&gt;150,"Nombre &gt;150 caracteres",""),IF(H410="","Falta categoría",IF(COUNTIF(CategoriasLista,H410)=0,"Categoría inválida","")),IF(M410="","Falta precio compra",IF(OR(NOT(ISNUMBER(M410)),M410&lt;0),"Precio compra inválido","")),IF(N410="","Falta precio venta",IF(OR(NOT(ISNUMBER(N410)),N410&lt;=0,N410&lt;M410),"Precio venta inválido","")),IF(O410="","Falta stock mínimo",IF(OR(NOT(ISNUMBER(O410)),O410&lt;0,MOD(O410,1)&lt;&gt;0),"Stock mínimo inválido","")),IF(P410="","Falta unidad",IF(COUNTIF(UnidadesLista,P410)=0,"Unidad inválida","")),IF(AND(K410&lt;&gt;"",COUNTIF(ProveedoresLista,K410)=0),"Proveedor no catalogado",""),IF(X410="","Falta cantidad contada",IF(OR(NOT(ISNUMBER(X410)),X410&lt;0,ABS(X410*1000-ROUND(X410*1000,0))&gt;0.0000001),"Cantidad inválida",IF(AND(Q410="NO",MOD(X410,1)&lt;&gt;0),"Cantidad fraccionaria no permitida",""))),IF(AND(R410="SI",OR(NOT(ISNUMBER(S410)),S410&lt;1,MOD(S410,1)&lt;&gt;0)),"Empaque inválido",""),IF(OR(AND(AF410="",AG410="ESCANEADO"),AND(AF410&lt;&gt;"",AG410&lt;&gt;"ESCANEADO")),"Barcode/estado inconsistente",""),IF(AK410&lt;&gt;"",AK410,"")))</f>
        <v/>
      </c>
      <c r="AJ410" s="21" t="n"/>
      <c r="AK410" s="17">
        <f>IF(G410="","",IF(OR(COUNTIFS($G$5:$G$445,G410,$I$5:$I$445,I410,$J$5:$J$445,J410,$P$5:$P$445,P410)&gt;1,AND(AF410&lt;&gt;"",COUNTIF($AF$5:$AF$445,AF410)&gt;1)),"REVISAR_POSIBLE_DUPLICADO",""))</f>
        <v/>
      </c>
    </row>
    <row r="411">
      <c r="A411" s="17" t="inlineStr">
        <is>
          <t>6987391b-965d-504f-a2ca-a9dbc7f7d826</t>
        </is>
      </c>
      <c r="B411" s="18" t="inlineStr">
        <is>
          <t>NUEVO</t>
        </is>
      </c>
      <c r="C411" s="18" t="inlineStr">
        <is>
          <t>ACTIVO</t>
        </is>
      </c>
      <c r="D411" s="18" t="n"/>
      <c r="E411" s="17" t="n"/>
      <c r="F411" s="17" t="n"/>
      <c r="G411" s="19" t="n"/>
      <c r="H411" s="19" t="n"/>
      <c r="I411" s="20" t="n"/>
      <c r="J411" s="20" t="n"/>
      <c r="K411" s="21" t="n"/>
      <c r="L411" s="18" t="n"/>
      <c r="M411" s="22" t="n"/>
      <c r="N411" s="22" t="n"/>
      <c r="O411" s="23" t="n">
        <v>10</v>
      </c>
      <c r="P411" s="24" t="inlineStr">
        <is>
          <t>UNIDAD</t>
        </is>
      </c>
      <c r="Q411" s="20" t="inlineStr">
        <is>
          <t>NO</t>
        </is>
      </c>
      <c r="R411" s="20" t="inlineStr">
        <is>
          <t>NO</t>
        </is>
      </c>
      <c r="S411" s="25" t="n">
        <v>1</v>
      </c>
      <c r="T411" s="20" t="inlineStr">
        <is>
          <t>NO</t>
        </is>
      </c>
      <c r="U411" s="20" t="n"/>
      <c r="V411" s="21" t="n"/>
      <c r="W411" s="26" t="n"/>
      <c r="X411" s="27" t="n"/>
      <c r="Y411" s="20" t="n"/>
      <c r="Z411" s="20" t="n"/>
      <c r="AA411" s="26">
        <f>IF(X411="","",X411-IF(W411="",0,W411))</f>
        <v/>
      </c>
      <c r="AB411" s="28">
        <f>IF(OR(X411="",M411=""),"",X411*M411)</f>
        <v/>
      </c>
      <c r="AC411" s="28">
        <f>IF(OR(X411="",N411=""),"",X411*N411)</f>
        <v/>
      </c>
      <c r="AD411" s="28">
        <f>IF(OR(M411="",N411=""),"",N411-M411)</f>
        <v/>
      </c>
      <c r="AE411" s="29">
        <f>IFERROR(IF(M411&gt;0,(N411-M411)/M411,""),"")</f>
        <v/>
      </c>
      <c r="AF411" s="30" t="n"/>
      <c r="AG411" s="30" t="inlineStr">
        <is>
          <t>PENDIENTE</t>
        </is>
      </c>
      <c r="AH411" s="18">
        <f>IF(NOT(OR(B411="EXISTENTE",COUNTA(G411,H411,I411,J411,K411,M411,N411,U411,V411,X411,Y411,Z411,AF411,AJ411)&gt;0)),"",IF(AK411&lt;&gt;"","REVISAR",IF(OR(G411="",H411="",M411="",N411="",O411="",P411="",X411=""),"INCOMPLETO",IF(AI411&lt;&gt;"","REVISAR",IF(AND(AF411&lt;&gt;"",AG411="ESCANEADO"),"LISTO_COMPLETO","LISTO_SIN_BARCODE")))))</f>
        <v/>
      </c>
      <c r="AI411" s="17">
        <f>IF(NOT(OR(B411="EXISTENTE",COUNTA(G411,H411,I411,J411,K411,M411,N411,U411,V411,X411,Y411,Z411,AF411,AJ411)&gt;0)),"",TEXTJOIN(" | ",TRUE,IF(A411="","Falta ID staging",""),IF(COUNTIF($A$5:$A$445,A411)&gt;1,"ID staging duplicado",""),IF(G411="","Falta nombre",""),IF(LEN(G411)&gt;150,"Nombre &gt;150 caracteres",""),IF(H411="","Falta categoría",IF(COUNTIF(CategoriasLista,H411)=0,"Categoría inválida","")),IF(M411="","Falta precio compra",IF(OR(NOT(ISNUMBER(M411)),M411&lt;0),"Precio compra inválido","")),IF(N411="","Falta precio venta",IF(OR(NOT(ISNUMBER(N411)),N411&lt;=0,N411&lt;M411),"Precio venta inválido","")),IF(O411="","Falta stock mínimo",IF(OR(NOT(ISNUMBER(O411)),O411&lt;0,MOD(O411,1)&lt;&gt;0),"Stock mínimo inválido","")),IF(P411="","Falta unidad",IF(COUNTIF(UnidadesLista,P411)=0,"Unidad inválida","")),IF(AND(K411&lt;&gt;"",COUNTIF(ProveedoresLista,K411)=0),"Proveedor no catalogado",""),IF(X411="","Falta cantidad contada",IF(OR(NOT(ISNUMBER(X411)),X411&lt;0,ABS(X411*1000-ROUND(X411*1000,0))&gt;0.0000001),"Cantidad inválida",IF(AND(Q411="NO",MOD(X411,1)&lt;&gt;0),"Cantidad fraccionaria no permitida",""))),IF(AND(R411="SI",OR(NOT(ISNUMBER(S411)),S411&lt;1,MOD(S411,1)&lt;&gt;0)),"Empaque inválido",""),IF(OR(AND(AF411="",AG411="ESCANEADO"),AND(AF411&lt;&gt;"",AG411&lt;&gt;"ESCANEADO")),"Barcode/estado inconsistente",""),IF(AK411&lt;&gt;"",AK411,"")))</f>
        <v/>
      </c>
      <c r="AJ411" s="21" t="n"/>
      <c r="AK411" s="17">
        <f>IF(G411="","",IF(OR(COUNTIFS($G$5:$G$445,G411,$I$5:$I$445,I411,$J$5:$J$445,J411,$P$5:$P$445,P411)&gt;1,AND(AF411&lt;&gt;"",COUNTIF($AF$5:$AF$445,AF411)&gt;1)),"REVISAR_POSIBLE_DUPLICADO",""))</f>
        <v/>
      </c>
    </row>
    <row r="412">
      <c r="A412" s="17" t="inlineStr">
        <is>
          <t>2de5a336-e843-5b5a-9a56-772dca0379af</t>
        </is>
      </c>
      <c r="B412" s="18" t="inlineStr">
        <is>
          <t>NUEVO</t>
        </is>
      </c>
      <c r="C412" s="18" t="inlineStr">
        <is>
          <t>ACTIVO</t>
        </is>
      </c>
      <c r="D412" s="18" t="n"/>
      <c r="E412" s="17" t="n"/>
      <c r="F412" s="17" t="n"/>
      <c r="G412" s="19" t="n"/>
      <c r="H412" s="19" t="n"/>
      <c r="I412" s="20" t="n"/>
      <c r="J412" s="20" t="n"/>
      <c r="K412" s="21" t="n"/>
      <c r="L412" s="18" t="n"/>
      <c r="M412" s="22" t="n"/>
      <c r="N412" s="22" t="n"/>
      <c r="O412" s="23" t="n">
        <v>10</v>
      </c>
      <c r="P412" s="24" t="inlineStr">
        <is>
          <t>UNIDAD</t>
        </is>
      </c>
      <c r="Q412" s="20" t="inlineStr">
        <is>
          <t>NO</t>
        </is>
      </c>
      <c r="R412" s="20" t="inlineStr">
        <is>
          <t>NO</t>
        </is>
      </c>
      <c r="S412" s="25" t="n">
        <v>1</v>
      </c>
      <c r="T412" s="20" t="inlineStr">
        <is>
          <t>NO</t>
        </is>
      </c>
      <c r="U412" s="20" t="n"/>
      <c r="V412" s="21" t="n"/>
      <c r="W412" s="26" t="n"/>
      <c r="X412" s="27" t="n"/>
      <c r="Y412" s="20" t="n"/>
      <c r="Z412" s="20" t="n"/>
      <c r="AA412" s="26">
        <f>IF(X412="","",X412-IF(W412="",0,W412))</f>
        <v/>
      </c>
      <c r="AB412" s="28">
        <f>IF(OR(X412="",M412=""),"",X412*M412)</f>
        <v/>
      </c>
      <c r="AC412" s="28">
        <f>IF(OR(X412="",N412=""),"",X412*N412)</f>
        <v/>
      </c>
      <c r="AD412" s="28">
        <f>IF(OR(M412="",N412=""),"",N412-M412)</f>
        <v/>
      </c>
      <c r="AE412" s="29">
        <f>IFERROR(IF(M412&gt;0,(N412-M412)/M412,""),"")</f>
        <v/>
      </c>
      <c r="AF412" s="30" t="n"/>
      <c r="AG412" s="30" t="inlineStr">
        <is>
          <t>PENDIENTE</t>
        </is>
      </c>
      <c r="AH412" s="18">
        <f>IF(NOT(OR(B412="EXISTENTE",COUNTA(G412,H412,I412,J412,K412,M412,N412,U412,V412,X412,Y412,Z412,AF412,AJ412)&gt;0)),"",IF(AK412&lt;&gt;"","REVISAR",IF(OR(G412="",H412="",M412="",N412="",O412="",P412="",X412=""),"INCOMPLETO",IF(AI412&lt;&gt;"","REVISAR",IF(AND(AF412&lt;&gt;"",AG412="ESCANEADO"),"LISTO_COMPLETO","LISTO_SIN_BARCODE")))))</f>
        <v/>
      </c>
      <c r="AI412" s="17">
        <f>IF(NOT(OR(B412="EXISTENTE",COUNTA(G412,H412,I412,J412,K412,M412,N412,U412,V412,X412,Y412,Z412,AF412,AJ412)&gt;0)),"",TEXTJOIN(" | ",TRUE,IF(A412="","Falta ID staging",""),IF(COUNTIF($A$5:$A$445,A412)&gt;1,"ID staging duplicado",""),IF(G412="","Falta nombre",""),IF(LEN(G412)&gt;150,"Nombre &gt;150 caracteres",""),IF(H412="","Falta categoría",IF(COUNTIF(CategoriasLista,H412)=0,"Categoría inválida","")),IF(M412="","Falta precio compra",IF(OR(NOT(ISNUMBER(M412)),M412&lt;0),"Precio compra inválido","")),IF(N412="","Falta precio venta",IF(OR(NOT(ISNUMBER(N412)),N412&lt;=0,N412&lt;M412),"Precio venta inválido","")),IF(O412="","Falta stock mínimo",IF(OR(NOT(ISNUMBER(O412)),O412&lt;0,MOD(O412,1)&lt;&gt;0),"Stock mínimo inválido","")),IF(P412="","Falta unidad",IF(COUNTIF(UnidadesLista,P412)=0,"Unidad inválida","")),IF(AND(K412&lt;&gt;"",COUNTIF(ProveedoresLista,K412)=0),"Proveedor no catalogado",""),IF(X412="","Falta cantidad contada",IF(OR(NOT(ISNUMBER(X412)),X412&lt;0,ABS(X412*1000-ROUND(X412*1000,0))&gt;0.0000001),"Cantidad inválida",IF(AND(Q412="NO",MOD(X412,1)&lt;&gt;0),"Cantidad fraccionaria no permitida",""))),IF(AND(R412="SI",OR(NOT(ISNUMBER(S412)),S412&lt;1,MOD(S412,1)&lt;&gt;0)),"Empaque inválido",""),IF(OR(AND(AF412="",AG412="ESCANEADO"),AND(AF412&lt;&gt;"",AG412&lt;&gt;"ESCANEADO")),"Barcode/estado inconsistente",""),IF(AK412&lt;&gt;"",AK412,"")))</f>
        <v/>
      </c>
      <c r="AJ412" s="21" t="n"/>
      <c r="AK412" s="17">
        <f>IF(G412="","",IF(OR(COUNTIFS($G$5:$G$445,G412,$I$5:$I$445,I412,$J$5:$J$445,J412,$P$5:$P$445,P412)&gt;1,AND(AF412&lt;&gt;"",COUNTIF($AF$5:$AF$445,AF412)&gt;1)),"REVISAR_POSIBLE_DUPLICADO",""))</f>
        <v/>
      </c>
    </row>
    <row r="413">
      <c r="A413" s="17" t="inlineStr">
        <is>
          <t>cd40278d-a623-5701-9661-826d743bdcef</t>
        </is>
      </c>
      <c r="B413" s="18" t="inlineStr">
        <is>
          <t>NUEVO</t>
        </is>
      </c>
      <c r="C413" s="18" t="inlineStr">
        <is>
          <t>ACTIVO</t>
        </is>
      </c>
      <c r="D413" s="18" t="n"/>
      <c r="E413" s="17" t="n"/>
      <c r="F413" s="17" t="n"/>
      <c r="G413" s="19" t="n"/>
      <c r="H413" s="19" t="n"/>
      <c r="I413" s="20" t="n"/>
      <c r="J413" s="20" t="n"/>
      <c r="K413" s="21" t="n"/>
      <c r="L413" s="18" t="n"/>
      <c r="M413" s="22" t="n"/>
      <c r="N413" s="22" t="n"/>
      <c r="O413" s="23" t="n">
        <v>10</v>
      </c>
      <c r="P413" s="24" t="inlineStr">
        <is>
          <t>UNIDAD</t>
        </is>
      </c>
      <c r="Q413" s="20" t="inlineStr">
        <is>
          <t>NO</t>
        </is>
      </c>
      <c r="R413" s="20" t="inlineStr">
        <is>
          <t>NO</t>
        </is>
      </c>
      <c r="S413" s="25" t="n">
        <v>1</v>
      </c>
      <c r="T413" s="20" t="inlineStr">
        <is>
          <t>NO</t>
        </is>
      </c>
      <c r="U413" s="20" t="n"/>
      <c r="V413" s="21" t="n"/>
      <c r="W413" s="26" t="n"/>
      <c r="X413" s="27" t="n"/>
      <c r="Y413" s="20" t="n"/>
      <c r="Z413" s="20" t="n"/>
      <c r="AA413" s="26">
        <f>IF(X413="","",X413-IF(W413="",0,W413))</f>
        <v/>
      </c>
      <c r="AB413" s="28">
        <f>IF(OR(X413="",M413=""),"",X413*M413)</f>
        <v/>
      </c>
      <c r="AC413" s="28">
        <f>IF(OR(X413="",N413=""),"",X413*N413)</f>
        <v/>
      </c>
      <c r="AD413" s="28">
        <f>IF(OR(M413="",N413=""),"",N413-M413)</f>
        <v/>
      </c>
      <c r="AE413" s="29">
        <f>IFERROR(IF(M413&gt;0,(N413-M413)/M413,""),"")</f>
        <v/>
      </c>
      <c r="AF413" s="30" t="n"/>
      <c r="AG413" s="30" t="inlineStr">
        <is>
          <t>PENDIENTE</t>
        </is>
      </c>
      <c r="AH413" s="18">
        <f>IF(NOT(OR(B413="EXISTENTE",COUNTA(G413,H413,I413,J413,K413,M413,N413,U413,V413,X413,Y413,Z413,AF413,AJ413)&gt;0)),"",IF(AK413&lt;&gt;"","REVISAR",IF(OR(G413="",H413="",M413="",N413="",O413="",P413="",X413=""),"INCOMPLETO",IF(AI413&lt;&gt;"","REVISAR",IF(AND(AF413&lt;&gt;"",AG413="ESCANEADO"),"LISTO_COMPLETO","LISTO_SIN_BARCODE")))))</f>
        <v/>
      </c>
      <c r="AI413" s="17">
        <f>IF(NOT(OR(B413="EXISTENTE",COUNTA(G413,H413,I413,J413,K413,M413,N413,U413,V413,X413,Y413,Z413,AF413,AJ413)&gt;0)),"",TEXTJOIN(" | ",TRUE,IF(A413="","Falta ID staging",""),IF(COUNTIF($A$5:$A$445,A413)&gt;1,"ID staging duplicado",""),IF(G413="","Falta nombre",""),IF(LEN(G413)&gt;150,"Nombre &gt;150 caracteres",""),IF(H413="","Falta categoría",IF(COUNTIF(CategoriasLista,H413)=0,"Categoría inválida","")),IF(M413="","Falta precio compra",IF(OR(NOT(ISNUMBER(M413)),M413&lt;0),"Precio compra inválido","")),IF(N413="","Falta precio venta",IF(OR(NOT(ISNUMBER(N413)),N413&lt;=0,N413&lt;M413),"Precio venta inválido","")),IF(O413="","Falta stock mínimo",IF(OR(NOT(ISNUMBER(O413)),O413&lt;0,MOD(O413,1)&lt;&gt;0),"Stock mínimo inválido","")),IF(P413="","Falta unidad",IF(COUNTIF(UnidadesLista,P413)=0,"Unidad inválida","")),IF(AND(K413&lt;&gt;"",COUNTIF(ProveedoresLista,K413)=0),"Proveedor no catalogado",""),IF(X413="","Falta cantidad contada",IF(OR(NOT(ISNUMBER(X413)),X413&lt;0,ABS(X413*1000-ROUND(X413*1000,0))&gt;0.0000001),"Cantidad inválida",IF(AND(Q413="NO",MOD(X413,1)&lt;&gt;0),"Cantidad fraccionaria no permitida",""))),IF(AND(R413="SI",OR(NOT(ISNUMBER(S413)),S413&lt;1,MOD(S413,1)&lt;&gt;0)),"Empaque inválido",""),IF(OR(AND(AF413="",AG413="ESCANEADO"),AND(AF413&lt;&gt;"",AG413&lt;&gt;"ESCANEADO")),"Barcode/estado inconsistente",""),IF(AK413&lt;&gt;"",AK413,"")))</f>
        <v/>
      </c>
      <c r="AJ413" s="21" t="n"/>
      <c r="AK413" s="17">
        <f>IF(G413="","",IF(OR(COUNTIFS($G$5:$G$445,G413,$I$5:$I$445,I413,$J$5:$J$445,J413,$P$5:$P$445,P413)&gt;1,AND(AF413&lt;&gt;"",COUNTIF($AF$5:$AF$445,AF413)&gt;1)),"REVISAR_POSIBLE_DUPLICADO",""))</f>
        <v/>
      </c>
    </row>
    <row r="414">
      <c r="A414" s="17" t="inlineStr">
        <is>
          <t>979d3cb4-069b-5324-be09-ccc4740035f2</t>
        </is>
      </c>
      <c r="B414" s="18" t="inlineStr">
        <is>
          <t>NUEVO</t>
        </is>
      </c>
      <c r="C414" s="18" t="inlineStr">
        <is>
          <t>ACTIVO</t>
        </is>
      </c>
      <c r="D414" s="18" t="n"/>
      <c r="E414" s="17" t="n"/>
      <c r="F414" s="17" t="n"/>
      <c r="G414" s="19" t="n"/>
      <c r="H414" s="19" t="n"/>
      <c r="I414" s="20" t="n"/>
      <c r="J414" s="20" t="n"/>
      <c r="K414" s="21" t="n"/>
      <c r="L414" s="18" t="n"/>
      <c r="M414" s="22" t="n"/>
      <c r="N414" s="22" t="n"/>
      <c r="O414" s="23" t="n">
        <v>10</v>
      </c>
      <c r="P414" s="24" t="inlineStr">
        <is>
          <t>UNIDAD</t>
        </is>
      </c>
      <c r="Q414" s="20" t="inlineStr">
        <is>
          <t>NO</t>
        </is>
      </c>
      <c r="R414" s="20" t="inlineStr">
        <is>
          <t>NO</t>
        </is>
      </c>
      <c r="S414" s="25" t="n">
        <v>1</v>
      </c>
      <c r="T414" s="20" t="inlineStr">
        <is>
          <t>NO</t>
        </is>
      </c>
      <c r="U414" s="20" t="n"/>
      <c r="V414" s="21" t="n"/>
      <c r="W414" s="26" t="n"/>
      <c r="X414" s="27" t="n"/>
      <c r="Y414" s="20" t="n"/>
      <c r="Z414" s="20" t="n"/>
      <c r="AA414" s="26">
        <f>IF(X414="","",X414-IF(W414="",0,W414))</f>
        <v/>
      </c>
      <c r="AB414" s="28">
        <f>IF(OR(X414="",M414=""),"",X414*M414)</f>
        <v/>
      </c>
      <c r="AC414" s="28">
        <f>IF(OR(X414="",N414=""),"",X414*N414)</f>
        <v/>
      </c>
      <c r="AD414" s="28">
        <f>IF(OR(M414="",N414=""),"",N414-M414)</f>
        <v/>
      </c>
      <c r="AE414" s="29">
        <f>IFERROR(IF(M414&gt;0,(N414-M414)/M414,""),"")</f>
        <v/>
      </c>
      <c r="AF414" s="30" t="n"/>
      <c r="AG414" s="30" t="inlineStr">
        <is>
          <t>PENDIENTE</t>
        </is>
      </c>
      <c r="AH414" s="18">
        <f>IF(NOT(OR(B414="EXISTENTE",COUNTA(G414,H414,I414,J414,K414,M414,N414,U414,V414,X414,Y414,Z414,AF414,AJ414)&gt;0)),"",IF(AK414&lt;&gt;"","REVISAR",IF(OR(G414="",H414="",M414="",N414="",O414="",P414="",X414=""),"INCOMPLETO",IF(AI414&lt;&gt;"","REVISAR",IF(AND(AF414&lt;&gt;"",AG414="ESCANEADO"),"LISTO_COMPLETO","LISTO_SIN_BARCODE")))))</f>
        <v/>
      </c>
      <c r="AI414" s="17">
        <f>IF(NOT(OR(B414="EXISTENTE",COUNTA(G414,H414,I414,J414,K414,M414,N414,U414,V414,X414,Y414,Z414,AF414,AJ414)&gt;0)),"",TEXTJOIN(" | ",TRUE,IF(A414="","Falta ID staging",""),IF(COUNTIF($A$5:$A$445,A414)&gt;1,"ID staging duplicado",""),IF(G414="","Falta nombre",""),IF(LEN(G414)&gt;150,"Nombre &gt;150 caracteres",""),IF(H414="","Falta categoría",IF(COUNTIF(CategoriasLista,H414)=0,"Categoría inválida","")),IF(M414="","Falta precio compra",IF(OR(NOT(ISNUMBER(M414)),M414&lt;0),"Precio compra inválido","")),IF(N414="","Falta precio venta",IF(OR(NOT(ISNUMBER(N414)),N414&lt;=0,N414&lt;M414),"Precio venta inválido","")),IF(O414="","Falta stock mínimo",IF(OR(NOT(ISNUMBER(O414)),O414&lt;0,MOD(O414,1)&lt;&gt;0),"Stock mínimo inválido","")),IF(P414="","Falta unidad",IF(COUNTIF(UnidadesLista,P414)=0,"Unidad inválida","")),IF(AND(K414&lt;&gt;"",COUNTIF(ProveedoresLista,K414)=0),"Proveedor no catalogado",""),IF(X414="","Falta cantidad contada",IF(OR(NOT(ISNUMBER(X414)),X414&lt;0,ABS(X414*1000-ROUND(X414*1000,0))&gt;0.0000001),"Cantidad inválida",IF(AND(Q414="NO",MOD(X414,1)&lt;&gt;0),"Cantidad fraccionaria no permitida",""))),IF(AND(R414="SI",OR(NOT(ISNUMBER(S414)),S414&lt;1,MOD(S414,1)&lt;&gt;0)),"Empaque inválido",""),IF(OR(AND(AF414="",AG414="ESCANEADO"),AND(AF414&lt;&gt;"",AG414&lt;&gt;"ESCANEADO")),"Barcode/estado inconsistente",""),IF(AK414&lt;&gt;"",AK414,"")))</f>
        <v/>
      </c>
      <c r="AJ414" s="21" t="n"/>
      <c r="AK414" s="17">
        <f>IF(G414="","",IF(OR(COUNTIFS($G$5:$G$445,G414,$I$5:$I$445,I414,$J$5:$J$445,J414,$P$5:$P$445,P414)&gt;1,AND(AF414&lt;&gt;"",COUNTIF($AF$5:$AF$445,AF414)&gt;1)),"REVISAR_POSIBLE_DUPLICADO",""))</f>
        <v/>
      </c>
    </row>
    <row r="415">
      <c r="A415" s="17" t="inlineStr">
        <is>
          <t>39cfe93b-cd29-5e26-a6c6-b05a0ef4869e</t>
        </is>
      </c>
      <c r="B415" s="18" t="inlineStr">
        <is>
          <t>NUEVO</t>
        </is>
      </c>
      <c r="C415" s="18" t="inlineStr">
        <is>
          <t>ACTIVO</t>
        </is>
      </c>
      <c r="D415" s="18" t="n"/>
      <c r="E415" s="17" t="n"/>
      <c r="F415" s="17" t="n"/>
      <c r="G415" s="19" t="n"/>
      <c r="H415" s="19" t="n"/>
      <c r="I415" s="20" t="n"/>
      <c r="J415" s="20" t="n"/>
      <c r="K415" s="21" t="n"/>
      <c r="L415" s="18" t="n"/>
      <c r="M415" s="22" t="n"/>
      <c r="N415" s="22" t="n"/>
      <c r="O415" s="23" t="n">
        <v>10</v>
      </c>
      <c r="P415" s="24" t="inlineStr">
        <is>
          <t>UNIDAD</t>
        </is>
      </c>
      <c r="Q415" s="20" t="inlineStr">
        <is>
          <t>NO</t>
        </is>
      </c>
      <c r="R415" s="20" t="inlineStr">
        <is>
          <t>NO</t>
        </is>
      </c>
      <c r="S415" s="25" t="n">
        <v>1</v>
      </c>
      <c r="T415" s="20" t="inlineStr">
        <is>
          <t>NO</t>
        </is>
      </c>
      <c r="U415" s="20" t="n"/>
      <c r="V415" s="21" t="n"/>
      <c r="W415" s="26" t="n"/>
      <c r="X415" s="27" t="n"/>
      <c r="Y415" s="20" t="n"/>
      <c r="Z415" s="20" t="n"/>
      <c r="AA415" s="26">
        <f>IF(X415="","",X415-IF(W415="",0,W415))</f>
        <v/>
      </c>
      <c r="AB415" s="28">
        <f>IF(OR(X415="",M415=""),"",X415*M415)</f>
        <v/>
      </c>
      <c r="AC415" s="28">
        <f>IF(OR(X415="",N415=""),"",X415*N415)</f>
        <v/>
      </c>
      <c r="AD415" s="28">
        <f>IF(OR(M415="",N415=""),"",N415-M415)</f>
        <v/>
      </c>
      <c r="AE415" s="29">
        <f>IFERROR(IF(M415&gt;0,(N415-M415)/M415,""),"")</f>
        <v/>
      </c>
      <c r="AF415" s="30" t="n"/>
      <c r="AG415" s="30" t="inlineStr">
        <is>
          <t>PENDIENTE</t>
        </is>
      </c>
      <c r="AH415" s="18">
        <f>IF(NOT(OR(B415="EXISTENTE",COUNTA(G415,H415,I415,J415,K415,M415,N415,U415,V415,X415,Y415,Z415,AF415,AJ415)&gt;0)),"",IF(AK415&lt;&gt;"","REVISAR",IF(OR(G415="",H415="",M415="",N415="",O415="",P415="",X415=""),"INCOMPLETO",IF(AI415&lt;&gt;"","REVISAR",IF(AND(AF415&lt;&gt;"",AG415="ESCANEADO"),"LISTO_COMPLETO","LISTO_SIN_BARCODE")))))</f>
        <v/>
      </c>
      <c r="AI415" s="17">
        <f>IF(NOT(OR(B415="EXISTENTE",COUNTA(G415,H415,I415,J415,K415,M415,N415,U415,V415,X415,Y415,Z415,AF415,AJ415)&gt;0)),"",TEXTJOIN(" | ",TRUE,IF(A415="","Falta ID staging",""),IF(COUNTIF($A$5:$A$445,A415)&gt;1,"ID staging duplicado",""),IF(G415="","Falta nombre",""),IF(LEN(G415)&gt;150,"Nombre &gt;150 caracteres",""),IF(H415="","Falta categoría",IF(COUNTIF(CategoriasLista,H415)=0,"Categoría inválida","")),IF(M415="","Falta precio compra",IF(OR(NOT(ISNUMBER(M415)),M415&lt;0),"Precio compra inválido","")),IF(N415="","Falta precio venta",IF(OR(NOT(ISNUMBER(N415)),N415&lt;=0,N415&lt;M415),"Precio venta inválido","")),IF(O415="","Falta stock mínimo",IF(OR(NOT(ISNUMBER(O415)),O415&lt;0,MOD(O415,1)&lt;&gt;0),"Stock mínimo inválido","")),IF(P415="","Falta unidad",IF(COUNTIF(UnidadesLista,P415)=0,"Unidad inválida","")),IF(AND(K415&lt;&gt;"",COUNTIF(ProveedoresLista,K415)=0),"Proveedor no catalogado",""),IF(X415="","Falta cantidad contada",IF(OR(NOT(ISNUMBER(X415)),X415&lt;0,ABS(X415*1000-ROUND(X415*1000,0))&gt;0.0000001),"Cantidad inválida",IF(AND(Q415="NO",MOD(X415,1)&lt;&gt;0),"Cantidad fraccionaria no permitida",""))),IF(AND(R415="SI",OR(NOT(ISNUMBER(S415)),S415&lt;1,MOD(S415,1)&lt;&gt;0)),"Empaque inválido",""),IF(OR(AND(AF415="",AG415="ESCANEADO"),AND(AF415&lt;&gt;"",AG415&lt;&gt;"ESCANEADO")),"Barcode/estado inconsistente",""),IF(AK415&lt;&gt;"",AK415,"")))</f>
        <v/>
      </c>
      <c r="AJ415" s="21" t="n"/>
      <c r="AK415" s="17">
        <f>IF(G415="","",IF(OR(COUNTIFS($G$5:$G$445,G415,$I$5:$I$445,I415,$J$5:$J$445,J415,$P$5:$P$445,P415)&gt;1,AND(AF415&lt;&gt;"",COUNTIF($AF$5:$AF$445,AF415)&gt;1)),"REVISAR_POSIBLE_DUPLICADO",""))</f>
        <v/>
      </c>
    </row>
    <row r="416">
      <c r="A416" s="17" t="inlineStr">
        <is>
          <t>d9319a29-a76f-57cc-9489-d9b9c9ae5577</t>
        </is>
      </c>
      <c r="B416" s="18" t="inlineStr">
        <is>
          <t>NUEVO</t>
        </is>
      </c>
      <c r="C416" s="18" t="inlineStr">
        <is>
          <t>ACTIVO</t>
        </is>
      </c>
      <c r="D416" s="18" t="n"/>
      <c r="E416" s="17" t="n"/>
      <c r="F416" s="17" t="n"/>
      <c r="G416" s="19" t="n"/>
      <c r="H416" s="19" t="n"/>
      <c r="I416" s="20" t="n"/>
      <c r="J416" s="20" t="n"/>
      <c r="K416" s="21" t="n"/>
      <c r="L416" s="18" t="n"/>
      <c r="M416" s="22" t="n"/>
      <c r="N416" s="22" t="n"/>
      <c r="O416" s="23" t="n">
        <v>10</v>
      </c>
      <c r="P416" s="24" t="inlineStr">
        <is>
          <t>UNIDAD</t>
        </is>
      </c>
      <c r="Q416" s="20" t="inlineStr">
        <is>
          <t>NO</t>
        </is>
      </c>
      <c r="R416" s="20" t="inlineStr">
        <is>
          <t>NO</t>
        </is>
      </c>
      <c r="S416" s="25" t="n">
        <v>1</v>
      </c>
      <c r="T416" s="20" t="inlineStr">
        <is>
          <t>NO</t>
        </is>
      </c>
      <c r="U416" s="20" t="n"/>
      <c r="V416" s="21" t="n"/>
      <c r="W416" s="26" t="n"/>
      <c r="X416" s="27" t="n"/>
      <c r="Y416" s="20" t="n"/>
      <c r="Z416" s="20" t="n"/>
      <c r="AA416" s="26">
        <f>IF(X416="","",X416-IF(W416="",0,W416))</f>
        <v/>
      </c>
      <c r="AB416" s="28">
        <f>IF(OR(X416="",M416=""),"",X416*M416)</f>
        <v/>
      </c>
      <c r="AC416" s="28">
        <f>IF(OR(X416="",N416=""),"",X416*N416)</f>
        <v/>
      </c>
      <c r="AD416" s="28">
        <f>IF(OR(M416="",N416=""),"",N416-M416)</f>
        <v/>
      </c>
      <c r="AE416" s="29">
        <f>IFERROR(IF(M416&gt;0,(N416-M416)/M416,""),"")</f>
        <v/>
      </c>
      <c r="AF416" s="30" t="n"/>
      <c r="AG416" s="30" t="inlineStr">
        <is>
          <t>PENDIENTE</t>
        </is>
      </c>
      <c r="AH416" s="18">
        <f>IF(NOT(OR(B416="EXISTENTE",COUNTA(G416,H416,I416,J416,K416,M416,N416,U416,V416,X416,Y416,Z416,AF416,AJ416)&gt;0)),"",IF(AK416&lt;&gt;"","REVISAR",IF(OR(G416="",H416="",M416="",N416="",O416="",P416="",X416=""),"INCOMPLETO",IF(AI416&lt;&gt;"","REVISAR",IF(AND(AF416&lt;&gt;"",AG416="ESCANEADO"),"LISTO_COMPLETO","LISTO_SIN_BARCODE")))))</f>
        <v/>
      </c>
      <c r="AI416" s="17">
        <f>IF(NOT(OR(B416="EXISTENTE",COUNTA(G416,H416,I416,J416,K416,M416,N416,U416,V416,X416,Y416,Z416,AF416,AJ416)&gt;0)),"",TEXTJOIN(" | ",TRUE,IF(A416="","Falta ID staging",""),IF(COUNTIF($A$5:$A$445,A416)&gt;1,"ID staging duplicado",""),IF(G416="","Falta nombre",""),IF(LEN(G416)&gt;150,"Nombre &gt;150 caracteres",""),IF(H416="","Falta categoría",IF(COUNTIF(CategoriasLista,H416)=0,"Categoría inválida","")),IF(M416="","Falta precio compra",IF(OR(NOT(ISNUMBER(M416)),M416&lt;0),"Precio compra inválido","")),IF(N416="","Falta precio venta",IF(OR(NOT(ISNUMBER(N416)),N416&lt;=0,N416&lt;M416),"Precio venta inválido","")),IF(O416="","Falta stock mínimo",IF(OR(NOT(ISNUMBER(O416)),O416&lt;0,MOD(O416,1)&lt;&gt;0),"Stock mínimo inválido","")),IF(P416="","Falta unidad",IF(COUNTIF(UnidadesLista,P416)=0,"Unidad inválida","")),IF(AND(K416&lt;&gt;"",COUNTIF(ProveedoresLista,K416)=0),"Proveedor no catalogado",""),IF(X416="","Falta cantidad contada",IF(OR(NOT(ISNUMBER(X416)),X416&lt;0,ABS(X416*1000-ROUND(X416*1000,0))&gt;0.0000001),"Cantidad inválida",IF(AND(Q416="NO",MOD(X416,1)&lt;&gt;0),"Cantidad fraccionaria no permitida",""))),IF(AND(R416="SI",OR(NOT(ISNUMBER(S416)),S416&lt;1,MOD(S416,1)&lt;&gt;0)),"Empaque inválido",""),IF(OR(AND(AF416="",AG416="ESCANEADO"),AND(AF416&lt;&gt;"",AG416&lt;&gt;"ESCANEADO")),"Barcode/estado inconsistente",""),IF(AK416&lt;&gt;"",AK416,"")))</f>
        <v/>
      </c>
      <c r="AJ416" s="21" t="n"/>
      <c r="AK416" s="17">
        <f>IF(G416="","",IF(OR(COUNTIFS($G$5:$G$445,G416,$I$5:$I$445,I416,$J$5:$J$445,J416,$P$5:$P$445,P416)&gt;1,AND(AF416&lt;&gt;"",COUNTIF($AF$5:$AF$445,AF416)&gt;1)),"REVISAR_POSIBLE_DUPLICADO",""))</f>
        <v/>
      </c>
    </row>
    <row r="417">
      <c r="A417" s="17" t="inlineStr">
        <is>
          <t>8fd84c98-f1b4-5417-abaf-4dbd71d49c1a</t>
        </is>
      </c>
      <c r="B417" s="18" t="inlineStr">
        <is>
          <t>NUEVO</t>
        </is>
      </c>
      <c r="C417" s="18" t="inlineStr">
        <is>
          <t>ACTIVO</t>
        </is>
      </c>
      <c r="D417" s="18" t="n"/>
      <c r="E417" s="17" t="n"/>
      <c r="F417" s="17" t="n"/>
      <c r="G417" s="19" t="n"/>
      <c r="H417" s="19" t="n"/>
      <c r="I417" s="20" t="n"/>
      <c r="J417" s="20" t="n"/>
      <c r="K417" s="21" t="n"/>
      <c r="L417" s="18" t="n"/>
      <c r="M417" s="22" t="n"/>
      <c r="N417" s="22" t="n"/>
      <c r="O417" s="23" t="n">
        <v>10</v>
      </c>
      <c r="P417" s="24" t="inlineStr">
        <is>
          <t>UNIDAD</t>
        </is>
      </c>
      <c r="Q417" s="20" t="inlineStr">
        <is>
          <t>NO</t>
        </is>
      </c>
      <c r="R417" s="20" t="inlineStr">
        <is>
          <t>NO</t>
        </is>
      </c>
      <c r="S417" s="25" t="n">
        <v>1</v>
      </c>
      <c r="T417" s="20" t="inlineStr">
        <is>
          <t>NO</t>
        </is>
      </c>
      <c r="U417" s="20" t="n"/>
      <c r="V417" s="21" t="n"/>
      <c r="W417" s="26" t="n"/>
      <c r="X417" s="27" t="n"/>
      <c r="Y417" s="20" t="n"/>
      <c r="Z417" s="20" t="n"/>
      <c r="AA417" s="26">
        <f>IF(X417="","",X417-IF(W417="",0,W417))</f>
        <v/>
      </c>
      <c r="AB417" s="28">
        <f>IF(OR(X417="",M417=""),"",X417*M417)</f>
        <v/>
      </c>
      <c r="AC417" s="28">
        <f>IF(OR(X417="",N417=""),"",X417*N417)</f>
        <v/>
      </c>
      <c r="AD417" s="28">
        <f>IF(OR(M417="",N417=""),"",N417-M417)</f>
        <v/>
      </c>
      <c r="AE417" s="29">
        <f>IFERROR(IF(M417&gt;0,(N417-M417)/M417,""),"")</f>
        <v/>
      </c>
      <c r="AF417" s="30" t="n"/>
      <c r="AG417" s="30" t="inlineStr">
        <is>
          <t>PENDIENTE</t>
        </is>
      </c>
      <c r="AH417" s="18">
        <f>IF(NOT(OR(B417="EXISTENTE",COUNTA(G417,H417,I417,J417,K417,M417,N417,U417,V417,X417,Y417,Z417,AF417,AJ417)&gt;0)),"",IF(AK417&lt;&gt;"","REVISAR",IF(OR(G417="",H417="",M417="",N417="",O417="",P417="",X417=""),"INCOMPLETO",IF(AI417&lt;&gt;"","REVISAR",IF(AND(AF417&lt;&gt;"",AG417="ESCANEADO"),"LISTO_COMPLETO","LISTO_SIN_BARCODE")))))</f>
        <v/>
      </c>
      <c r="AI417" s="17">
        <f>IF(NOT(OR(B417="EXISTENTE",COUNTA(G417,H417,I417,J417,K417,M417,N417,U417,V417,X417,Y417,Z417,AF417,AJ417)&gt;0)),"",TEXTJOIN(" | ",TRUE,IF(A417="","Falta ID staging",""),IF(COUNTIF($A$5:$A$445,A417)&gt;1,"ID staging duplicado",""),IF(G417="","Falta nombre",""),IF(LEN(G417)&gt;150,"Nombre &gt;150 caracteres",""),IF(H417="","Falta categoría",IF(COUNTIF(CategoriasLista,H417)=0,"Categoría inválida","")),IF(M417="","Falta precio compra",IF(OR(NOT(ISNUMBER(M417)),M417&lt;0),"Precio compra inválido","")),IF(N417="","Falta precio venta",IF(OR(NOT(ISNUMBER(N417)),N417&lt;=0,N417&lt;M417),"Precio venta inválido","")),IF(O417="","Falta stock mínimo",IF(OR(NOT(ISNUMBER(O417)),O417&lt;0,MOD(O417,1)&lt;&gt;0),"Stock mínimo inválido","")),IF(P417="","Falta unidad",IF(COUNTIF(UnidadesLista,P417)=0,"Unidad inválida","")),IF(AND(K417&lt;&gt;"",COUNTIF(ProveedoresLista,K417)=0),"Proveedor no catalogado",""),IF(X417="","Falta cantidad contada",IF(OR(NOT(ISNUMBER(X417)),X417&lt;0,ABS(X417*1000-ROUND(X417*1000,0))&gt;0.0000001),"Cantidad inválida",IF(AND(Q417="NO",MOD(X417,1)&lt;&gt;0),"Cantidad fraccionaria no permitida",""))),IF(AND(R417="SI",OR(NOT(ISNUMBER(S417)),S417&lt;1,MOD(S417,1)&lt;&gt;0)),"Empaque inválido",""),IF(OR(AND(AF417="",AG417="ESCANEADO"),AND(AF417&lt;&gt;"",AG417&lt;&gt;"ESCANEADO")),"Barcode/estado inconsistente",""),IF(AK417&lt;&gt;"",AK417,"")))</f>
        <v/>
      </c>
      <c r="AJ417" s="21" t="n"/>
      <c r="AK417" s="17">
        <f>IF(G417="","",IF(OR(COUNTIFS($G$5:$G$445,G417,$I$5:$I$445,I417,$J$5:$J$445,J417,$P$5:$P$445,P417)&gt;1,AND(AF417&lt;&gt;"",COUNTIF($AF$5:$AF$445,AF417)&gt;1)),"REVISAR_POSIBLE_DUPLICADO",""))</f>
        <v/>
      </c>
    </row>
    <row r="418">
      <c r="A418" s="17" t="inlineStr">
        <is>
          <t>bc8dd2f8-c2aa-5895-a47d-9078a941d44e</t>
        </is>
      </c>
      <c r="B418" s="18" t="inlineStr">
        <is>
          <t>NUEVO</t>
        </is>
      </c>
      <c r="C418" s="18" t="inlineStr">
        <is>
          <t>ACTIVO</t>
        </is>
      </c>
      <c r="D418" s="18" t="n"/>
      <c r="E418" s="17" t="n"/>
      <c r="F418" s="17" t="n"/>
      <c r="G418" s="19" t="n"/>
      <c r="H418" s="19" t="n"/>
      <c r="I418" s="20" t="n"/>
      <c r="J418" s="20" t="n"/>
      <c r="K418" s="21" t="n"/>
      <c r="L418" s="18" t="n"/>
      <c r="M418" s="22" t="n"/>
      <c r="N418" s="22" t="n"/>
      <c r="O418" s="23" t="n">
        <v>10</v>
      </c>
      <c r="P418" s="24" t="inlineStr">
        <is>
          <t>UNIDAD</t>
        </is>
      </c>
      <c r="Q418" s="20" t="inlineStr">
        <is>
          <t>NO</t>
        </is>
      </c>
      <c r="R418" s="20" t="inlineStr">
        <is>
          <t>NO</t>
        </is>
      </c>
      <c r="S418" s="25" t="n">
        <v>1</v>
      </c>
      <c r="T418" s="20" t="inlineStr">
        <is>
          <t>NO</t>
        </is>
      </c>
      <c r="U418" s="20" t="n"/>
      <c r="V418" s="21" t="n"/>
      <c r="W418" s="26" t="n"/>
      <c r="X418" s="27" t="n"/>
      <c r="Y418" s="20" t="n"/>
      <c r="Z418" s="20" t="n"/>
      <c r="AA418" s="26">
        <f>IF(X418="","",X418-IF(W418="",0,W418))</f>
        <v/>
      </c>
      <c r="AB418" s="28">
        <f>IF(OR(X418="",M418=""),"",X418*M418)</f>
        <v/>
      </c>
      <c r="AC418" s="28">
        <f>IF(OR(X418="",N418=""),"",X418*N418)</f>
        <v/>
      </c>
      <c r="AD418" s="28">
        <f>IF(OR(M418="",N418=""),"",N418-M418)</f>
        <v/>
      </c>
      <c r="AE418" s="29">
        <f>IFERROR(IF(M418&gt;0,(N418-M418)/M418,""),"")</f>
        <v/>
      </c>
      <c r="AF418" s="30" t="n"/>
      <c r="AG418" s="30" t="inlineStr">
        <is>
          <t>PENDIENTE</t>
        </is>
      </c>
      <c r="AH418" s="18">
        <f>IF(NOT(OR(B418="EXISTENTE",COUNTA(G418,H418,I418,J418,K418,M418,N418,U418,V418,X418,Y418,Z418,AF418,AJ418)&gt;0)),"",IF(AK418&lt;&gt;"","REVISAR",IF(OR(G418="",H418="",M418="",N418="",O418="",P418="",X418=""),"INCOMPLETO",IF(AI418&lt;&gt;"","REVISAR",IF(AND(AF418&lt;&gt;"",AG418="ESCANEADO"),"LISTO_COMPLETO","LISTO_SIN_BARCODE")))))</f>
        <v/>
      </c>
      <c r="AI418" s="17">
        <f>IF(NOT(OR(B418="EXISTENTE",COUNTA(G418,H418,I418,J418,K418,M418,N418,U418,V418,X418,Y418,Z418,AF418,AJ418)&gt;0)),"",TEXTJOIN(" | ",TRUE,IF(A418="","Falta ID staging",""),IF(COUNTIF($A$5:$A$445,A418)&gt;1,"ID staging duplicado",""),IF(G418="","Falta nombre",""),IF(LEN(G418)&gt;150,"Nombre &gt;150 caracteres",""),IF(H418="","Falta categoría",IF(COUNTIF(CategoriasLista,H418)=0,"Categoría inválida","")),IF(M418="","Falta precio compra",IF(OR(NOT(ISNUMBER(M418)),M418&lt;0),"Precio compra inválido","")),IF(N418="","Falta precio venta",IF(OR(NOT(ISNUMBER(N418)),N418&lt;=0,N418&lt;M418),"Precio venta inválido","")),IF(O418="","Falta stock mínimo",IF(OR(NOT(ISNUMBER(O418)),O418&lt;0,MOD(O418,1)&lt;&gt;0),"Stock mínimo inválido","")),IF(P418="","Falta unidad",IF(COUNTIF(UnidadesLista,P418)=0,"Unidad inválida","")),IF(AND(K418&lt;&gt;"",COUNTIF(ProveedoresLista,K418)=0),"Proveedor no catalogado",""),IF(X418="","Falta cantidad contada",IF(OR(NOT(ISNUMBER(X418)),X418&lt;0,ABS(X418*1000-ROUND(X418*1000,0))&gt;0.0000001),"Cantidad inválida",IF(AND(Q418="NO",MOD(X418,1)&lt;&gt;0),"Cantidad fraccionaria no permitida",""))),IF(AND(R418="SI",OR(NOT(ISNUMBER(S418)),S418&lt;1,MOD(S418,1)&lt;&gt;0)),"Empaque inválido",""),IF(OR(AND(AF418="",AG418="ESCANEADO"),AND(AF418&lt;&gt;"",AG418&lt;&gt;"ESCANEADO")),"Barcode/estado inconsistente",""),IF(AK418&lt;&gt;"",AK418,"")))</f>
        <v/>
      </c>
      <c r="AJ418" s="21" t="n"/>
      <c r="AK418" s="17">
        <f>IF(G418="","",IF(OR(COUNTIFS($G$5:$G$445,G418,$I$5:$I$445,I418,$J$5:$J$445,J418,$P$5:$P$445,P418)&gt;1,AND(AF418&lt;&gt;"",COUNTIF($AF$5:$AF$445,AF418)&gt;1)),"REVISAR_POSIBLE_DUPLICADO",""))</f>
        <v/>
      </c>
    </row>
    <row r="419">
      <c r="A419" s="17" t="inlineStr">
        <is>
          <t>4858359c-92d9-5597-a8c4-fdc47dcbe7cb</t>
        </is>
      </c>
      <c r="B419" s="18" t="inlineStr">
        <is>
          <t>NUEVO</t>
        </is>
      </c>
      <c r="C419" s="18" t="inlineStr">
        <is>
          <t>ACTIVO</t>
        </is>
      </c>
      <c r="D419" s="18" t="n"/>
      <c r="E419" s="17" t="n"/>
      <c r="F419" s="17" t="n"/>
      <c r="G419" s="19" t="n"/>
      <c r="H419" s="19" t="n"/>
      <c r="I419" s="20" t="n"/>
      <c r="J419" s="20" t="n"/>
      <c r="K419" s="21" t="n"/>
      <c r="L419" s="18" t="n"/>
      <c r="M419" s="22" t="n"/>
      <c r="N419" s="22" t="n"/>
      <c r="O419" s="23" t="n">
        <v>10</v>
      </c>
      <c r="P419" s="24" t="inlineStr">
        <is>
          <t>UNIDAD</t>
        </is>
      </c>
      <c r="Q419" s="20" t="inlineStr">
        <is>
          <t>NO</t>
        </is>
      </c>
      <c r="R419" s="20" t="inlineStr">
        <is>
          <t>NO</t>
        </is>
      </c>
      <c r="S419" s="25" t="n">
        <v>1</v>
      </c>
      <c r="T419" s="20" t="inlineStr">
        <is>
          <t>NO</t>
        </is>
      </c>
      <c r="U419" s="20" t="n"/>
      <c r="V419" s="21" t="n"/>
      <c r="W419" s="26" t="n"/>
      <c r="X419" s="27" t="n"/>
      <c r="Y419" s="20" t="n"/>
      <c r="Z419" s="20" t="n"/>
      <c r="AA419" s="26">
        <f>IF(X419="","",X419-IF(W419="",0,W419))</f>
        <v/>
      </c>
      <c r="AB419" s="28">
        <f>IF(OR(X419="",M419=""),"",X419*M419)</f>
        <v/>
      </c>
      <c r="AC419" s="28">
        <f>IF(OR(X419="",N419=""),"",X419*N419)</f>
        <v/>
      </c>
      <c r="AD419" s="28">
        <f>IF(OR(M419="",N419=""),"",N419-M419)</f>
        <v/>
      </c>
      <c r="AE419" s="29">
        <f>IFERROR(IF(M419&gt;0,(N419-M419)/M419,""),"")</f>
        <v/>
      </c>
      <c r="AF419" s="30" t="n"/>
      <c r="AG419" s="30" t="inlineStr">
        <is>
          <t>PENDIENTE</t>
        </is>
      </c>
      <c r="AH419" s="18">
        <f>IF(NOT(OR(B419="EXISTENTE",COUNTA(G419,H419,I419,J419,K419,M419,N419,U419,V419,X419,Y419,Z419,AF419,AJ419)&gt;0)),"",IF(AK419&lt;&gt;"","REVISAR",IF(OR(G419="",H419="",M419="",N419="",O419="",P419="",X419=""),"INCOMPLETO",IF(AI419&lt;&gt;"","REVISAR",IF(AND(AF419&lt;&gt;"",AG419="ESCANEADO"),"LISTO_COMPLETO","LISTO_SIN_BARCODE")))))</f>
        <v/>
      </c>
      <c r="AI419" s="17">
        <f>IF(NOT(OR(B419="EXISTENTE",COUNTA(G419,H419,I419,J419,K419,M419,N419,U419,V419,X419,Y419,Z419,AF419,AJ419)&gt;0)),"",TEXTJOIN(" | ",TRUE,IF(A419="","Falta ID staging",""),IF(COUNTIF($A$5:$A$445,A419)&gt;1,"ID staging duplicado",""),IF(G419="","Falta nombre",""),IF(LEN(G419)&gt;150,"Nombre &gt;150 caracteres",""),IF(H419="","Falta categoría",IF(COUNTIF(CategoriasLista,H419)=0,"Categoría inválida","")),IF(M419="","Falta precio compra",IF(OR(NOT(ISNUMBER(M419)),M419&lt;0),"Precio compra inválido","")),IF(N419="","Falta precio venta",IF(OR(NOT(ISNUMBER(N419)),N419&lt;=0,N419&lt;M419),"Precio venta inválido","")),IF(O419="","Falta stock mínimo",IF(OR(NOT(ISNUMBER(O419)),O419&lt;0,MOD(O419,1)&lt;&gt;0),"Stock mínimo inválido","")),IF(P419="","Falta unidad",IF(COUNTIF(UnidadesLista,P419)=0,"Unidad inválida","")),IF(AND(K419&lt;&gt;"",COUNTIF(ProveedoresLista,K419)=0),"Proveedor no catalogado",""),IF(X419="","Falta cantidad contada",IF(OR(NOT(ISNUMBER(X419)),X419&lt;0,ABS(X419*1000-ROUND(X419*1000,0))&gt;0.0000001),"Cantidad inválida",IF(AND(Q419="NO",MOD(X419,1)&lt;&gt;0),"Cantidad fraccionaria no permitida",""))),IF(AND(R419="SI",OR(NOT(ISNUMBER(S419)),S419&lt;1,MOD(S419,1)&lt;&gt;0)),"Empaque inválido",""),IF(OR(AND(AF419="",AG419="ESCANEADO"),AND(AF419&lt;&gt;"",AG419&lt;&gt;"ESCANEADO")),"Barcode/estado inconsistente",""),IF(AK419&lt;&gt;"",AK419,"")))</f>
        <v/>
      </c>
      <c r="AJ419" s="21" t="n"/>
      <c r="AK419" s="17">
        <f>IF(G419="","",IF(OR(COUNTIFS($G$5:$G$445,G419,$I$5:$I$445,I419,$J$5:$J$445,J419,$P$5:$P$445,P419)&gt;1,AND(AF419&lt;&gt;"",COUNTIF($AF$5:$AF$445,AF419)&gt;1)),"REVISAR_POSIBLE_DUPLICADO",""))</f>
        <v/>
      </c>
    </row>
    <row r="420">
      <c r="A420" s="17" t="inlineStr">
        <is>
          <t>d8dde6d1-f6fc-5754-8c05-1a2343058da5</t>
        </is>
      </c>
      <c r="B420" s="18" t="inlineStr">
        <is>
          <t>NUEVO</t>
        </is>
      </c>
      <c r="C420" s="18" t="inlineStr">
        <is>
          <t>ACTIVO</t>
        </is>
      </c>
      <c r="D420" s="18" t="n"/>
      <c r="E420" s="17" t="n"/>
      <c r="F420" s="17" t="n"/>
      <c r="G420" s="19" t="n"/>
      <c r="H420" s="19" t="n"/>
      <c r="I420" s="20" t="n"/>
      <c r="J420" s="20" t="n"/>
      <c r="K420" s="21" t="n"/>
      <c r="L420" s="18" t="n"/>
      <c r="M420" s="22" t="n"/>
      <c r="N420" s="22" t="n"/>
      <c r="O420" s="23" t="n">
        <v>10</v>
      </c>
      <c r="P420" s="24" t="inlineStr">
        <is>
          <t>UNIDAD</t>
        </is>
      </c>
      <c r="Q420" s="20" t="inlineStr">
        <is>
          <t>NO</t>
        </is>
      </c>
      <c r="R420" s="20" t="inlineStr">
        <is>
          <t>NO</t>
        </is>
      </c>
      <c r="S420" s="25" t="n">
        <v>1</v>
      </c>
      <c r="T420" s="20" t="inlineStr">
        <is>
          <t>NO</t>
        </is>
      </c>
      <c r="U420" s="20" t="n"/>
      <c r="V420" s="21" t="n"/>
      <c r="W420" s="26" t="n"/>
      <c r="X420" s="27" t="n"/>
      <c r="Y420" s="20" t="n"/>
      <c r="Z420" s="20" t="n"/>
      <c r="AA420" s="26">
        <f>IF(X420="","",X420-IF(W420="",0,W420))</f>
        <v/>
      </c>
      <c r="AB420" s="28">
        <f>IF(OR(X420="",M420=""),"",X420*M420)</f>
        <v/>
      </c>
      <c r="AC420" s="28">
        <f>IF(OR(X420="",N420=""),"",X420*N420)</f>
        <v/>
      </c>
      <c r="AD420" s="28">
        <f>IF(OR(M420="",N420=""),"",N420-M420)</f>
        <v/>
      </c>
      <c r="AE420" s="29">
        <f>IFERROR(IF(M420&gt;0,(N420-M420)/M420,""),"")</f>
        <v/>
      </c>
      <c r="AF420" s="30" t="n"/>
      <c r="AG420" s="30" t="inlineStr">
        <is>
          <t>PENDIENTE</t>
        </is>
      </c>
      <c r="AH420" s="18">
        <f>IF(NOT(OR(B420="EXISTENTE",COUNTA(G420,H420,I420,J420,K420,M420,N420,U420,V420,X420,Y420,Z420,AF420,AJ420)&gt;0)),"",IF(AK420&lt;&gt;"","REVISAR",IF(OR(G420="",H420="",M420="",N420="",O420="",P420="",X420=""),"INCOMPLETO",IF(AI420&lt;&gt;"","REVISAR",IF(AND(AF420&lt;&gt;"",AG420="ESCANEADO"),"LISTO_COMPLETO","LISTO_SIN_BARCODE")))))</f>
        <v/>
      </c>
      <c r="AI420" s="17">
        <f>IF(NOT(OR(B420="EXISTENTE",COUNTA(G420,H420,I420,J420,K420,M420,N420,U420,V420,X420,Y420,Z420,AF420,AJ420)&gt;0)),"",TEXTJOIN(" | ",TRUE,IF(A420="","Falta ID staging",""),IF(COUNTIF($A$5:$A$445,A420)&gt;1,"ID staging duplicado",""),IF(G420="","Falta nombre",""),IF(LEN(G420)&gt;150,"Nombre &gt;150 caracteres",""),IF(H420="","Falta categoría",IF(COUNTIF(CategoriasLista,H420)=0,"Categoría inválida","")),IF(M420="","Falta precio compra",IF(OR(NOT(ISNUMBER(M420)),M420&lt;0),"Precio compra inválido","")),IF(N420="","Falta precio venta",IF(OR(NOT(ISNUMBER(N420)),N420&lt;=0,N420&lt;M420),"Precio venta inválido","")),IF(O420="","Falta stock mínimo",IF(OR(NOT(ISNUMBER(O420)),O420&lt;0,MOD(O420,1)&lt;&gt;0),"Stock mínimo inválido","")),IF(P420="","Falta unidad",IF(COUNTIF(UnidadesLista,P420)=0,"Unidad inválida","")),IF(AND(K420&lt;&gt;"",COUNTIF(ProveedoresLista,K420)=0),"Proveedor no catalogado",""),IF(X420="","Falta cantidad contada",IF(OR(NOT(ISNUMBER(X420)),X420&lt;0,ABS(X420*1000-ROUND(X420*1000,0))&gt;0.0000001),"Cantidad inválida",IF(AND(Q420="NO",MOD(X420,1)&lt;&gt;0),"Cantidad fraccionaria no permitida",""))),IF(AND(R420="SI",OR(NOT(ISNUMBER(S420)),S420&lt;1,MOD(S420,1)&lt;&gt;0)),"Empaque inválido",""),IF(OR(AND(AF420="",AG420="ESCANEADO"),AND(AF420&lt;&gt;"",AG420&lt;&gt;"ESCANEADO")),"Barcode/estado inconsistente",""),IF(AK420&lt;&gt;"",AK420,"")))</f>
        <v/>
      </c>
      <c r="AJ420" s="21" t="n"/>
      <c r="AK420" s="17">
        <f>IF(G420="","",IF(OR(COUNTIFS($G$5:$G$445,G420,$I$5:$I$445,I420,$J$5:$J$445,J420,$P$5:$P$445,P420)&gt;1,AND(AF420&lt;&gt;"",COUNTIF($AF$5:$AF$445,AF420)&gt;1)),"REVISAR_POSIBLE_DUPLICADO",""))</f>
        <v/>
      </c>
    </row>
    <row r="421">
      <c r="A421" s="17" t="inlineStr">
        <is>
          <t>410c4425-9f44-52bb-a0a9-e69e54b24bcb</t>
        </is>
      </c>
      <c r="B421" s="18" t="inlineStr">
        <is>
          <t>NUEVO</t>
        </is>
      </c>
      <c r="C421" s="18" t="inlineStr">
        <is>
          <t>ACTIVO</t>
        </is>
      </c>
      <c r="D421" s="18" t="n"/>
      <c r="E421" s="17" t="n"/>
      <c r="F421" s="17" t="n"/>
      <c r="G421" s="19" t="n"/>
      <c r="H421" s="19" t="n"/>
      <c r="I421" s="20" t="n"/>
      <c r="J421" s="20" t="n"/>
      <c r="K421" s="21" t="n"/>
      <c r="L421" s="18" t="n"/>
      <c r="M421" s="22" t="n"/>
      <c r="N421" s="22" t="n"/>
      <c r="O421" s="23" t="n">
        <v>10</v>
      </c>
      <c r="P421" s="24" t="inlineStr">
        <is>
          <t>UNIDAD</t>
        </is>
      </c>
      <c r="Q421" s="20" t="inlineStr">
        <is>
          <t>NO</t>
        </is>
      </c>
      <c r="R421" s="20" t="inlineStr">
        <is>
          <t>NO</t>
        </is>
      </c>
      <c r="S421" s="25" t="n">
        <v>1</v>
      </c>
      <c r="T421" s="20" t="inlineStr">
        <is>
          <t>NO</t>
        </is>
      </c>
      <c r="U421" s="20" t="n"/>
      <c r="V421" s="21" t="n"/>
      <c r="W421" s="26" t="n"/>
      <c r="X421" s="27" t="n"/>
      <c r="Y421" s="20" t="n"/>
      <c r="Z421" s="20" t="n"/>
      <c r="AA421" s="26">
        <f>IF(X421="","",X421-IF(W421="",0,W421))</f>
        <v/>
      </c>
      <c r="AB421" s="28">
        <f>IF(OR(X421="",M421=""),"",X421*M421)</f>
        <v/>
      </c>
      <c r="AC421" s="28">
        <f>IF(OR(X421="",N421=""),"",X421*N421)</f>
        <v/>
      </c>
      <c r="AD421" s="28">
        <f>IF(OR(M421="",N421=""),"",N421-M421)</f>
        <v/>
      </c>
      <c r="AE421" s="29">
        <f>IFERROR(IF(M421&gt;0,(N421-M421)/M421,""),"")</f>
        <v/>
      </c>
      <c r="AF421" s="30" t="n"/>
      <c r="AG421" s="30" t="inlineStr">
        <is>
          <t>PENDIENTE</t>
        </is>
      </c>
      <c r="AH421" s="18">
        <f>IF(NOT(OR(B421="EXISTENTE",COUNTA(G421,H421,I421,J421,K421,M421,N421,U421,V421,X421,Y421,Z421,AF421,AJ421)&gt;0)),"",IF(AK421&lt;&gt;"","REVISAR",IF(OR(G421="",H421="",M421="",N421="",O421="",P421="",X421=""),"INCOMPLETO",IF(AI421&lt;&gt;"","REVISAR",IF(AND(AF421&lt;&gt;"",AG421="ESCANEADO"),"LISTO_COMPLETO","LISTO_SIN_BARCODE")))))</f>
        <v/>
      </c>
      <c r="AI421" s="17">
        <f>IF(NOT(OR(B421="EXISTENTE",COUNTA(G421,H421,I421,J421,K421,M421,N421,U421,V421,X421,Y421,Z421,AF421,AJ421)&gt;0)),"",TEXTJOIN(" | ",TRUE,IF(A421="","Falta ID staging",""),IF(COUNTIF($A$5:$A$445,A421)&gt;1,"ID staging duplicado",""),IF(G421="","Falta nombre",""),IF(LEN(G421)&gt;150,"Nombre &gt;150 caracteres",""),IF(H421="","Falta categoría",IF(COUNTIF(CategoriasLista,H421)=0,"Categoría inválida","")),IF(M421="","Falta precio compra",IF(OR(NOT(ISNUMBER(M421)),M421&lt;0),"Precio compra inválido","")),IF(N421="","Falta precio venta",IF(OR(NOT(ISNUMBER(N421)),N421&lt;=0,N421&lt;M421),"Precio venta inválido","")),IF(O421="","Falta stock mínimo",IF(OR(NOT(ISNUMBER(O421)),O421&lt;0,MOD(O421,1)&lt;&gt;0),"Stock mínimo inválido","")),IF(P421="","Falta unidad",IF(COUNTIF(UnidadesLista,P421)=0,"Unidad inválida","")),IF(AND(K421&lt;&gt;"",COUNTIF(ProveedoresLista,K421)=0),"Proveedor no catalogado",""),IF(X421="","Falta cantidad contada",IF(OR(NOT(ISNUMBER(X421)),X421&lt;0,ABS(X421*1000-ROUND(X421*1000,0))&gt;0.0000001),"Cantidad inválida",IF(AND(Q421="NO",MOD(X421,1)&lt;&gt;0),"Cantidad fraccionaria no permitida",""))),IF(AND(R421="SI",OR(NOT(ISNUMBER(S421)),S421&lt;1,MOD(S421,1)&lt;&gt;0)),"Empaque inválido",""),IF(OR(AND(AF421="",AG421="ESCANEADO"),AND(AF421&lt;&gt;"",AG421&lt;&gt;"ESCANEADO")),"Barcode/estado inconsistente",""),IF(AK421&lt;&gt;"",AK421,"")))</f>
        <v/>
      </c>
      <c r="AJ421" s="21" t="n"/>
      <c r="AK421" s="17">
        <f>IF(G421="","",IF(OR(COUNTIFS($G$5:$G$445,G421,$I$5:$I$445,I421,$J$5:$J$445,J421,$P$5:$P$445,P421)&gt;1,AND(AF421&lt;&gt;"",COUNTIF($AF$5:$AF$445,AF421)&gt;1)),"REVISAR_POSIBLE_DUPLICADO",""))</f>
        <v/>
      </c>
    </row>
    <row r="422">
      <c r="A422" s="17" t="inlineStr">
        <is>
          <t>6aece316-95e2-55a0-832c-387d4b1b8fcc</t>
        </is>
      </c>
      <c r="B422" s="18" t="inlineStr">
        <is>
          <t>NUEVO</t>
        </is>
      </c>
      <c r="C422" s="18" t="inlineStr">
        <is>
          <t>ACTIVO</t>
        </is>
      </c>
      <c r="D422" s="18" t="n"/>
      <c r="E422" s="17" t="n"/>
      <c r="F422" s="17" t="n"/>
      <c r="G422" s="19" t="n"/>
      <c r="H422" s="19" t="n"/>
      <c r="I422" s="20" t="n"/>
      <c r="J422" s="20" t="n"/>
      <c r="K422" s="21" t="n"/>
      <c r="L422" s="18" t="n"/>
      <c r="M422" s="22" t="n"/>
      <c r="N422" s="22" t="n"/>
      <c r="O422" s="23" t="n">
        <v>10</v>
      </c>
      <c r="P422" s="24" t="inlineStr">
        <is>
          <t>UNIDAD</t>
        </is>
      </c>
      <c r="Q422" s="20" t="inlineStr">
        <is>
          <t>NO</t>
        </is>
      </c>
      <c r="R422" s="20" t="inlineStr">
        <is>
          <t>NO</t>
        </is>
      </c>
      <c r="S422" s="25" t="n">
        <v>1</v>
      </c>
      <c r="T422" s="20" t="inlineStr">
        <is>
          <t>NO</t>
        </is>
      </c>
      <c r="U422" s="20" t="n"/>
      <c r="V422" s="21" t="n"/>
      <c r="W422" s="26" t="n"/>
      <c r="X422" s="27" t="n"/>
      <c r="Y422" s="20" t="n"/>
      <c r="Z422" s="20" t="n"/>
      <c r="AA422" s="26">
        <f>IF(X422="","",X422-IF(W422="",0,W422))</f>
        <v/>
      </c>
      <c r="AB422" s="28">
        <f>IF(OR(X422="",M422=""),"",X422*M422)</f>
        <v/>
      </c>
      <c r="AC422" s="28">
        <f>IF(OR(X422="",N422=""),"",X422*N422)</f>
        <v/>
      </c>
      <c r="AD422" s="28">
        <f>IF(OR(M422="",N422=""),"",N422-M422)</f>
        <v/>
      </c>
      <c r="AE422" s="29">
        <f>IFERROR(IF(M422&gt;0,(N422-M422)/M422,""),"")</f>
        <v/>
      </c>
      <c r="AF422" s="30" t="n"/>
      <c r="AG422" s="30" t="inlineStr">
        <is>
          <t>PENDIENTE</t>
        </is>
      </c>
      <c r="AH422" s="18">
        <f>IF(NOT(OR(B422="EXISTENTE",COUNTA(G422,H422,I422,J422,K422,M422,N422,U422,V422,X422,Y422,Z422,AF422,AJ422)&gt;0)),"",IF(AK422&lt;&gt;"","REVISAR",IF(OR(G422="",H422="",M422="",N422="",O422="",P422="",X422=""),"INCOMPLETO",IF(AI422&lt;&gt;"","REVISAR",IF(AND(AF422&lt;&gt;"",AG422="ESCANEADO"),"LISTO_COMPLETO","LISTO_SIN_BARCODE")))))</f>
        <v/>
      </c>
      <c r="AI422" s="17">
        <f>IF(NOT(OR(B422="EXISTENTE",COUNTA(G422,H422,I422,J422,K422,M422,N422,U422,V422,X422,Y422,Z422,AF422,AJ422)&gt;0)),"",TEXTJOIN(" | ",TRUE,IF(A422="","Falta ID staging",""),IF(COUNTIF($A$5:$A$445,A422)&gt;1,"ID staging duplicado",""),IF(G422="","Falta nombre",""),IF(LEN(G422)&gt;150,"Nombre &gt;150 caracteres",""),IF(H422="","Falta categoría",IF(COUNTIF(CategoriasLista,H422)=0,"Categoría inválida","")),IF(M422="","Falta precio compra",IF(OR(NOT(ISNUMBER(M422)),M422&lt;0),"Precio compra inválido","")),IF(N422="","Falta precio venta",IF(OR(NOT(ISNUMBER(N422)),N422&lt;=0,N422&lt;M422),"Precio venta inválido","")),IF(O422="","Falta stock mínimo",IF(OR(NOT(ISNUMBER(O422)),O422&lt;0,MOD(O422,1)&lt;&gt;0),"Stock mínimo inválido","")),IF(P422="","Falta unidad",IF(COUNTIF(UnidadesLista,P422)=0,"Unidad inválida","")),IF(AND(K422&lt;&gt;"",COUNTIF(ProveedoresLista,K422)=0),"Proveedor no catalogado",""),IF(X422="","Falta cantidad contada",IF(OR(NOT(ISNUMBER(X422)),X422&lt;0,ABS(X422*1000-ROUND(X422*1000,0))&gt;0.0000001),"Cantidad inválida",IF(AND(Q422="NO",MOD(X422,1)&lt;&gt;0),"Cantidad fraccionaria no permitida",""))),IF(AND(R422="SI",OR(NOT(ISNUMBER(S422)),S422&lt;1,MOD(S422,1)&lt;&gt;0)),"Empaque inválido",""),IF(OR(AND(AF422="",AG422="ESCANEADO"),AND(AF422&lt;&gt;"",AG422&lt;&gt;"ESCANEADO")),"Barcode/estado inconsistente",""),IF(AK422&lt;&gt;"",AK422,"")))</f>
        <v/>
      </c>
      <c r="AJ422" s="21" t="n"/>
      <c r="AK422" s="17">
        <f>IF(G422="","",IF(OR(COUNTIFS($G$5:$G$445,G422,$I$5:$I$445,I422,$J$5:$J$445,J422,$P$5:$P$445,P422)&gt;1,AND(AF422&lt;&gt;"",COUNTIF($AF$5:$AF$445,AF422)&gt;1)),"REVISAR_POSIBLE_DUPLICADO",""))</f>
        <v/>
      </c>
    </row>
    <row r="423">
      <c r="A423" s="17" t="inlineStr">
        <is>
          <t>8fbe1a55-de3c-5b18-b1d5-8157782dc2c4</t>
        </is>
      </c>
      <c r="B423" s="18" t="inlineStr">
        <is>
          <t>NUEVO</t>
        </is>
      </c>
      <c r="C423" s="18" t="inlineStr">
        <is>
          <t>ACTIVO</t>
        </is>
      </c>
      <c r="D423" s="18" t="n"/>
      <c r="E423" s="17" t="n"/>
      <c r="F423" s="17" t="n"/>
      <c r="G423" s="19" t="n"/>
      <c r="H423" s="19" t="n"/>
      <c r="I423" s="20" t="n"/>
      <c r="J423" s="20" t="n"/>
      <c r="K423" s="21" t="n"/>
      <c r="L423" s="18" t="n"/>
      <c r="M423" s="22" t="n"/>
      <c r="N423" s="22" t="n"/>
      <c r="O423" s="23" t="n">
        <v>10</v>
      </c>
      <c r="P423" s="24" t="inlineStr">
        <is>
          <t>UNIDAD</t>
        </is>
      </c>
      <c r="Q423" s="20" t="inlineStr">
        <is>
          <t>NO</t>
        </is>
      </c>
      <c r="R423" s="20" t="inlineStr">
        <is>
          <t>NO</t>
        </is>
      </c>
      <c r="S423" s="25" t="n">
        <v>1</v>
      </c>
      <c r="T423" s="20" t="inlineStr">
        <is>
          <t>NO</t>
        </is>
      </c>
      <c r="U423" s="20" t="n"/>
      <c r="V423" s="21" t="n"/>
      <c r="W423" s="26" t="n"/>
      <c r="X423" s="27" t="n"/>
      <c r="Y423" s="20" t="n"/>
      <c r="Z423" s="20" t="n"/>
      <c r="AA423" s="26">
        <f>IF(X423="","",X423-IF(W423="",0,W423))</f>
        <v/>
      </c>
      <c r="AB423" s="28">
        <f>IF(OR(X423="",M423=""),"",X423*M423)</f>
        <v/>
      </c>
      <c r="AC423" s="28">
        <f>IF(OR(X423="",N423=""),"",X423*N423)</f>
        <v/>
      </c>
      <c r="AD423" s="28">
        <f>IF(OR(M423="",N423=""),"",N423-M423)</f>
        <v/>
      </c>
      <c r="AE423" s="29">
        <f>IFERROR(IF(M423&gt;0,(N423-M423)/M423,""),"")</f>
        <v/>
      </c>
      <c r="AF423" s="30" t="n"/>
      <c r="AG423" s="30" t="inlineStr">
        <is>
          <t>PENDIENTE</t>
        </is>
      </c>
      <c r="AH423" s="18">
        <f>IF(NOT(OR(B423="EXISTENTE",COUNTA(G423,H423,I423,J423,K423,M423,N423,U423,V423,X423,Y423,Z423,AF423,AJ423)&gt;0)),"",IF(AK423&lt;&gt;"","REVISAR",IF(OR(G423="",H423="",M423="",N423="",O423="",P423="",X423=""),"INCOMPLETO",IF(AI423&lt;&gt;"","REVISAR",IF(AND(AF423&lt;&gt;"",AG423="ESCANEADO"),"LISTO_COMPLETO","LISTO_SIN_BARCODE")))))</f>
        <v/>
      </c>
      <c r="AI423" s="17">
        <f>IF(NOT(OR(B423="EXISTENTE",COUNTA(G423,H423,I423,J423,K423,M423,N423,U423,V423,X423,Y423,Z423,AF423,AJ423)&gt;0)),"",TEXTJOIN(" | ",TRUE,IF(A423="","Falta ID staging",""),IF(COUNTIF($A$5:$A$445,A423)&gt;1,"ID staging duplicado",""),IF(G423="","Falta nombre",""),IF(LEN(G423)&gt;150,"Nombre &gt;150 caracteres",""),IF(H423="","Falta categoría",IF(COUNTIF(CategoriasLista,H423)=0,"Categoría inválida","")),IF(M423="","Falta precio compra",IF(OR(NOT(ISNUMBER(M423)),M423&lt;0),"Precio compra inválido","")),IF(N423="","Falta precio venta",IF(OR(NOT(ISNUMBER(N423)),N423&lt;=0,N423&lt;M423),"Precio venta inválido","")),IF(O423="","Falta stock mínimo",IF(OR(NOT(ISNUMBER(O423)),O423&lt;0,MOD(O423,1)&lt;&gt;0),"Stock mínimo inválido","")),IF(P423="","Falta unidad",IF(COUNTIF(UnidadesLista,P423)=0,"Unidad inválida","")),IF(AND(K423&lt;&gt;"",COUNTIF(ProveedoresLista,K423)=0),"Proveedor no catalogado",""),IF(X423="","Falta cantidad contada",IF(OR(NOT(ISNUMBER(X423)),X423&lt;0,ABS(X423*1000-ROUND(X423*1000,0))&gt;0.0000001),"Cantidad inválida",IF(AND(Q423="NO",MOD(X423,1)&lt;&gt;0),"Cantidad fraccionaria no permitida",""))),IF(AND(R423="SI",OR(NOT(ISNUMBER(S423)),S423&lt;1,MOD(S423,1)&lt;&gt;0)),"Empaque inválido",""),IF(OR(AND(AF423="",AG423="ESCANEADO"),AND(AF423&lt;&gt;"",AG423&lt;&gt;"ESCANEADO")),"Barcode/estado inconsistente",""),IF(AK423&lt;&gt;"",AK423,"")))</f>
        <v/>
      </c>
      <c r="AJ423" s="21" t="n"/>
      <c r="AK423" s="17">
        <f>IF(G423="","",IF(OR(COUNTIFS($G$5:$G$445,G423,$I$5:$I$445,I423,$J$5:$J$445,J423,$P$5:$P$445,P423)&gt;1,AND(AF423&lt;&gt;"",COUNTIF($AF$5:$AF$445,AF423)&gt;1)),"REVISAR_POSIBLE_DUPLICADO",""))</f>
        <v/>
      </c>
    </row>
    <row r="424">
      <c r="A424" s="17" t="inlineStr">
        <is>
          <t>6df75361-2e37-5df6-b0c9-b19a01f50f03</t>
        </is>
      </c>
      <c r="B424" s="18" t="inlineStr">
        <is>
          <t>NUEVO</t>
        </is>
      </c>
      <c r="C424" s="18" t="inlineStr">
        <is>
          <t>ACTIVO</t>
        </is>
      </c>
      <c r="D424" s="18" t="n"/>
      <c r="E424" s="17" t="n"/>
      <c r="F424" s="17" t="n"/>
      <c r="G424" s="19" t="n"/>
      <c r="H424" s="19" t="n"/>
      <c r="I424" s="20" t="n"/>
      <c r="J424" s="20" t="n"/>
      <c r="K424" s="21" t="n"/>
      <c r="L424" s="18" t="n"/>
      <c r="M424" s="22" t="n"/>
      <c r="N424" s="22" t="n"/>
      <c r="O424" s="23" t="n">
        <v>10</v>
      </c>
      <c r="P424" s="24" t="inlineStr">
        <is>
          <t>UNIDAD</t>
        </is>
      </c>
      <c r="Q424" s="20" t="inlineStr">
        <is>
          <t>NO</t>
        </is>
      </c>
      <c r="R424" s="20" t="inlineStr">
        <is>
          <t>NO</t>
        </is>
      </c>
      <c r="S424" s="25" t="n">
        <v>1</v>
      </c>
      <c r="T424" s="20" t="inlineStr">
        <is>
          <t>NO</t>
        </is>
      </c>
      <c r="U424" s="20" t="n"/>
      <c r="V424" s="21" t="n"/>
      <c r="W424" s="26" t="n"/>
      <c r="X424" s="27" t="n"/>
      <c r="Y424" s="20" t="n"/>
      <c r="Z424" s="20" t="n"/>
      <c r="AA424" s="26">
        <f>IF(X424="","",X424-IF(W424="",0,W424))</f>
        <v/>
      </c>
      <c r="AB424" s="28">
        <f>IF(OR(X424="",M424=""),"",X424*M424)</f>
        <v/>
      </c>
      <c r="AC424" s="28">
        <f>IF(OR(X424="",N424=""),"",X424*N424)</f>
        <v/>
      </c>
      <c r="AD424" s="28">
        <f>IF(OR(M424="",N424=""),"",N424-M424)</f>
        <v/>
      </c>
      <c r="AE424" s="29">
        <f>IFERROR(IF(M424&gt;0,(N424-M424)/M424,""),"")</f>
        <v/>
      </c>
      <c r="AF424" s="30" t="n"/>
      <c r="AG424" s="30" t="inlineStr">
        <is>
          <t>PENDIENTE</t>
        </is>
      </c>
      <c r="AH424" s="18">
        <f>IF(NOT(OR(B424="EXISTENTE",COUNTA(G424,H424,I424,J424,K424,M424,N424,U424,V424,X424,Y424,Z424,AF424,AJ424)&gt;0)),"",IF(AK424&lt;&gt;"","REVISAR",IF(OR(G424="",H424="",M424="",N424="",O424="",P424="",X424=""),"INCOMPLETO",IF(AI424&lt;&gt;"","REVISAR",IF(AND(AF424&lt;&gt;"",AG424="ESCANEADO"),"LISTO_COMPLETO","LISTO_SIN_BARCODE")))))</f>
        <v/>
      </c>
      <c r="AI424" s="17">
        <f>IF(NOT(OR(B424="EXISTENTE",COUNTA(G424,H424,I424,J424,K424,M424,N424,U424,V424,X424,Y424,Z424,AF424,AJ424)&gt;0)),"",TEXTJOIN(" | ",TRUE,IF(A424="","Falta ID staging",""),IF(COUNTIF($A$5:$A$445,A424)&gt;1,"ID staging duplicado",""),IF(G424="","Falta nombre",""),IF(LEN(G424)&gt;150,"Nombre &gt;150 caracteres",""),IF(H424="","Falta categoría",IF(COUNTIF(CategoriasLista,H424)=0,"Categoría inválida","")),IF(M424="","Falta precio compra",IF(OR(NOT(ISNUMBER(M424)),M424&lt;0),"Precio compra inválido","")),IF(N424="","Falta precio venta",IF(OR(NOT(ISNUMBER(N424)),N424&lt;=0,N424&lt;M424),"Precio venta inválido","")),IF(O424="","Falta stock mínimo",IF(OR(NOT(ISNUMBER(O424)),O424&lt;0,MOD(O424,1)&lt;&gt;0),"Stock mínimo inválido","")),IF(P424="","Falta unidad",IF(COUNTIF(UnidadesLista,P424)=0,"Unidad inválida","")),IF(AND(K424&lt;&gt;"",COUNTIF(ProveedoresLista,K424)=0),"Proveedor no catalogado",""),IF(X424="","Falta cantidad contada",IF(OR(NOT(ISNUMBER(X424)),X424&lt;0,ABS(X424*1000-ROUND(X424*1000,0))&gt;0.0000001),"Cantidad inválida",IF(AND(Q424="NO",MOD(X424,1)&lt;&gt;0),"Cantidad fraccionaria no permitida",""))),IF(AND(R424="SI",OR(NOT(ISNUMBER(S424)),S424&lt;1,MOD(S424,1)&lt;&gt;0)),"Empaque inválido",""),IF(OR(AND(AF424="",AG424="ESCANEADO"),AND(AF424&lt;&gt;"",AG424&lt;&gt;"ESCANEADO")),"Barcode/estado inconsistente",""),IF(AK424&lt;&gt;"",AK424,"")))</f>
        <v/>
      </c>
      <c r="AJ424" s="21" t="n"/>
      <c r="AK424" s="17">
        <f>IF(G424="","",IF(OR(COUNTIFS($G$5:$G$445,G424,$I$5:$I$445,I424,$J$5:$J$445,J424,$P$5:$P$445,P424)&gt;1,AND(AF424&lt;&gt;"",COUNTIF($AF$5:$AF$445,AF424)&gt;1)),"REVISAR_POSIBLE_DUPLICADO",""))</f>
        <v/>
      </c>
    </row>
    <row r="425">
      <c r="A425" s="17" t="inlineStr">
        <is>
          <t>2937430d-fb2d-596a-8b8a-5cefd333e9d6</t>
        </is>
      </c>
      <c r="B425" s="18" t="inlineStr">
        <is>
          <t>NUEVO</t>
        </is>
      </c>
      <c r="C425" s="18" t="inlineStr">
        <is>
          <t>ACTIVO</t>
        </is>
      </c>
      <c r="D425" s="18" t="n"/>
      <c r="E425" s="17" t="n"/>
      <c r="F425" s="17" t="n"/>
      <c r="G425" s="19" t="n"/>
      <c r="H425" s="19" t="n"/>
      <c r="I425" s="20" t="n"/>
      <c r="J425" s="20" t="n"/>
      <c r="K425" s="21" t="n"/>
      <c r="L425" s="18" t="n"/>
      <c r="M425" s="22" t="n"/>
      <c r="N425" s="22" t="n"/>
      <c r="O425" s="23" t="n">
        <v>10</v>
      </c>
      <c r="P425" s="24" t="inlineStr">
        <is>
          <t>UNIDAD</t>
        </is>
      </c>
      <c r="Q425" s="20" t="inlineStr">
        <is>
          <t>NO</t>
        </is>
      </c>
      <c r="R425" s="20" t="inlineStr">
        <is>
          <t>NO</t>
        </is>
      </c>
      <c r="S425" s="25" t="n">
        <v>1</v>
      </c>
      <c r="T425" s="20" t="inlineStr">
        <is>
          <t>NO</t>
        </is>
      </c>
      <c r="U425" s="20" t="n"/>
      <c r="V425" s="21" t="n"/>
      <c r="W425" s="26" t="n"/>
      <c r="X425" s="27" t="n"/>
      <c r="Y425" s="20" t="n"/>
      <c r="Z425" s="20" t="n"/>
      <c r="AA425" s="26">
        <f>IF(X425="","",X425-IF(W425="",0,W425))</f>
        <v/>
      </c>
      <c r="AB425" s="28">
        <f>IF(OR(X425="",M425=""),"",X425*M425)</f>
        <v/>
      </c>
      <c r="AC425" s="28">
        <f>IF(OR(X425="",N425=""),"",X425*N425)</f>
        <v/>
      </c>
      <c r="AD425" s="28">
        <f>IF(OR(M425="",N425=""),"",N425-M425)</f>
        <v/>
      </c>
      <c r="AE425" s="29">
        <f>IFERROR(IF(M425&gt;0,(N425-M425)/M425,""),"")</f>
        <v/>
      </c>
      <c r="AF425" s="30" t="n"/>
      <c r="AG425" s="30" t="inlineStr">
        <is>
          <t>PENDIENTE</t>
        </is>
      </c>
      <c r="AH425" s="18">
        <f>IF(NOT(OR(B425="EXISTENTE",COUNTA(G425,H425,I425,J425,K425,M425,N425,U425,V425,X425,Y425,Z425,AF425,AJ425)&gt;0)),"",IF(AK425&lt;&gt;"","REVISAR",IF(OR(G425="",H425="",M425="",N425="",O425="",P425="",X425=""),"INCOMPLETO",IF(AI425&lt;&gt;"","REVISAR",IF(AND(AF425&lt;&gt;"",AG425="ESCANEADO"),"LISTO_COMPLETO","LISTO_SIN_BARCODE")))))</f>
        <v/>
      </c>
      <c r="AI425" s="17">
        <f>IF(NOT(OR(B425="EXISTENTE",COUNTA(G425,H425,I425,J425,K425,M425,N425,U425,V425,X425,Y425,Z425,AF425,AJ425)&gt;0)),"",TEXTJOIN(" | ",TRUE,IF(A425="","Falta ID staging",""),IF(COUNTIF($A$5:$A$445,A425)&gt;1,"ID staging duplicado",""),IF(G425="","Falta nombre",""),IF(LEN(G425)&gt;150,"Nombre &gt;150 caracteres",""),IF(H425="","Falta categoría",IF(COUNTIF(CategoriasLista,H425)=0,"Categoría inválida","")),IF(M425="","Falta precio compra",IF(OR(NOT(ISNUMBER(M425)),M425&lt;0),"Precio compra inválido","")),IF(N425="","Falta precio venta",IF(OR(NOT(ISNUMBER(N425)),N425&lt;=0,N425&lt;M425),"Precio venta inválido","")),IF(O425="","Falta stock mínimo",IF(OR(NOT(ISNUMBER(O425)),O425&lt;0,MOD(O425,1)&lt;&gt;0),"Stock mínimo inválido","")),IF(P425="","Falta unidad",IF(COUNTIF(UnidadesLista,P425)=0,"Unidad inválida","")),IF(AND(K425&lt;&gt;"",COUNTIF(ProveedoresLista,K425)=0),"Proveedor no catalogado",""),IF(X425="","Falta cantidad contada",IF(OR(NOT(ISNUMBER(X425)),X425&lt;0,ABS(X425*1000-ROUND(X425*1000,0))&gt;0.0000001),"Cantidad inválida",IF(AND(Q425="NO",MOD(X425,1)&lt;&gt;0),"Cantidad fraccionaria no permitida",""))),IF(AND(R425="SI",OR(NOT(ISNUMBER(S425)),S425&lt;1,MOD(S425,1)&lt;&gt;0)),"Empaque inválido",""),IF(OR(AND(AF425="",AG425="ESCANEADO"),AND(AF425&lt;&gt;"",AG425&lt;&gt;"ESCANEADO")),"Barcode/estado inconsistente",""),IF(AK425&lt;&gt;"",AK425,"")))</f>
        <v/>
      </c>
      <c r="AJ425" s="21" t="n"/>
      <c r="AK425" s="17">
        <f>IF(G425="","",IF(OR(COUNTIFS($G$5:$G$445,G425,$I$5:$I$445,I425,$J$5:$J$445,J425,$P$5:$P$445,P425)&gt;1,AND(AF425&lt;&gt;"",COUNTIF($AF$5:$AF$445,AF425)&gt;1)),"REVISAR_POSIBLE_DUPLICADO",""))</f>
        <v/>
      </c>
    </row>
    <row r="426">
      <c r="A426" s="17" t="inlineStr">
        <is>
          <t>dc54eec5-3f61-5f9f-926c-a318d65777e1</t>
        </is>
      </c>
      <c r="B426" s="18" t="inlineStr">
        <is>
          <t>NUEVO</t>
        </is>
      </c>
      <c r="C426" s="18" t="inlineStr">
        <is>
          <t>ACTIVO</t>
        </is>
      </c>
      <c r="D426" s="18" t="n"/>
      <c r="E426" s="17" t="n"/>
      <c r="F426" s="17" t="n"/>
      <c r="G426" s="19" t="n"/>
      <c r="H426" s="19" t="n"/>
      <c r="I426" s="20" t="n"/>
      <c r="J426" s="20" t="n"/>
      <c r="K426" s="21" t="n"/>
      <c r="L426" s="18" t="n"/>
      <c r="M426" s="22" t="n"/>
      <c r="N426" s="22" t="n"/>
      <c r="O426" s="23" t="n">
        <v>10</v>
      </c>
      <c r="P426" s="24" t="inlineStr">
        <is>
          <t>UNIDAD</t>
        </is>
      </c>
      <c r="Q426" s="20" t="inlineStr">
        <is>
          <t>NO</t>
        </is>
      </c>
      <c r="R426" s="20" t="inlineStr">
        <is>
          <t>NO</t>
        </is>
      </c>
      <c r="S426" s="25" t="n">
        <v>1</v>
      </c>
      <c r="T426" s="20" t="inlineStr">
        <is>
          <t>NO</t>
        </is>
      </c>
      <c r="U426" s="20" t="n"/>
      <c r="V426" s="21" t="n"/>
      <c r="W426" s="26" t="n"/>
      <c r="X426" s="27" t="n"/>
      <c r="Y426" s="20" t="n"/>
      <c r="Z426" s="20" t="n"/>
      <c r="AA426" s="26">
        <f>IF(X426="","",X426-IF(W426="",0,W426))</f>
        <v/>
      </c>
      <c r="AB426" s="28">
        <f>IF(OR(X426="",M426=""),"",X426*M426)</f>
        <v/>
      </c>
      <c r="AC426" s="28">
        <f>IF(OR(X426="",N426=""),"",X426*N426)</f>
        <v/>
      </c>
      <c r="AD426" s="28">
        <f>IF(OR(M426="",N426=""),"",N426-M426)</f>
        <v/>
      </c>
      <c r="AE426" s="29">
        <f>IFERROR(IF(M426&gt;0,(N426-M426)/M426,""),"")</f>
        <v/>
      </c>
      <c r="AF426" s="30" t="n"/>
      <c r="AG426" s="30" t="inlineStr">
        <is>
          <t>PENDIENTE</t>
        </is>
      </c>
      <c r="AH426" s="18">
        <f>IF(NOT(OR(B426="EXISTENTE",COUNTA(G426,H426,I426,J426,K426,M426,N426,U426,V426,X426,Y426,Z426,AF426,AJ426)&gt;0)),"",IF(AK426&lt;&gt;"","REVISAR",IF(OR(G426="",H426="",M426="",N426="",O426="",P426="",X426=""),"INCOMPLETO",IF(AI426&lt;&gt;"","REVISAR",IF(AND(AF426&lt;&gt;"",AG426="ESCANEADO"),"LISTO_COMPLETO","LISTO_SIN_BARCODE")))))</f>
        <v/>
      </c>
      <c r="AI426" s="17">
        <f>IF(NOT(OR(B426="EXISTENTE",COUNTA(G426,H426,I426,J426,K426,M426,N426,U426,V426,X426,Y426,Z426,AF426,AJ426)&gt;0)),"",TEXTJOIN(" | ",TRUE,IF(A426="","Falta ID staging",""),IF(COUNTIF($A$5:$A$445,A426)&gt;1,"ID staging duplicado",""),IF(G426="","Falta nombre",""),IF(LEN(G426)&gt;150,"Nombre &gt;150 caracteres",""),IF(H426="","Falta categoría",IF(COUNTIF(CategoriasLista,H426)=0,"Categoría inválida","")),IF(M426="","Falta precio compra",IF(OR(NOT(ISNUMBER(M426)),M426&lt;0),"Precio compra inválido","")),IF(N426="","Falta precio venta",IF(OR(NOT(ISNUMBER(N426)),N426&lt;=0,N426&lt;M426),"Precio venta inválido","")),IF(O426="","Falta stock mínimo",IF(OR(NOT(ISNUMBER(O426)),O426&lt;0,MOD(O426,1)&lt;&gt;0),"Stock mínimo inválido","")),IF(P426="","Falta unidad",IF(COUNTIF(UnidadesLista,P426)=0,"Unidad inválida","")),IF(AND(K426&lt;&gt;"",COUNTIF(ProveedoresLista,K426)=0),"Proveedor no catalogado",""),IF(X426="","Falta cantidad contada",IF(OR(NOT(ISNUMBER(X426)),X426&lt;0,ABS(X426*1000-ROUND(X426*1000,0))&gt;0.0000001),"Cantidad inválida",IF(AND(Q426="NO",MOD(X426,1)&lt;&gt;0),"Cantidad fraccionaria no permitida",""))),IF(AND(R426="SI",OR(NOT(ISNUMBER(S426)),S426&lt;1,MOD(S426,1)&lt;&gt;0)),"Empaque inválido",""),IF(OR(AND(AF426="",AG426="ESCANEADO"),AND(AF426&lt;&gt;"",AG426&lt;&gt;"ESCANEADO")),"Barcode/estado inconsistente",""),IF(AK426&lt;&gt;"",AK426,"")))</f>
        <v/>
      </c>
      <c r="AJ426" s="21" t="n"/>
      <c r="AK426" s="17">
        <f>IF(G426="","",IF(OR(COUNTIFS($G$5:$G$445,G426,$I$5:$I$445,I426,$J$5:$J$445,J426,$P$5:$P$445,P426)&gt;1,AND(AF426&lt;&gt;"",COUNTIF($AF$5:$AF$445,AF426)&gt;1)),"REVISAR_POSIBLE_DUPLICADO",""))</f>
        <v/>
      </c>
    </row>
    <row r="427">
      <c r="A427" s="17" t="inlineStr">
        <is>
          <t>bc129492-4eea-569a-a39a-7bb4bea89e40</t>
        </is>
      </c>
      <c r="B427" s="18" t="inlineStr">
        <is>
          <t>NUEVO</t>
        </is>
      </c>
      <c r="C427" s="18" t="inlineStr">
        <is>
          <t>ACTIVO</t>
        </is>
      </c>
      <c r="D427" s="18" t="n"/>
      <c r="E427" s="17" t="n"/>
      <c r="F427" s="17" t="n"/>
      <c r="G427" s="19" t="n"/>
      <c r="H427" s="19" t="n"/>
      <c r="I427" s="20" t="n"/>
      <c r="J427" s="20" t="n"/>
      <c r="K427" s="21" t="n"/>
      <c r="L427" s="18" t="n"/>
      <c r="M427" s="22" t="n"/>
      <c r="N427" s="22" t="n"/>
      <c r="O427" s="23" t="n">
        <v>10</v>
      </c>
      <c r="P427" s="24" t="inlineStr">
        <is>
          <t>UNIDAD</t>
        </is>
      </c>
      <c r="Q427" s="20" t="inlineStr">
        <is>
          <t>NO</t>
        </is>
      </c>
      <c r="R427" s="20" t="inlineStr">
        <is>
          <t>NO</t>
        </is>
      </c>
      <c r="S427" s="25" t="n">
        <v>1</v>
      </c>
      <c r="T427" s="20" t="inlineStr">
        <is>
          <t>NO</t>
        </is>
      </c>
      <c r="U427" s="20" t="n"/>
      <c r="V427" s="21" t="n"/>
      <c r="W427" s="26" t="n"/>
      <c r="X427" s="27" t="n"/>
      <c r="Y427" s="20" t="n"/>
      <c r="Z427" s="20" t="n"/>
      <c r="AA427" s="26">
        <f>IF(X427="","",X427-IF(W427="",0,W427))</f>
        <v/>
      </c>
      <c r="AB427" s="28">
        <f>IF(OR(X427="",M427=""),"",X427*M427)</f>
        <v/>
      </c>
      <c r="AC427" s="28">
        <f>IF(OR(X427="",N427=""),"",X427*N427)</f>
        <v/>
      </c>
      <c r="AD427" s="28">
        <f>IF(OR(M427="",N427=""),"",N427-M427)</f>
        <v/>
      </c>
      <c r="AE427" s="29">
        <f>IFERROR(IF(M427&gt;0,(N427-M427)/M427,""),"")</f>
        <v/>
      </c>
      <c r="AF427" s="30" t="n"/>
      <c r="AG427" s="30" t="inlineStr">
        <is>
          <t>PENDIENTE</t>
        </is>
      </c>
      <c r="AH427" s="18">
        <f>IF(NOT(OR(B427="EXISTENTE",COUNTA(G427,H427,I427,J427,K427,M427,N427,U427,V427,X427,Y427,Z427,AF427,AJ427)&gt;0)),"",IF(AK427&lt;&gt;"","REVISAR",IF(OR(G427="",H427="",M427="",N427="",O427="",P427="",X427=""),"INCOMPLETO",IF(AI427&lt;&gt;"","REVISAR",IF(AND(AF427&lt;&gt;"",AG427="ESCANEADO"),"LISTO_COMPLETO","LISTO_SIN_BARCODE")))))</f>
        <v/>
      </c>
      <c r="AI427" s="17">
        <f>IF(NOT(OR(B427="EXISTENTE",COUNTA(G427,H427,I427,J427,K427,M427,N427,U427,V427,X427,Y427,Z427,AF427,AJ427)&gt;0)),"",TEXTJOIN(" | ",TRUE,IF(A427="","Falta ID staging",""),IF(COUNTIF($A$5:$A$445,A427)&gt;1,"ID staging duplicado",""),IF(G427="","Falta nombre",""),IF(LEN(G427)&gt;150,"Nombre &gt;150 caracteres",""),IF(H427="","Falta categoría",IF(COUNTIF(CategoriasLista,H427)=0,"Categoría inválida","")),IF(M427="","Falta precio compra",IF(OR(NOT(ISNUMBER(M427)),M427&lt;0),"Precio compra inválido","")),IF(N427="","Falta precio venta",IF(OR(NOT(ISNUMBER(N427)),N427&lt;=0,N427&lt;M427),"Precio venta inválido","")),IF(O427="","Falta stock mínimo",IF(OR(NOT(ISNUMBER(O427)),O427&lt;0,MOD(O427,1)&lt;&gt;0),"Stock mínimo inválido","")),IF(P427="","Falta unidad",IF(COUNTIF(UnidadesLista,P427)=0,"Unidad inválida","")),IF(AND(K427&lt;&gt;"",COUNTIF(ProveedoresLista,K427)=0),"Proveedor no catalogado",""),IF(X427="","Falta cantidad contada",IF(OR(NOT(ISNUMBER(X427)),X427&lt;0,ABS(X427*1000-ROUND(X427*1000,0))&gt;0.0000001),"Cantidad inválida",IF(AND(Q427="NO",MOD(X427,1)&lt;&gt;0),"Cantidad fraccionaria no permitida",""))),IF(AND(R427="SI",OR(NOT(ISNUMBER(S427)),S427&lt;1,MOD(S427,1)&lt;&gt;0)),"Empaque inválido",""),IF(OR(AND(AF427="",AG427="ESCANEADO"),AND(AF427&lt;&gt;"",AG427&lt;&gt;"ESCANEADO")),"Barcode/estado inconsistente",""),IF(AK427&lt;&gt;"",AK427,"")))</f>
        <v/>
      </c>
      <c r="AJ427" s="21" t="n"/>
      <c r="AK427" s="17">
        <f>IF(G427="","",IF(OR(COUNTIFS($G$5:$G$445,G427,$I$5:$I$445,I427,$J$5:$J$445,J427,$P$5:$P$445,P427)&gt;1,AND(AF427&lt;&gt;"",COUNTIF($AF$5:$AF$445,AF427)&gt;1)),"REVISAR_POSIBLE_DUPLICADO",""))</f>
        <v/>
      </c>
    </row>
    <row r="428">
      <c r="A428" s="17" t="inlineStr">
        <is>
          <t>2469b2f1-cb56-5c9c-aa41-cc58ad64d898</t>
        </is>
      </c>
      <c r="B428" s="18" t="inlineStr">
        <is>
          <t>NUEVO</t>
        </is>
      </c>
      <c r="C428" s="18" t="inlineStr">
        <is>
          <t>ACTIVO</t>
        </is>
      </c>
      <c r="D428" s="18" t="n"/>
      <c r="E428" s="17" t="n"/>
      <c r="F428" s="17" t="n"/>
      <c r="G428" s="19" t="n"/>
      <c r="H428" s="19" t="n"/>
      <c r="I428" s="20" t="n"/>
      <c r="J428" s="20" t="n"/>
      <c r="K428" s="21" t="n"/>
      <c r="L428" s="18" t="n"/>
      <c r="M428" s="22" t="n"/>
      <c r="N428" s="22" t="n"/>
      <c r="O428" s="23" t="n">
        <v>10</v>
      </c>
      <c r="P428" s="24" t="inlineStr">
        <is>
          <t>UNIDAD</t>
        </is>
      </c>
      <c r="Q428" s="20" t="inlineStr">
        <is>
          <t>NO</t>
        </is>
      </c>
      <c r="R428" s="20" t="inlineStr">
        <is>
          <t>NO</t>
        </is>
      </c>
      <c r="S428" s="25" t="n">
        <v>1</v>
      </c>
      <c r="T428" s="20" t="inlineStr">
        <is>
          <t>NO</t>
        </is>
      </c>
      <c r="U428" s="20" t="n"/>
      <c r="V428" s="21" t="n"/>
      <c r="W428" s="26" t="n"/>
      <c r="X428" s="27" t="n"/>
      <c r="Y428" s="20" t="n"/>
      <c r="Z428" s="20" t="n"/>
      <c r="AA428" s="26">
        <f>IF(X428="","",X428-IF(W428="",0,W428))</f>
        <v/>
      </c>
      <c r="AB428" s="28">
        <f>IF(OR(X428="",M428=""),"",X428*M428)</f>
        <v/>
      </c>
      <c r="AC428" s="28">
        <f>IF(OR(X428="",N428=""),"",X428*N428)</f>
        <v/>
      </c>
      <c r="AD428" s="28">
        <f>IF(OR(M428="",N428=""),"",N428-M428)</f>
        <v/>
      </c>
      <c r="AE428" s="29">
        <f>IFERROR(IF(M428&gt;0,(N428-M428)/M428,""),"")</f>
        <v/>
      </c>
      <c r="AF428" s="30" t="n"/>
      <c r="AG428" s="30" t="inlineStr">
        <is>
          <t>PENDIENTE</t>
        </is>
      </c>
      <c r="AH428" s="18">
        <f>IF(NOT(OR(B428="EXISTENTE",COUNTA(G428,H428,I428,J428,K428,M428,N428,U428,V428,X428,Y428,Z428,AF428,AJ428)&gt;0)),"",IF(AK428&lt;&gt;"","REVISAR",IF(OR(G428="",H428="",M428="",N428="",O428="",P428="",X428=""),"INCOMPLETO",IF(AI428&lt;&gt;"","REVISAR",IF(AND(AF428&lt;&gt;"",AG428="ESCANEADO"),"LISTO_COMPLETO","LISTO_SIN_BARCODE")))))</f>
        <v/>
      </c>
      <c r="AI428" s="17">
        <f>IF(NOT(OR(B428="EXISTENTE",COUNTA(G428,H428,I428,J428,K428,M428,N428,U428,V428,X428,Y428,Z428,AF428,AJ428)&gt;0)),"",TEXTJOIN(" | ",TRUE,IF(A428="","Falta ID staging",""),IF(COUNTIF($A$5:$A$445,A428)&gt;1,"ID staging duplicado",""),IF(G428="","Falta nombre",""),IF(LEN(G428)&gt;150,"Nombre &gt;150 caracteres",""),IF(H428="","Falta categoría",IF(COUNTIF(CategoriasLista,H428)=0,"Categoría inválida","")),IF(M428="","Falta precio compra",IF(OR(NOT(ISNUMBER(M428)),M428&lt;0),"Precio compra inválido","")),IF(N428="","Falta precio venta",IF(OR(NOT(ISNUMBER(N428)),N428&lt;=0,N428&lt;M428),"Precio venta inválido","")),IF(O428="","Falta stock mínimo",IF(OR(NOT(ISNUMBER(O428)),O428&lt;0,MOD(O428,1)&lt;&gt;0),"Stock mínimo inválido","")),IF(P428="","Falta unidad",IF(COUNTIF(UnidadesLista,P428)=0,"Unidad inválida","")),IF(AND(K428&lt;&gt;"",COUNTIF(ProveedoresLista,K428)=0),"Proveedor no catalogado",""),IF(X428="","Falta cantidad contada",IF(OR(NOT(ISNUMBER(X428)),X428&lt;0,ABS(X428*1000-ROUND(X428*1000,0))&gt;0.0000001),"Cantidad inválida",IF(AND(Q428="NO",MOD(X428,1)&lt;&gt;0),"Cantidad fraccionaria no permitida",""))),IF(AND(R428="SI",OR(NOT(ISNUMBER(S428)),S428&lt;1,MOD(S428,1)&lt;&gt;0)),"Empaque inválido",""),IF(OR(AND(AF428="",AG428="ESCANEADO"),AND(AF428&lt;&gt;"",AG428&lt;&gt;"ESCANEADO")),"Barcode/estado inconsistente",""),IF(AK428&lt;&gt;"",AK428,"")))</f>
        <v/>
      </c>
      <c r="AJ428" s="21" t="n"/>
      <c r="AK428" s="17">
        <f>IF(G428="","",IF(OR(COUNTIFS($G$5:$G$445,G428,$I$5:$I$445,I428,$J$5:$J$445,J428,$P$5:$P$445,P428)&gt;1,AND(AF428&lt;&gt;"",COUNTIF($AF$5:$AF$445,AF428)&gt;1)),"REVISAR_POSIBLE_DUPLICADO",""))</f>
        <v/>
      </c>
    </row>
    <row r="429">
      <c r="A429" s="17" t="inlineStr">
        <is>
          <t>ecf723d2-9044-5aff-bfbf-beaa261e78bd</t>
        </is>
      </c>
      <c r="B429" s="18" t="inlineStr">
        <is>
          <t>NUEVO</t>
        </is>
      </c>
      <c r="C429" s="18" t="inlineStr">
        <is>
          <t>ACTIVO</t>
        </is>
      </c>
      <c r="D429" s="18" t="n"/>
      <c r="E429" s="17" t="n"/>
      <c r="F429" s="17" t="n"/>
      <c r="G429" s="19" t="n"/>
      <c r="H429" s="19" t="n"/>
      <c r="I429" s="20" t="n"/>
      <c r="J429" s="20" t="n"/>
      <c r="K429" s="21" t="n"/>
      <c r="L429" s="18" t="n"/>
      <c r="M429" s="22" t="n"/>
      <c r="N429" s="22" t="n"/>
      <c r="O429" s="23" t="n">
        <v>10</v>
      </c>
      <c r="P429" s="24" t="inlineStr">
        <is>
          <t>UNIDAD</t>
        </is>
      </c>
      <c r="Q429" s="20" t="inlineStr">
        <is>
          <t>NO</t>
        </is>
      </c>
      <c r="R429" s="20" t="inlineStr">
        <is>
          <t>NO</t>
        </is>
      </c>
      <c r="S429" s="25" t="n">
        <v>1</v>
      </c>
      <c r="T429" s="20" t="inlineStr">
        <is>
          <t>NO</t>
        </is>
      </c>
      <c r="U429" s="20" t="n"/>
      <c r="V429" s="21" t="n"/>
      <c r="W429" s="26" t="n"/>
      <c r="X429" s="27" t="n"/>
      <c r="Y429" s="20" t="n"/>
      <c r="Z429" s="20" t="n"/>
      <c r="AA429" s="26">
        <f>IF(X429="","",X429-IF(W429="",0,W429))</f>
        <v/>
      </c>
      <c r="AB429" s="28">
        <f>IF(OR(X429="",M429=""),"",X429*M429)</f>
        <v/>
      </c>
      <c r="AC429" s="28">
        <f>IF(OR(X429="",N429=""),"",X429*N429)</f>
        <v/>
      </c>
      <c r="AD429" s="28">
        <f>IF(OR(M429="",N429=""),"",N429-M429)</f>
        <v/>
      </c>
      <c r="AE429" s="29">
        <f>IFERROR(IF(M429&gt;0,(N429-M429)/M429,""),"")</f>
        <v/>
      </c>
      <c r="AF429" s="30" t="n"/>
      <c r="AG429" s="30" t="inlineStr">
        <is>
          <t>PENDIENTE</t>
        </is>
      </c>
      <c r="AH429" s="18">
        <f>IF(NOT(OR(B429="EXISTENTE",COUNTA(G429,H429,I429,J429,K429,M429,N429,U429,V429,X429,Y429,Z429,AF429,AJ429)&gt;0)),"",IF(AK429&lt;&gt;"","REVISAR",IF(OR(G429="",H429="",M429="",N429="",O429="",P429="",X429=""),"INCOMPLETO",IF(AI429&lt;&gt;"","REVISAR",IF(AND(AF429&lt;&gt;"",AG429="ESCANEADO"),"LISTO_COMPLETO","LISTO_SIN_BARCODE")))))</f>
        <v/>
      </c>
      <c r="AI429" s="17">
        <f>IF(NOT(OR(B429="EXISTENTE",COUNTA(G429,H429,I429,J429,K429,M429,N429,U429,V429,X429,Y429,Z429,AF429,AJ429)&gt;0)),"",TEXTJOIN(" | ",TRUE,IF(A429="","Falta ID staging",""),IF(COUNTIF($A$5:$A$445,A429)&gt;1,"ID staging duplicado",""),IF(G429="","Falta nombre",""),IF(LEN(G429)&gt;150,"Nombre &gt;150 caracteres",""),IF(H429="","Falta categoría",IF(COUNTIF(CategoriasLista,H429)=0,"Categoría inválida","")),IF(M429="","Falta precio compra",IF(OR(NOT(ISNUMBER(M429)),M429&lt;0),"Precio compra inválido","")),IF(N429="","Falta precio venta",IF(OR(NOT(ISNUMBER(N429)),N429&lt;=0,N429&lt;M429),"Precio venta inválido","")),IF(O429="","Falta stock mínimo",IF(OR(NOT(ISNUMBER(O429)),O429&lt;0,MOD(O429,1)&lt;&gt;0),"Stock mínimo inválido","")),IF(P429="","Falta unidad",IF(COUNTIF(UnidadesLista,P429)=0,"Unidad inválida","")),IF(AND(K429&lt;&gt;"",COUNTIF(ProveedoresLista,K429)=0),"Proveedor no catalogado",""),IF(X429="","Falta cantidad contada",IF(OR(NOT(ISNUMBER(X429)),X429&lt;0,ABS(X429*1000-ROUND(X429*1000,0))&gt;0.0000001),"Cantidad inválida",IF(AND(Q429="NO",MOD(X429,1)&lt;&gt;0),"Cantidad fraccionaria no permitida",""))),IF(AND(R429="SI",OR(NOT(ISNUMBER(S429)),S429&lt;1,MOD(S429,1)&lt;&gt;0)),"Empaque inválido",""),IF(OR(AND(AF429="",AG429="ESCANEADO"),AND(AF429&lt;&gt;"",AG429&lt;&gt;"ESCANEADO")),"Barcode/estado inconsistente",""),IF(AK429&lt;&gt;"",AK429,"")))</f>
        <v/>
      </c>
      <c r="AJ429" s="21" t="n"/>
      <c r="AK429" s="17">
        <f>IF(G429="","",IF(OR(COUNTIFS($G$5:$G$445,G429,$I$5:$I$445,I429,$J$5:$J$445,J429,$P$5:$P$445,P429)&gt;1,AND(AF429&lt;&gt;"",COUNTIF($AF$5:$AF$445,AF429)&gt;1)),"REVISAR_POSIBLE_DUPLICADO",""))</f>
        <v/>
      </c>
    </row>
    <row r="430">
      <c r="A430" s="17" t="inlineStr">
        <is>
          <t>eb55fcb8-eb08-5355-8f51-f6236a701fc8</t>
        </is>
      </c>
      <c r="B430" s="18" t="inlineStr">
        <is>
          <t>NUEVO</t>
        </is>
      </c>
      <c r="C430" s="18" t="inlineStr">
        <is>
          <t>ACTIVO</t>
        </is>
      </c>
      <c r="D430" s="18" t="n"/>
      <c r="E430" s="17" t="n"/>
      <c r="F430" s="17" t="n"/>
      <c r="G430" s="19" t="n"/>
      <c r="H430" s="19" t="n"/>
      <c r="I430" s="20" t="n"/>
      <c r="J430" s="20" t="n"/>
      <c r="K430" s="21" t="n"/>
      <c r="L430" s="18" t="n"/>
      <c r="M430" s="22" t="n"/>
      <c r="N430" s="22" t="n"/>
      <c r="O430" s="23" t="n">
        <v>10</v>
      </c>
      <c r="P430" s="24" t="inlineStr">
        <is>
          <t>UNIDAD</t>
        </is>
      </c>
      <c r="Q430" s="20" t="inlineStr">
        <is>
          <t>NO</t>
        </is>
      </c>
      <c r="R430" s="20" t="inlineStr">
        <is>
          <t>NO</t>
        </is>
      </c>
      <c r="S430" s="25" t="n">
        <v>1</v>
      </c>
      <c r="T430" s="20" t="inlineStr">
        <is>
          <t>NO</t>
        </is>
      </c>
      <c r="U430" s="20" t="n"/>
      <c r="V430" s="21" t="n"/>
      <c r="W430" s="26" t="n"/>
      <c r="X430" s="27" t="n"/>
      <c r="Y430" s="20" t="n"/>
      <c r="Z430" s="20" t="n"/>
      <c r="AA430" s="26">
        <f>IF(X430="","",X430-IF(W430="",0,W430))</f>
        <v/>
      </c>
      <c r="AB430" s="28">
        <f>IF(OR(X430="",M430=""),"",X430*M430)</f>
        <v/>
      </c>
      <c r="AC430" s="28">
        <f>IF(OR(X430="",N430=""),"",X430*N430)</f>
        <v/>
      </c>
      <c r="AD430" s="28">
        <f>IF(OR(M430="",N430=""),"",N430-M430)</f>
        <v/>
      </c>
      <c r="AE430" s="29">
        <f>IFERROR(IF(M430&gt;0,(N430-M430)/M430,""),"")</f>
        <v/>
      </c>
      <c r="AF430" s="30" t="n"/>
      <c r="AG430" s="30" t="inlineStr">
        <is>
          <t>PENDIENTE</t>
        </is>
      </c>
      <c r="AH430" s="18">
        <f>IF(NOT(OR(B430="EXISTENTE",COUNTA(G430,H430,I430,J430,K430,M430,N430,U430,V430,X430,Y430,Z430,AF430,AJ430)&gt;0)),"",IF(AK430&lt;&gt;"","REVISAR",IF(OR(G430="",H430="",M430="",N430="",O430="",P430="",X430=""),"INCOMPLETO",IF(AI430&lt;&gt;"","REVISAR",IF(AND(AF430&lt;&gt;"",AG430="ESCANEADO"),"LISTO_COMPLETO","LISTO_SIN_BARCODE")))))</f>
        <v/>
      </c>
      <c r="AI430" s="17">
        <f>IF(NOT(OR(B430="EXISTENTE",COUNTA(G430,H430,I430,J430,K430,M430,N430,U430,V430,X430,Y430,Z430,AF430,AJ430)&gt;0)),"",TEXTJOIN(" | ",TRUE,IF(A430="","Falta ID staging",""),IF(COUNTIF($A$5:$A$445,A430)&gt;1,"ID staging duplicado",""),IF(G430="","Falta nombre",""),IF(LEN(G430)&gt;150,"Nombre &gt;150 caracteres",""),IF(H430="","Falta categoría",IF(COUNTIF(CategoriasLista,H430)=0,"Categoría inválida","")),IF(M430="","Falta precio compra",IF(OR(NOT(ISNUMBER(M430)),M430&lt;0),"Precio compra inválido","")),IF(N430="","Falta precio venta",IF(OR(NOT(ISNUMBER(N430)),N430&lt;=0,N430&lt;M430),"Precio venta inválido","")),IF(O430="","Falta stock mínimo",IF(OR(NOT(ISNUMBER(O430)),O430&lt;0,MOD(O430,1)&lt;&gt;0),"Stock mínimo inválido","")),IF(P430="","Falta unidad",IF(COUNTIF(UnidadesLista,P430)=0,"Unidad inválida","")),IF(AND(K430&lt;&gt;"",COUNTIF(ProveedoresLista,K430)=0),"Proveedor no catalogado",""),IF(X430="","Falta cantidad contada",IF(OR(NOT(ISNUMBER(X430)),X430&lt;0,ABS(X430*1000-ROUND(X430*1000,0))&gt;0.0000001),"Cantidad inválida",IF(AND(Q430="NO",MOD(X430,1)&lt;&gt;0),"Cantidad fraccionaria no permitida",""))),IF(AND(R430="SI",OR(NOT(ISNUMBER(S430)),S430&lt;1,MOD(S430,1)&lt;&gt;0)),"Empaque inválido",""),IF(OR(AND(AF430="",AG430="ESCANEADO"),AND(AF430&lt;&gt;"",AG430&lt;&gt;"ESCANEADO")),"Barcode/estado inconsistente",""),IF(AK430&lt;&gt;"",AK430,"")))</f>
        <v/>
      </c>
      <c r="AJ430" s="21" t="n"/>
      <c r="AK430" s="17">
        <f>IF(G430="","",IF(OR(COUNTIFS($G$5:$G$445,G430,$I$5:$I$445,I430,$J$5:$J$445,J430,$P$5:$P$445,P430)&gt;1,AND(AF430&lt;&gt;"",COUNTIF($AF$5:$AF$445,AF430)&gt;1)),"REVISAR_POSIBLE_DUPLICADO",""))</f>
        <v/>
      </c>
    </row>
    <row r="431">
      <c r="A431" s="17" t="inlineStr">
        <is>
          <t>fba6fafd-5c9f-594a-bae5-9e5455148826</t>
        </is>
      </c>
      <c r="B431" s="18" t="inlineStr">
        <is>
          <t>NUEVO</t>
        </is>
      </c>
      <c r="C431" s="18" t="inlineStr">
        <is>
          <t>ACTIVO</t>
        </is>
      </c>
      <c r="D431" s="18" t="n"/>
      <c r="E431" s="17" t="n"/>
      <c r="F431" s="17" t="n"/>
      <c r="G431" s="19" t="n"/>
      <c r="H431" s="19" t="n"/>
      <c r="I431" s="20" t="n"/>
      <c r="J431" s="20" t="n"/>
      <c r="K431" s="21" t="n"/>
      <c r="L431" s="18" t="n"/>
      <c r="M431" s="22" t="n"/>
      <c r="N431" s="22" t="n"/>
      <c r="O431" s="23" t="n">
        <v>10</v>
      </c>
      <c r="P431" s="24" t="inlineStr">
        <is>
          <t>UNIDAD</t>
        </is>
      </c>
      <c r="Q431" s="20" t="inlineStr">
        <is>
          <t>NO</t>
        </is>
      </c>
      <c r="R431" s="20" t="inlineStr">
        <is>
          <t>NO</t>
        </is>
      </c>
      <c r="S431" s="25" t="n">
        <v>1</v>
      </c>
      <c r="T431" s="20" t="inlineStr">
        <is>
          <t>NO</t>
        </is>
      </c>
      <c r="U431" s="20" t="n"/>
      <c r="V431" s="21" t="n"/>
      <c r="W431" s="26" t="n"/>
      <c r="X431" s="27" t="n"/>
      <c r="Y431" s="20" t="n"/>
      <c r="Z431" s="20" t="n"/>
      <c r="AA431" s="26">
        <f>IF(X431="","",X431-IF(W431="",0,W431))</f>
        <v/>
      </c>
      <c r="AB431" s="28">
        <f>IF(OR(X431="",M431=""),"",X431*M431)</f>
        <v/>
      </c>
      <c r="AC431" s="28">
        <f>IF(OR(X431="",N431=""),"",X431*N431)</f>
        <v/>
      </c>
      <c r="AD431" s="28">
        <f>IF(OR(M431="",N431=""),"",N431-M431)</f>
        <v/>
      </c>
      <c r="AE431" s="29">
        <f>IFERROR(IF(M431&gt;0,(N431-M431)/M431,""),"")</f>
        <v/>
      </c>
      <c r="AF431" s="30" t="n"/>
      <c r="AG431" s="30" t="inlineStr">
        <is>
          <t>PENDIENTE</t>
        </is>
      </c>
      <c r="AH431" s="18">
        <f>IF(NOT(OR(B431="EXISTENTE",COUNTA(G431,H431,I431,J431,K431,M431,N431,U431,V431,X431,Y431,Z431,AF431,AJ431)&gt;0)),"",IF(AK431&lt;&gt;"","REVISAR",IF(OR(G431="",H431="",M431="",N431="",O431="",P431="",X431=""),"INCOMPLETO",IF(AI431&lt;&gt;"","REVISAR",IF(AND(AF431&lt;&gt;"",AG431="ESCANEADO"),"LISTO_COMPLETO","LISTO_SIN_BARCODE")))))</f>
        <v/>
      </c>
      <c r="AI431" s="17">
        <f>IF(NOT(OR(B431="EXISTENTE",COUNTA(G431,H431,I431,J431,K431,M431,N431,U431,V431,X431,Y431,Z431,AF431,AJ431)&gt;0)),"",TEXTJOIN(" | ",TRUE,IF(A431="","Falta ID staging",""),IF(COUNTIF($A$5:$A$445,A431)&gt;1,"ID staging duplicado",""),IF(G431="","Falta nombre",""),IF(LEN(G431)&gt;150,"Nombre &gt;150 caracteres",""),IF(H431="","Falta categoría",IF(COUNTIF(CategoriasLista,H431)=0,"Categoría inválida","")),IF(M431="","Falta precio compra",IF(OR(NOT(ISNUMBER(M431)),M431&lt;0),"Precio compra inválido","")),IF(N431="","Falta precio venta",IF(OR(NOT(ISNUMBER(N431)),N431&lt;=0,N431&lt;M431),"Precio venta inválido","")),IF(O431="","Falta stock mínimo",IF(OR(NOT(ISNUMBER(O431)),O431&lt;0,MOD(O431,1)&lt;&gt;0),"Stock mínimo inválido","")),IF(P431="","Falta unidad",IF(COUNTIF(UnidadesLista,P431)=0,"Unidad inválida","")),IF(AND(K431&lt;&gt;"",COUNTIF(ProveedoresLista,K431)=0),"Proveedor no catalogado",""),IF(X431="","Falta cantidad contada",IF(OR(NOT(ISNUMBER(X431)),X431&lt;0,ABS(X431*1000-ROUND(X431*1000,0))&gt;0.0000001),"Cantidad inválida",IF(AND(Q431="NO",MOD(X431,1)&lt;&gt;0),"Cantidad fraccionaria no permitida",""))),IF(AND(R431="SI",OR(NOT(ISNUMBER(S431)),S431&lt;1,MOD(S431,1)&lt;&gt;0)),"Empaque inválido",""),IF(OR(AND(AF431="",AG431="ESCANEADO"),AND(AF431&lt;&gt;"",AG431&lt;&gt;"ESCANEADO")),"Barcode/estado inconsistente",""),IF(AK431&lt;&gt;"",AK431,"")))</f>
        <v/>
      </c>
      <c r="AJ431" s="21" t="n"/>
      <c r="AK431" s="17">
        <f>IF(G431="","",IF(OR(COUNTIFS($G$5:$G$445,G431,$I$5:$I$445,I431,$J$5:$J$445,J431,$P$5:$P$445,P431)&gt;1,AND(AF431&lt;&gt;"",COUNTIF($AF$5:$AF$445,AF431)&gt;1)),"REVISAR_POSIBLE_DUPLICADO",""))</f>
        <v/>
      </c>
    </row>
    <row r="432">
      <c r="A432" s="17" t="inlineStr">
        <is>
          <t>c24ff518-b94c-5534-81b7-0a94f1508b36</t>
        </is>
      </c>
      <c r="B432" s="18" t="inlineStr">
        <is>
          <t>NUEVO</t>
        </is>
      </c>
      <c r="C432" s="18" t="inlineStr">
        <is>
          <t>ACTIVO</t>
        </is>
      </c>
      <c r="D432" s="18" t="n"/>
      <c r="E432" s="17" t="n"/>
      <c r="F432" s="17" t="n"/>
      <c r="G432" s="19" t="n"/>
      <c r="H432" s="19" t="n"/>
      <c r="I432" s="20" t="n"/>
      <c r="J432" s="20" t="n"/>
      <c r="K432" s="21" t="n"/>
      <c r="L432" s="18" t="n"/>
      <c r="M432" s="22" t="n"/>
      <c r="N432" s="22" t="n"/>
      <c r="O432" s="23" t="n">
        <v>10</v>
      </c>
      <c r="P432" s="24" t="inlineStr">
        <is>
          <t>UNIDAD</t>
        </is>
      </c>
      <c r="Q432" s="20" t="inlineStr">
        <is>
          <t>NO</t>
        </is>
      </c>
      <c r="R432" s="20" t="inlineStr">
        <is>
          <t>NO</t>
        </is>
      </c>
      <c r="S432" s="25" t="n">
        <v>1</v>
      </c>
      <c r="T432" s="20" t="inlineStr">
        <is>
          <t>NO</t>
        </is>
      </c>
      <c r="U432" s="20" t="n"/>
      <c r="V432" s="21" t="n"/>
      <c r="W432" s="26" t="n"/>
      <c r="X432" s="27" t="n"/>
      <c r="Y432" s="20" t="n"/>
      <c r="Z432" s="20" t="n"/>
      <c r="AA432" s="26">
        <f>IF(X432="","",X432-IF(W432="",0,W432))</f>
        <v/>
      </c>
      <c r="AB432" s="28">
        <f>IF(OR(X432="",M432=""),"",X432*M432)</f>
        <v/>
      </c>
      <c r="AC432" s="28">
        <f>IF(OR(X432="",N432=""),"",X432*N432)</f>
        <v/>
      </c>
      <c r="AD432" s="28">
        <f>IF(OR(M432="",N432=""),"",N432-M432)</f>
        <v/>
      </c>
      <c r="AE432" s="29">
        <f>IFERROR(IF(M432&gt;0,(N432-M432)/M432,""),"")</f>
        <v/>
      </c>
      <c r="AF432" s="30" t="n"/>
      <c r="AG432" s="30" t="inlineStr">
        <is>
          <t>PENDIENTE</t>
        </is>
      </c>
      <c r="AH432" s="18">
        <f>IF(NOT(OR(B432="EXISTENTE",COUNTA(G432,H432,I432,J432,K432,M432,N432,U432,V432,X432,Y432,Z432,AF432,AJ432)&gt;0)),"",IF(AK432&lt;&gt;"","REVISAR",IF(OR(G432="",H432="",M432="",N432="",O432="",P432="",X432=""),"INCOMPLETO",IF(AI432&lt;&gt;"","REVISAR",IF(AND(AF432&lt;&gt;"",AG432="ESCANEADO"),"LISTO_COMPLETO","LISTO_SIN_BARCODE")))))</f>
        <v/>
      </c>
      <c r="AI432" s="17">
        <f>IF(NOT(OR(B432="EXISTENTE",COUNTA(G432,H432,I432,J432,K432,M432,N432,U432,V432,X432,Y432,Z432,AF432,AJ432)&gt;0)),"",TEXTJOIN(" | ",TRUE,IF(A432="","Falta ID staging",""),IF(COUNTIF($A$5:$A$445,A432)&gt;1,"ID staging duplicado",""),IF(G432="","Falta nombre",""),IF(LEN(G432)&gt;150,"Nombre &gt;150 caracteres",""),IF(H432="","Falta categoría",IF(COUNTIF(CategoriasLista,H432)=0,"Categoría inválida","")),IF(M432="","Falta precio compra",IF(OR(NOT(ISNUMBER(M432)),M432&lt;0),"Precio compra inválido","")),IF(N432="","Falta precio venta",IF(OR(NOT(ISNUMBER(N432)),N432&lt;=0,N432&lt;M432),"Precio venta inválido","")),IF(O432="","Falta stock mínimo",IF(OR(NOT(ISNUMBER(O432)),O432&lt;0,MOD(O432,1)&lt;&gt;0),"Stock mínimo inválido","")),IF(P432="","Falta unidad",IF(COUNTIF(UnidadesLista,P432)=0,"Unidad inválida","")),IF(AND(K432&lt;&gt;"",COUNTIF(ProveedoresLista,K432)=0),"Proveedor no catalogado",""),IF(X432="","Falta cantidad contada",IF(OR(NOT(ISNUMBER(X432)),X432&lt;0,ABS(X432*1000-ROUND(X432*1000,0))&gt;0.0000001),"Cantidad inválida",IF(AND(Q432="NO",MOD(X432,1)&lt;&gt;0),"Cantidad fraccionaria no permitida",""))),IF(AND(R432="SI",OR(NOT(ISNUMBER(S432)),S432&lt;1,MOD(S432,1)&lt;&gt;0)),"Empaque inválido",""),IF(OR(AND(AF432="",AG432="ESCANEADO"),AND(AF432&lt;&gt;"",AG432&lt;&gt;"ESCANEADO")),"Barcode/estado inconsistente",""),IF(AK432&lt;&gt;"",AK432,"")))</f>
        <v/>
      </c>
      <c r="AJ432" s="21" t="n"/>
      <c r="AK432" s="17">
        <f>IF(G432="","",IF(OR(COUNTIFS($G$5:$G$445,G432,$I$5:$I$445,I432,$J$5:$J$445,J432,$P$5:$P$445,P432)&gt;1,AND(AF432&lt;&gt;"",COUNTIF($AF$5:$AF$445,AF432)&gt;1)),"REVISAR_POSIBLE_DUPLICADO",""))</f>
        <v/>
      </c>
    </row>
    <row r="433">
      <c r="A433" s="17" t="inlineStr">
        <is>
          <t>cd5d58af-04d3-5437-a548-a553b81baa22</t>
        </is>
      </c>
      <c r="B433" s="18" t="inlineStr">
        <is>
          <t>NUEVO</t>
        </is>
      </c>
      <c r="C433" s="18" t="inlineStr">
        <is>
          <t>ACTIVO</t>
        </is>
      </c>
      <c r="D433" s="18" t="n"/>
      <c r="E433" s="17" t="n"/>
      <c r="F433" s="17" t="n"/>
      <c r="G433" s="19" t="n"/>
      <c r="H433" s="19" t="n"/>
      <c r="I433" s="20" t="n"/>
      <c r="J433" s="20" t="n"/>
      <c r="K433" s="21" t="n"/>
      <c r="L433" s="18" t="n"/>
      <c r="M433" s="22" t="n"/>
      <c r="N433" s="22" t="n"/>
      <c r="O433" s="23" t="n">
        <v>10</v>
      </c>
      <c r="P433" s="24" t="inlineStr">
        <is>
          <t>UNIDAD</t>
        </is>
      </c>
      <c r="Q433" s="20" t="inlineStr">
        <is>
          <t>NO</t>
        </is>
      </c>
      <c r="R433" s="20" t="inlineStr">
        <is>
          <t>NO</t>
        </is>
      </c>
      <c r="S433" s="25" t="n">
        <v>1</v>
      </c>
      <c r="T433" s="20" t="inlineStr">
        <is>
          <t>NO</t>
        </is>
      </c>
      <c r="U433" s="20" t="n"/>
      <c r="V433" s="21" t="n"/>
      <c r="W433" s="26" t="n"/>
      <c r="X433" s="27" t="n"/>
      <c r="Y433" s="20" t="n"/>
      <c r="Z433" s="20" t="n"/>
      <c r="AA433" s="26">
        <f>IF(X433="","",X433-IF(W433="",0,W433))</f>
        <v/>
      </c>
      <c r="AB433" s="28">
        <f>IF(OR(X433="",M433=""),"",X433*M433)</f>
        <v/>
      </c>
      <c r="AC433" s="28">
        <f>IF(OR(X433="",N433=""),"",X433*N433)</f>
        <v/>
      </c>
      <c r="AD433" s="28">
        <f>IF(OR(M433="",N433=""),"",N433-M433)</f>
        <v/>
      </c>
      <c r="AE433" s="29">
        <f>IFERROR(IF(M433&gt;0,(N433-M433)/M433,""),"")</f>
        <v/>
      </c>
      <c r="AF433" s="30" t="n"/>
      <c r="AG433" s="30" t="inlineStr">
        <is>
          <t>PENDIENTE</t>
        </is>
      </c>
      <c r="AH433" s="18">
        <f>IF(NOT(OR(B433="EXISTENTE",COUNTA(G433,H433,I433,J433,K433,M433,N433,U433,V433,X433,Y433,Z433,AF433,AJ433)&gt;0)),"",IF(AK433&lt;&gt;"","REVISAR",IF(OR(G433="",H433="",M433="",N433="",O433="",P433="",X433=""),"INCOMPLETO",IF(AI433&lt;&gt;"","REVISAR",IF(AND(AF433&lt;&gt;"",AG433="ESCANEADO"),"LISTO_COMPLETO","LISTO_SIN_BARCODE")))))</f>
        <v/>
      </c>
      <c r="AI433" s="17">
        <f>IF(NOT(OR(B433="EXISTENTE",COUNTA(G433,H433,I433,J433,K433,M433,N433,U433,V433,X433,Y433,Z433,AF433,AJ433)&gt;0)),"",TEXTJOIN(" | ",TRUE,IF(A433="","Falta ID staging",""),IF(COUNTIF($A$5:$A$445,A433)&gt;1,"ID staging duplicado",""),IF(G433="","Falta nombre",""),IF(LEN(G433)&gt;150,"Nombre &gt;150 caracteres",""),IF(H433="","Falta categoría",IF(COUNTIF(CategoriasLista,H433)=0,"Categoría inválida","")),IF(M433="","Falta precio compra",IF(OR(NOT(ISNUMBER(M433)),M433&lt;0),"Precio compra inválido","")),IF(N433="","Falta precio venta",IF(OR(NOT(ISNUMBER(N433)),N433&lt;=0,N433&lt;M433),"Precio venta inválido","")),IF(O433="","Falta stock mínimo",IF(OR(NOT(ISNUMBER(O433)),O433&lt;0,MOD(O433,1)&lt;&gt;0),"Stock mínimo inválido","")),IF(P433="","Falta unidad",IF(COUNTIF(UnidadesLista,P433)=0,"Unidad inválida","")),IF(AND(K433&lt;&gt;"",COUNTIF(ProveedoresLista,K433)=0),"Proveedor no catalogado",""),IF(X433="","Falta cantidad contada",IF(OR(NOT(ISNUMBER(X433)),X433&lt;0,ABS(X433*1000-ROUND(X433*1000,0))&gt;0.0000001),"Cantidad inválida",IF(AND(Q433="NO",MOD(X433,1)&lt;&gt;0),"Cantidad fraccionaria no permitida",""))),IF(AND(R433="SI",OR(NOT(ISNUMBER(S433)),S433&lt;1,MOD(S433,1)&lt;&gt;0)),"Empaque inválido",""),IF(OR(AND(AF433="",AG433="ESCANEADO"),AND(AF433&lt;&gt;"",AG433&lt;&gt;"ESCANEADO")),"Barcode/estado inconsistente",""),IF(AK433&lt;&gt;"",AK433,"")))</f>
        <v/>
      </c>
      <c r="AJ433" s="21" t="n"/>
      <c r="AK433" s="17">
        <f>IF(G433="","",IF(OR(COUNTIFS($G$5:$G$445,G433,$I$5:$I$445,I433,$J$5:$J$445,J433,$P$5:$P$445,P433)&gt;1,AND(AF433&lt;&gt;"",COUNTIF($AF$5:$AF$445,AF433)&gt;1)),"REVISAR_POSIBLE_DUPLICADO",""))</f>
        <v/>
      </c>
    </row>
    <row r="434">
      <c r="A434" s="17" t="inlineStr">
        <is>
          <t>96f743cb-45e3-5e37-8db4-dd2297ba7280</t>
        </is>
      </c>
      <c r="B434" s="18" t="inlineStr">
        <is>
          <t>NUEVO</t>
        </is>
      </c>
      <c r="C434" s="18" t="inlineStr">
        <is>
          <t>ACTIVO</t>
        </is>
      </c>
      <c r="D434" s="18" t="n"/>
      <c r="E434" s="17" t="n"/>
      <c r="F434" s="17" t="n"/>
      <c r="G434" s="19" t="n"/>
      <c r="H434" s="19" t="n"/>
      <c r="I434" s="20" t="n"/>
      <c r="J434" s="20" t="n"/>
      <c r="K434" s="21" t="n"/>
      <c r="L434" s="18" t="n"/>
      <c r="M434" s="22" t="n"/>
      <c r="N434" s="22" t="n"/>
      <c r="O434" s="23" t="n">
        <v>10</v>
      </c>
      <c r="P434" s="24" t="inlineStr">
        <is>
          <t>UNIDAD</t>
        </is>
      </c>
      <c r="Q434" s="20" t="inlineStr">
        <is>
          <t>NO</t>
        </is>
      </c>
      <c r="R434" s="20" t="inlineStr">
        <is>
          <t>NO</t>
        </is>
      </c>
      <c r="S434" s="25" t="n">
        <v>1</v>
      </c>
      <c r="T434" s="20" t="inlineStr">
        <is>
          <t>NO</t>
        </is>
      </c>
      <c r="U434" s="20" t="n"/>
      <c r="V434" s="21" t="n"/>
      <c r="W434" s="26" t="n"/>
      <c r="X434" s="27" t="n"/>
      <c r="Y434" s="20" t="n"/>
      <c r="Z434" s="20" t="n"/>
      <c r="AA434" s="26">
        <f>IF(X434="","",X434-IF(W434="",0,W434))</f>
        <v/>
      </c>
      <c r="AB434" s="28">
        <f>IF(OR(X434="",M434=""),"",X434*M434)</f>
        <v/>
      </c>
      <c r="AC434" s="28">
        <f>IF(OR(X434="",N434=""),"",X434*N434)</f>
        <v/>
      </c>
      <c r="AD434" s="28">
        <f>IF(OR(M434="",N434=""),"",N434-M434)</f>
        <v/>
      </c>
      <c r="AE434" s="29">
        <f>IFERROR(IF(M434&gt;0,(N434-M434)/M434,""),"")</f>
        <v/>
      </c>
      <c r="AF434" s="30" t="n"/>
      <c r="AG434" s="30" t="inlineStr">
        <is>
          <t>PENDIENTE</t>
        </is>
      </c>
      <c r="AH434" s="18">
        <f>IF(NOT(OR(B434="EXISTENTE",COUNTA(G434,H434,I434,J434,K434,M434,N434,U434,V434,X434,Y434,Z434,AF434,AJ434)&gt;0)),"",IF(AK434&lt;&gt;"","REVISAR",IF(OR(G434="",H434="",M434="",N434="",O434="",P434="",X434=""),"INCOMPLETO",IF(AI434&lt;&gt;"","REVISAR",IF(AND(AF434&lt;&gt;"",AG434="ESCANEADO"),"LISTO_COMPLETO","LISTO_SIN_BARCODE")))))</f>
        <v/>
      </c>
      <c r="AI434" s="17">
        <f>IF(NOT(OR(B434="EXISTENTE",COUNTA(G434,H434,I434,J434,K434,M434,N434,U434,V434,X434,Y434,Z434,AF434,AJ434)&gt;0)),"",TEXTJOIN(" | ",TRUE,IF(A434="","Falta ID staging",""),IF(COUNTIF($A$5:$A$445,A434)&gt;1,"ID staging duplicado",""),IF(G434="","Falta nombre",""),IF(LEN(G434)&gt;150,"Nombre &gt;150 caracteres",""),IF(H434="","Falta categoría",IF(COUNTIF(CategoriasLista,H434)=0,"Categoría inválida","")),IF(M434="","Falta precio compra",IF(OR(NOT(ISNUMBER(M434)),M434&lt;0),"Precio compra inválido","")),IF(N434="","Falta precio venta",IF(OR(NOT(ISNUMBER(N434)),N434&lt;=0,N434&lt;M434),"Precio venta inválido","")),IF(O434="","Falta stock mínimo",IF(OR(NOT(ISNUMBER(O434)),O434&lt;0,MOD(O434,1)&lt;&gt;0),"Stock mínimo inválido","")),IF(P434="","Falta unidad",IF(COUNTIF(UnidadesLista,P434)=0,"Unidad inválida","")),IF(AND(K434&lt;&gt;"",COUNTIF(ProveedoresLista,K434)=0),"Proveedor no catalogado",""),IF(X434="","Falta cantidad contada",IF(OR(NOT(ISNUMBER(X434)),X434&lt;0,ABS(X434*1000-ROUND(X434*1000,0))&gt;0.0000001),"Cantidad inválida",IF(AND(Q434="NO",MOD(X434,1)&lt;&gt;0),"Cantidad fraccionaria no permitida",""))),IF(AND(R434="SI",OR(NOT(ISNUMBER(S434)),S434&lt;1,MOD(S434,1)&lt;&gt;0)),"Empaque inválido",""),IF(OR(AND(AF434="",AG434="ESCANEADO"),AND(AF434&lt;&gt;"",AG434&lt;&gt;"ESCANEADO")),"Barcode/estado inconsistente",""),IF(AK434&lt;&gt;"",AK434,"")))</f>
        <v/>
      </c>
      <c r="AJ434" s="21" t="n"/>
      <c r="AK434" s="17">
        <f>IF(G434="","",IF(OR(COUNTIFS($G$5:$G$445,G434,$I$5:$I$445,I434,$J$5:$J$445,J434,$P$5:$P$445,P434)&gt;1,AND(AF434&lt;&gt;"",COUNTIF($AF$5:$AF$445,AF434)&gt;1)),"REVISAR_POSIBLE_DUPLICADO",""))</f>
        <v/>
      </c>
    </row>
    <row r="435">
      <c r="A435" s="17" t="inlineStr">
        <is>
          <t>d1d4c859-9d26-51be-b168-d05803bb4cc5</t>
        </is>
      </c>
      <c r="B435" s="18" t="inlineStr">
        <is>
          <t>NUEVO</t>
        </is>
      </c>
      <c r="C435" s="18" t="inlineStr">
        <is>
          <t>ACTIVO</t>
        </is>
      </c>
      <c r="D435" s="18" t="n"/>
      <c r="E435" s="17" t="n"/>
      <c r="F435" s="17" t="n"/>
      <c r="G435" s="19" t="n"/>
      <c r="H435" s="19" t="n"/>
      <c r="I435" s="20" t="n"/>
      <c r="J435" s="20" t="n"/>
      <c r="K435" s="21" t="n"/>
      <c r="L435" s="18" t="n"/>
      <c r="M435" s="22" t="n"/>
      <c r="N435" s="22" t="n"/>
      <c r="O435" s="23" t="n">
        <v>10</v>
      </c>
      <c r="P435" s="24" t="inlineStr">
        <is>
          <t>UNIDAD</t>
        </is>
      </c>
      <c r="Q435" s="20" t="inlineStr">
        <is>
          <t>NO</t>
        </is>
      </c>
      <c r="R435" s="20" t="inlineStr">
        <is>
          <t>NO</t>
        </is>
      </c>
      <c r="S435" s="25" t="n">
        <v>1</v>
      </c>
      <c r="T435" s="20" t="inlineStr">
        <is>
          <t>NO</t>
        </is>
      </c>
      <c r="U435" s="20" t="n"/>
      <c r="V435" s="21" t="n"/>
      <c r="W435" s="26" t="n"/>
      <c r="X435" s="27" t="n"/>
      <c r="Y435" s="20" t="n"/>
      <c r="Z435" s="20" t="n"/>
      <c r="AA435" s="26">
        <f>IF(X435="","",X435-IF(W435="",0,W435))</f>
        <v/>
      </c>
      <c r="AB435" s="28">
        <f>IF(OR(X435="",M435=""),"",X435*M435)</f>
        <v/>
      </c>
      <c r="AC435" s="28">
        <f>IF(OR(X435="",N435=""),"",X435*N435)</f>
        <v/>
      </c>
      <c r="AD435" s="28">
        <f>IF(OR(M435="",N435=""),"",N435-M435)</f>
        <v/>
      </c>
      <c r="AE435" s="29">
        <f>IFERROR(IF(M435&gt;0,(N435-M435)/M435,""),"")</f>
        <v/>
      </c>
      <c r="AF435" s="30" t="n"/>
      <c r="AG435" s="30" t="inlineStr">
        <is>
          <t>PENDIENTE</t>
        </is>
      </c>
      <c r="AH435" s="18">
        <f>IF(NOT(OR(B435="EXISTENTE",COUNTA(G435,H435,I435,J435,K435,M435,N435,U435,V435,X435,Y435,Z435,AF435,AJ435)&gt;0)),"",IF(AK435&lt;&gt;"","REVISAR",IF(OR(G435="",H435="",M435="",N435="",O435="",P435="",X435=""),"INCOMPLETO",IF(AI435&lt;&gt;"","REVISAR",IF(AND(AF435&lt;&gt;"",AG435="ESCANEADO"),"LISTO_COMPLETO","LISTO_SIN_BARCODE")))))</f>
        <v/>
      </c>
      <c r="AI435" s="17">
        <f>IF(NOT(OR(B435="EXISTENTE",COUNTA(G435,H435,I435,J435,K435,M435,N435,U435,V435,X435,Y435,Z435,AF435,AJ435)&gt;0)),"",TEXTJOIN(" | ",TRUE,IF(A435="","Falta ID staging",""),IF(COUNTIF($A$5:$A$445,A435)&gt;1,"ID staging duplicado",""),IF(G435="","Falta nombre",""),IF(LEN(G435)&gt;150,"Nombre &gt;150 caracteres",""),IF(H435="","Falta categoría",IF(COUNTIF(CategoriasLista,H435)=0,"Categoría inválida","")),IF(M435="","Falta precio compra",IF(OR(NOT(ISNUMBER(M435)),M435&lt;0),"Precio compra inválido","")),IF(N435="","Falta precio venta",IF(OR(NOT(ISNUMBER(N435)),N435&lt;=0,N435&lt;M435),"Precio venta inválido","")),IF(O435="","Falta stock mínimo",IF(OR(NOT(ISNUMBER(O435)),O435&lt;0,MOD(O435,1)&lt;&gt;0),"Stock mínimo inválido","")),IF(P435="","Falta unidad",IF(COUNTIF(UnidadesLista,P435)=0,"Unidad inválida","")),IF(AND(K435&lt;&gt;"",COUNTIF(ProveedoresLista,K435)=0),"Proveedor no catalogado",""),IF(X435="","Falta cantidad contada",IF(OR(NOT(ISNUMBER(X435)),X435&lt;0,ABS(X435*1000-ROUND(X435*1000,0))&gt;0.0000001),"Cantidad inválida",IF(AND(Q435="NO",MOD(X435,1)&lt;&gt;0),"Cantidad fraccionaria no permitida",""))),IF(AND(R435="SI",OR(NOT(ISNUMBER(S435)),S435&lt;1,MOD(S435,1)&lt;&gt;0)),"Empaque inválido",""),IF(OR(AND(AF435="",AG435="ESCANEADO"),AND(AF435&lt;&gt;"",AG435&lt;&gt;"ESCANEADO")),"Barcode/estado inconsistente",""),IF(AK435&lt;&gt;"",AK435,"")))</f>
        <v/>
      </c>
      <c r="AJ435" s="21" t="n"/>
      <c r="AK435" s="17">
        <f>IF(G435="","",IF(OR(COUNTIFS($G$5:$G$445,G435,$I$5:$I$445,I435,$J$5:$J$445,J435,$P$5:$P$445,P435)&gt;1,AND(AF435&lt;&gt;"",COUNTIF($AF$5:$AF$445,AF435)&gt;1)),"REVISAR_POSIBLE_DUPLICADO",""))</f>
        <v/>
      </c>
    </row>
    <row r="436">
      <c r="A436" s="17" t="inlineStr">
        <is>
          <t>7bfff083-bc6d-5ad2-bd37-484d4c24c158</t>
        </is>
      </c>
      <c r="B436" s="18" t="inlineStr">
        <is>
          <t>NUEVO</t>
        </is>
      </c>
      <c r="C436" s="18" t="inlineStr">
        <is>
          <t>ACTIVO</t>
        </is>
      </c>
      <c r="D436" s="18" t="n"/>
      <c r="E436" s="17" t="n"/>
      <c r="F436" s="17" t="n"/>
      <c r="G436" s="19" t="n"/>
      <c r="H436" s="19" t="n"/>
      <c r="I436" s="20" t="n"/>
      <c r="J436" s="20" t="n"/>
      <c r="K436" s="21" t="n"/>
      <c r="L436" s="18" t="n"/>
      <c r="M436" s="22" t="n"/>
      <c r="N436" s="22" t="n"/>
      <c r="O436" s="23" t="n">
        <v>10</v>
      </c>
      <c r="P436" s="24" t="inlineStr">
        <is>
          <t>UNIDAD</t>
        </is>
      </c>
      <c r="Q436" s="20" t="inlineStr">
        <is>
          <t>NO</t>
        </is>
      </c>
      <c r="R436" s="20" t="inlineStr">
        <is>
          <t>NO</t>
        </is>
      </c>
      <c r="S436" s="25" t="n">
        <v>1</v>
      </c>
      <c r="T436" s="20" t="inlineStr">
        <is>
          <t>NO</t>
        </is>
      </c>
      <c r="U436" s="20" t="n"/>
      <c r="V436" s="21" t="n"/>
      <c r="W436" s="26" t="n"/>
      <c r="X436" s="27" t="n"/>
      <c r="Y436" s="20" t="n"/>
      <c r="Z436" s="20" t="n"/>
      <c r="AA436" s="26">
        <f>IF(X436="","",X436-IF(W436="",0,W436))</f>
        <v/>
      </c>
      <c r="AB436" s="28">
        <f>IF(OR(X436="",M436=""),"",X436*M436)</f>
        <v/>
      </c>
      <c r="AC436" s="28">
        <f>IF(OR(X436="",N436=""),"",X436*N436)</f>
        <v/>
      </c>
      <c r="AD436" s="28">
        <f>IF(OR(M436="",N436=""),"",N436-M436)</f>
        <v/>
      </c>
      <c r="AE436" s="29">
        <f>IFERROR(IF(M436&gt;0,(N436-M436)/M436,""),"")</f>
        <v/>
      </c>
      <c r="AF436" s="30" t="n"/>
      <c r="AG436" s="30" t="inlineStr">
        <is>
          <t>PENDIENTE</t>
        </is>
      </c>
      <c r="AH436" s="18">
        <f>IF(NOT(OR(B436="EXISTENTE",COUNTA(G436,H436,I436,J436,K436,M436,N436,U436,V436,X436,Y436,Z436,AF436,AJ436)&gt;0)),"",IF(AK436&lt;&gt;"","REVISAR",IF(OR(G436="",H436="",M436="",N436="",O436="",P436="",X436=""),"INCOMPLETO",IF(AI436&lt;&gt;"","REVISAR",IF(AND(AF436&lt;&gt;"",AG436="ESCANEADO"),"LISTO_COMPLETO","LISTO_SIN_BARCODE")))))</f>
        <v/>
      </c>
      <c r="AI436" s="17">
        <f>IF(NOT(OR(B436="EXISTENTE",COUNTA(G436,H436,I436,J436,K436,M436,N436,U436,V436,X436,Y436,Z436,AF436,AJ436)&gt;0)),"",TEXTJOIN(" | ",TRUE,IF(A436="","Falta ID staging",""),IF(COUNTIF($A$5:$A$445,A436)&gt;1,"ID staging duplicado",""),IF(G436="","Falta nombre",""),IF(LEN(G436)&gt;150,"Nombre &gt;150 caracteres",""),IF(H436="","Falta categoría",IF(COUNTIF(CategoriasLista,H436)=0,"Categoría inválida","")),IF(M436="","Falta precio compra",IF(OR(NOT(ISNUMBER(M436)),M436&lt;0),"Precio compra inválido","")),IF(N436="","Falta precio venta",IF(OR(NOT(ISNUMBER(N436)),N436&lt;=0,N436&lt;M436),"Precio venta inválido","")),IF(O436="","Falta stock mínimo",IF(OR(NOT(ISNUMBER(O436)),O436&lt;0,MOD(O436,1)&lt;&gt;0),"Stock mínimo inválido","")),IF(P436="","Falta unidad",IF(COUNTIF(UnidadesLista,P436)=0,"Unidad inválida","")),IF(AND(K436&lt;&gt;"",COUNTIF(ProveedoresLista,K436)=0),"Proveedor no catalogado",""),IF(X436="","Falta cantidad contada",IF(OR(NOT(ISNUMBER(X436)),X436&lt;0,ABS(X436*1000-ROUND(X436*1000,0))&gt;0.0000001),"Cantidad inválida",IF(AND(Q436="NO",MOD(X436,1)&lt;&gt;0),"Cantidad fraccionaria no permitida",""))),IF(AND(R436="SI",OR(NOT(ISNUMBER(S436)),S436&lt;1,MOD(S436,1)&lt;&gt;0)),"Empaque inválido",""),IF(OR(AND(AF436="",AG436="ESCANEADO"),AND(AF436&lt;&gt;"",AG436&lt;&gt;"ESCANEADO")),"Barcode/estado inconsistente",""),IF(AK436&lt;&gt;"",AK436,"")))</f>
        <v/>
      </c>
      <c r="AJ436" s="21" t="n"/>
      <c r="AK436" s="17">
        <f>IF(G436="","",IF(OR(COUNTIFS($G$5:$G$445,G436,$I$5:$I$445,I436,$J$5:$J$445,J436,$P$5:$P$445,P436)&gt;1,AND(AF436&lt;&gt;"",COUNTIF($AF$5:$AF$445,AF436)&gt;1)),"REVISAR_POSIBLE_DUPLICADO",""))</f>
        <v/>
      </c>
    </row>
    <row r="437">
      <c r="A437" s="17" t="inlineStr">
        <is>
          <t>c367b886-b337-5af2-a498-ebcef5cdb425</t>
        </is>
      </c>
      <c r="B437" s="18" t="inlineStr">
        <is>
          <t>NUEVO</t>
        </is>
      </c>
      <c r="C437" s="18" t="inlineStr">
        <is>
          <t>ACTIVO</t>
        </is>
      </c>
      <c r="D437" s="18" t="n"/>
      <c r="E437" s="17" t="n"/>
      <c r="F437" s="17" t="n"/>
      <c r="G437" s="19" t="n"/>
      <c r="H437" s="19" t="n"/>
      <c r="I437" s="20" t="n"/>
      <c r="J437" s="20" t="n"/>
      <c r="K437" s="21" t="n"/>
      <c r="L437" s="18" t="n"/>
      <c r="M437" s="22" t="n"/>
      <c r="N437" s="22" t="n"/>
      <c r="O437" s="23" t="n">
        <v>10</v>
      </c>
      <c r="P437" s="24" t="inlineStr">
        <is>
          <t>UNIDAD</t>
        </is>
      </c>
      <c r="Q437" s="20" t="inlineStr">
        <is>
          <t>NO</t>
        </is>
      </c>
      <c r="R437" s="20" t="inlineStr">
        <is>
          <t>NO</t>
        </is>
      </c>
      <c r="S437" s="25" t="n">
        <v>1</v>
      </c>
      <c r="T437" s="20" t="inlineStr">
        <is>
          <t>NO</t>
        </is>
      </c>
      <c r="U437" s="20" t="n"/>
      <c r="V437" s="21" t="n"/>
      <c r="W437" s="26" t="n"/>
      <c r="X437" s="27" t="n"/>
      <c r="Y437" s="20" t="n"/>
      <c r="Z437" s="20" t="n"/>
      <c r="AA437" s="26">
        <f>IF(X437="","",X437-IF(W437="",0,W437))</f>
        <v/>
      </c>
      <c r="AB437" s="28">
        <f>IF(OR(X437="",M437=""),"",X437*M437)</f>
        <v/>
      </c>
      <c r="AC437" s="28">
        <f>IF(OR(X437="",N437=""),"",X437*N437)</f>
        <v/>
      </c>
      <c r="AD437" s="28">
        <f>IF(OR(M437="",N437=""),"",N437-M437)</f>
        <v/>
      </c>
      <c r="AE437" s="29">
        <f>IFERROR(IF(M437&gt;0,(N437-M437)/M437,""),"")</f>
        <v/>
      </c>
      <c r="AF437" s="30" t="n"/>
      <c r="AG437" s="30" t="inlineStr">
        <is>
          <t>PENDIENTE</t>
        </is>
      </c>
      <c r="AH437" s="18">
        <f>IF(NOT(OR(B437="EXISTENTE",COUNTA(G437,H437,I437,J437,K437,M437,N437,U437,V437,X437,Y437,Z437,AF437,AJ437)&gt;0)),"",IF(AK437&lt;&gt;"","REVISAR",IF(OR(G437="",H437="",M437="",N437="",O437="",P437="",X437=""),"INCOMPLETO",IF(AI437&lt;&gt;"","REVISAR",IF(AND(AF437&lt;&gt;"",AG437="ESCANEADO"),"LISTO_COMPLETO","LISTO_SIN_BARCODE")))))</f>
        <v/>
      </c>
      <c r="AI437" s="17">
        <f>IF(NOT(OR(B437="EXISTENTE",COUNTA(G437,H437,I437,J437,K437,M437,N437,U437,V437,X437,Y437,Z437,AF437,AJ437)&gt;0)),"",TEXTJOIN(" | ",TRUE,IF(A437="","Falta ID staging",""),IF(COUNTIF($A$5:$A$445,A437)&gt;1,"ID staging duplicado",""),IF(G437="","Falta nombre",""),IF(LEN(G437)&gt;150,"Nombre &gt;150 caracteres",""),IF(H437="","Falta categoría",IF(COUNTIF(CategoriasLista,H437)=0,"Categoría inválida","")),IF(M437="","Falta precio compra",IF(OR(NOT(ISNUMBER(M437)),M437&lt;0),"Precio compra inválido","")),IF(N437="","Falta precio venta",IF(OR(NOT(ISNUMBER(N437)),N437&lt;=0,N437&lt;M437),"Precio venta inválido","")),IF(O437="","Falta stock mínimo",IF(OR(NOT(ISNUMBER(O437)),O437&lt;0,MOD(O437,1)&lt;&gt;0),"Stock mínimo inválido","")),IF(P437="","Falta unidad",IF(COUNTIF(UnidadesLista,P437)=0,"Unidad inválida","")),IF(AND(K437&lt;&gt;"",COUNTIF(ProveedoresLista,K437)=0),"Proveedor no catalogado",""),IF(X437="","Falta cantidad contada",IF(OR(NOT(ISNUMBER(X437)),X437&lt;0,ABS(X437*1000-ROUND(X437*1000,0))&gt;0.0000001),"Cantidad inválida",IF(AND(Q437="NO",MOD(X437,1)&lt;&gt;0),"Cantidad fraccionaria no permitida",""))),IF(AND(R437="SI",OR(NOT(ISNUMBER(S437)),S437&lt;1,MOD(S437,1)&lt;&gt;0)),"Empaque inválido",""),IF(OR(AND(AF437="",AG437="ESCANEADO"),AND(AF437&lt;&gt;"",AG437&lt;&gt;"ESCANEADO")),"Barcode/estado inconsistente",""),IF(AK437&lt;&gt;"",AK437,"")))</f>
        <v/>
      </c>
      <c r="AJ437" s="21" t="n"/>
      <c r="AK437" s="17">
        <f>IF(G437="","",IF(OR(COUNTIFS($G$5:$G$445,G437,$I$5:$I$445,I437,$J$5:$J$445,J437,$P$5:$P$445,P437)&gt;1,AND(AF437&lt;&gt;"",COUNTIF($AF$5:$AF$445,AF437)&gt;1)),"REVISAR_POSIBLE_DUPLICADO",""))</f>
        <v/>
      </c>
    </row>
    <row r="438">
      <c r="A438" s="17" t="inlineStr">
        <is>
          <t>ccb45c4c-d54e-5611-967f-13ce0554d5ee</t>
        </is>
      </c>
      <c r="B438" s="18" t="inlineStr">
        <is>
          <t>NUEVO</t>
        </is>
      </c>
      <c r="C438" s="18" t="inlineStr">
        <is>
          <t>ACTIVO</t>
        </is>
      </c>
      <c r="D438" s="18" t="n"/>
      <c r="E438" s="17" t="n"/>
      <c r="F438" s="17" t="n"/>
      <c r="G438" s="19" t="n"/>
      <c r="H438" s="19" t="n"/>
      <c r="I438" s="20" t="n"/>
      <c r="J438" s="20" t="n"/>
      <c r="K438" s="21" t="n"/>
      <c r="L438" s="18" t="n"/>
      <c r="M438" s="22" t="n"/>
      <c r="N438" s="22" t="n"/>
      <c r="O438" s="23" t="n">
        <v>10</v>
      </c>
      <c r="P438" s="24" t="inlineStr">
        <is>
          <t>UNIDAD</t>
        </is>
      </c>
      <c r="Q438" s="20" t="inlineStr">
        <is>
          <t>NO</t>
        </is>
      </c>
      <c r="R438" s="20" t="inlineStr">
        <is>
          <t>NO</t>
        </is>
      </c>
      <c r="S438" s="25" t="n">
        <v>1</v>
      </c>
      <c r="T438" s="20" t="inlineStr">
        <is>
          <t>NO</t>
        </is>
      </c>
      <c r="U438" s="20" t="n"/>
      <c r="V438" s="21" t="n"/>
      <c r="W438" s="26" t="n"/>
      <c r="X438" s="27" t="n"/>
      <c r="Y438" s="20" t="n"/>
      <c r="Z438" s="20" t="n"/>
      <c r="AA438" s="26">
        <f>IF(X438="","",X438-IF(W438="",0,W438))</f>
        <v/>
      </c>
      <c r="AB438" s="28">
        <f>IF(OR(X438="",M438=""),"",X438*M438)</f>
        <v/>
      </c>
      <c r="AC438" s="28">
        <f>IF(OR(X438="",N438=""),"",X438*N438)</f>
        <v/>
      </c>
      <c r="AD438" s="28">
        <f>IF(OR(M438="",N438=""),"",N438-M438)</f>
        <v/>
      </c>
      <c r="AE438" s="29">
        <f>IFERROR(IF(M438&gt;0,(N438-M438)/M438,""),"")</f>
        <v/>
      </c>
      <c r="AF438" s="30" t="n"/>
      <c r="AG438" s="30" t="inlineStr">
        <is>
          <t>PENDIENTE</t>
        </is>
      </c>
      <c r="AH438" s="18">
        <f>IF(NOT(OR(B438="EXISTENTE",COUNTA(G438,H438,I438,J438,K438,M438,N438,U438,V438,X438,Y438,Z438,AF438,AJ438)&gt;0)),"",IF(AK438&lt;&gt;"","REVISAR",IF(OR(G438="",H438="",M438="",N438="",O438="",P438="",X438=""),"INCOMPLETO",IF(AI438&lt;&gt;"","REVISAR",IF(AND(AF438&lt;&gt;"",AG438="ESCANEADO"),"LISTO_COMPLETO","LISTO_SIN_BARCODE")))))</f>
        <v/>
      </c>
      <c r="AI438" s="17">
        <f>IF(NOT(OR(B438="EXISTENTE",COUNTA(G438,H438,I438,J438,K438,M438,N438,U438,V438,X438,Y438,Z438,AF438,AJ438)&gt;0)),"",TEXTJOIN(" | ",TRUE,IF(A438="","Falta ID staging",""),IF(COUNTIF($A$5:$A$445,A438)&gt;1,"ID staging duplicado",""),IF(G438="","Falta nombre",""),IF(LEN(G438)&gt;150,"Nombre &gt;150 caracteres",""),IF(H438="","Falta categoría",IF(COUNTIF(CategoriasLista,H438)=0,"Categoría inválida","")),IF(M438="","Falta precio compra",IF(OR(NOT(ISNUMBER(M438)),M438&lt;0),"Precio compra inválido","")),IF(N438="","Falta precio venta",IF(OR(NOT(ISNUMBER(N438)),N438&lt;=0,N438&lt;M438),"Precio venta inválido","")),IF(O438="","Falta stock mínimo",IF(OR(NOT(ISNUMBER(O438)),O438&lt;0,MOD(O438,1)&lt;&gt;0),"Stock mínimo inválido","")),IF(P438="","Falta unidad",IF(COUNTIF(UnidadesLista,P438)=0,"Unidad inválida","")),IF(AND(K438&lt;&gt;"",COUNTIF(ProveedoresLista,K438)=0),"Proveedor no catalogado",""),IF(X438="","Falta cantidad contada",IF(OR(NOT(ISNUMBER(X438)),X438&lt;0,ABS(X438*1000-ROUND(X438*1000,0))&gt;0.0000001),"Cantidad inválida",IF(AND(Q438="NO",MOD(X438,1)&lt;&gt;0),"Cantidad fraccionaria no permitida",""))),IF(AND(R438="SI",OR(NOT(ISNUMBER(S438)),S438&lt;1,MOD(S438,1)&lt;&gt;0)),"Empaque inválido",""),IF(OR(AND(AF438="",AG438="ESCANEADO"),AND(AF438&lt;&gt;"",AG438&lt;&gt;"ESCANEADO")),"Barcode/estado inconsistente",""),IF(AK438&lt;&gt;"",AK438,"")))</f>
        <v/>
      </c>
      <c r="AJ438" s="21" t="n"/>
      <c r="AK438" s="17">
        <f>IF(G438="","",IF(OR(COUNTIFS($G$5:$G$445,G438,$I$5:$I$445,I438,$J$5:$J$445,J438,$P$5:$P$445,P438)&gt;1,AND(AF438&lt;&gt;"",COUNTIF($AF$5:$AF$445,AF438)&gt;1)),"REVISAR_POSIBLE_DUPLICADO",""))</f>
        <v/>
      </c>
    </row>
    <row r="439">
      <c r="A439" s="17" t="inlineStr">
        <is>
          <t>549f296c-6c51-5fdd-96a6-bd3d640a16a9</t>
        </is>
      </c>
      <c r="B439" s="18" t="inlineStr">
        <is>
          <t>NUEVO</t>
        </is>
      </c>
      <c r="C439" s="18" t="inlineStr">
        <is>
          <t>ACTIVO</t>
        </is>
      </c>
      <c r="D439" s="18" t="n"/>
      <c r="E439" s="17" t="n"/>
      <c r="F439" s="17" t="n"/>
      <c r="G439" s="19" t="n"/>
      <c r="H439" s="19" t="n"/>
      <c r="I439" s="20" t="n"/>
      <c r="J439" s="20" t="n"/>
      <c r="K439" s="21" t="n"/>
      <c r="L439" s="18" t="n"/>
      <c r="M439" s="22" t="n"/>
      <c r="N439" s="22" t="n"/>
      <c r="O439" s="23" t="n">
        <v>10</v>
      </c>
      <c r="P439" s="24" t="inlineStr">
        <is>
          <t>UNIDAD</t>
        </is>
      </c>
      <c r="Q439" s="20" t="inlineStr">
        <is>
          <t>NO</t>
        </is>
      </c>
      <c r="R439" s="20" t="inlineStr">
        <is>
          <t>NO</t>
        </is>
      </c>
      <c r="S439" s="25" t="n">
        <v>1</v>
      </c>
      <c r="T439" s="20" t="inlineStr">
        <is>
          <t>NO</t>
        </is>
      </c>
      <c r="U439" s="20" t="n"/>
      <c r="V439" s="21" t="n"/>
      <c r="W439" s="26" t="n"/>
      <c r="X439" s="27" t="n"/>
      <c r="Y439" s="20" t="n"/>
      <c r="Z439" s="20" t="n"/>
      <c r="AA439" s="26">
        <f>IF(X439="","",X439-IF(W439="",0,W439))</f>
        <v/>
      </c>
      <c r="AB439" s="28">
        <f>IF(OR(X439="",M439=""),"",X439*M439)</f>
        <v/>
      </c>
      <c r="AC439" s="28">
        <f>IF(OR(X439="",N439=""),"",X439*N439)</f>
        <v/>
      </c>
      <c r="AD439" s="28">
        <f>IF(OR(M439="",N439=""),"",N439-M439)</f>
        <v/>
      </c>
      <c r="AE439" s="29">
        <f>IFERROR(IF(M439&gt;0,(N439-M439)/M439,""),"")</f>
        <v/>
      </c>
      <c r="AF439" s="30" t="n"/>
      <c r="AG439" s="30" t="inlineStr">
        <is>
          <t>PENDIENTE</t>
        </is>
      </c>
      <c r="AH439" s="18">
        <f>IF(NOT(OR(B439="EXISTENTE",COUNTA(G439,H439,I439,J439,K439,M439,N439,U439,V439,X439,Y439,Z439,AF439,AJ439)&gt;0)),"",IF(AK439&lt;&gt;"","REVISAR",IF(OR(G439="",H439="",M439="",N439="",O439="",P439="",X439=""),"INCOMPLETO",IF(AI439&lt;&gt;"","REVISAR",IF(AND(AF439&lt;&gt;"",AG439="ESCANEADO"),"LISTO_COMPLETO","LISTO_SIN_BARCODE")))))</f>
        <v/>
      </c>
      <c r="AI439" s="17">
        <f>IF(NOT(OR(B439="EXISTENTE",COUNTA(G439,H439,I439,J439,K439,M439,N439,U439,V439,X439,Y439,Z439,AF439,AJ439)&gt;0)),"",TEXTJOIN(" | ",TRUE,IF(A439="","Falta ID staging",""),IF(COUNTIF($A$5:$A$445,A439)&gt;1,"ID staging duplicado",""),IF(G439="","Falta nombre",""),IF(LEN(G439)&gt;150,"Nombre &gt;150 caracteres",""),IF(H439="","Falta categoría",IF(COUNTIF(CategoriasLista,H439)=0,"Categoría inválida","")),IF(M439="","Falta precio compra",IF(OR(NOT(ISNUMBER(M439)),M439&lt;0),"Precio compra inválido","")),IF(N439="","Falta precio venta",IF(OR(NOT(ISNUMBER(N439)),N439&lt;=0,N439&lt;M439),"Precio venta inválido","")),IF(O439="","Falta stock mínimo",IF(OR(NOT(ISNUMBER(O439)),O439&lt;0,MOD(O439,1)&lt;&gt;0),"Stock mínimo inválido","")),IF(P439="","Falta unidad",IF(COUNTIF(UnidadesLista,P439)=0,"Unidad inválida","")),IF(AND(K439&lt;&gt;"",COUNTIF(ProveedoresLista,K439)=0),"Proveedor no catalogado",""),IF(X439="","Falta cantidad contada",IF(OR(NOT(ISNUMBER(X439)),X439&lt;0,ABS(X439*1000-ROUND(X439*1000,0))&gt;0.0000001),"Cantidad inválida",IF(AND(Q439="NO",MOD(X439,1)&lt;&gt;0),"Cantidad fraccionaria no permitida",""))),IF(AND(R439="SI",OR(NOT(ISNUMBER(S439)),S439&lt;1,MOD(S439,1)&lt;&gt;0)),"Empaque inválido",""),IF(OR(AND(AF439="",AG439="ESCANEADO"),AND(AF439&lt;&gt;"",AG439&lt;&gt;"ESCANEADO")),"Barcode/estado inconsistente",""),IF(AK439&lt;&gt;"",AK439,"")))</f>
        <v/>
      </c>
      <c r="AJ439" s="21" t="n"/>
      <c r="AK439" s="17">
        <f>IF(G439="","",IF(OR(COUNTIFS($G$5:$G$445,G439,$I$5:$I$445,I439,$J$5:$J$445,J439,$P$5:$P$445,P439)&gt;1,AND(AF439&lt;&gt;"",COUNTIF($AF$5:$AF$445,AF439)&gt;1)),"REVISAR_POSIBLE_DUPLICADO",""))</f>
        <v/>
      </c>
    </row>
    <row r="440">
      <c r="A440" s="17" t="inlineStr">
        <is>
          <t>fd7f68ad-58be-531a-808a-49bb5c25b825</t>
        </is>
      </c>
      <c r="B440" s="18" t="inlineStr">
        <is>
          <t>NUEVO</t>
        </is>
      </c>
      <c r="C440" s="18" t="inlineStr">
        <is>
          <t>ACTIVO</t>
        </is>
      </c>
      <c r="D440" s="18" t="n"/>
      <c r="E440" s="17" t="n"/>
      <c r="F440" s="17" t="n"/>
      <c r="G440" s="19" t="n"/>
      <c r="H440" s="19" t="n"/>
      <c r="I440" s="20" t="n"/>
      <c r="J440" s="20" t="n"/>
      <c r="K440" s="21" t="n"/>
      <c r="L440" s="18" t="n"/>
      <c r="M440" s="22" t="n"/>
      <c r="N440" s="22" t="n"/>
      <c r="O440" s="23" t="n">
        <v>10</v>
      </c>
      <c r="P440" s="24" t="inlineStr">
        <is>
          <t>UNIDAD</t>
        </is>
      </c>
      <c r="Q440" s="20" t="inlineStr">
        <is>
          <t>NO</t>
        </is>
      </c>
      <c r="R440" s="20" t="inlineStr">
        <is>
          <t>NO</t>
        </is>
      </c>
      <c r="S440" s="25" t="n">
        <v>1</v>
      </c>
      <c r="T440" s="20" t="inlineStr">
        <is>
          <t>NO</t>
        </is>
      </c>
      <c r="U440" s="20" t="n"/>
      <c r="V440" s="21" t="n"/>
      <c r="W440" s="26" t="n"/>
      <c r="X440" s="27" t="n"/>
      <c r="Y440" s="20" t="n"/>
      <c r="Z440" s="20" t="n"/>
      <c r="AA440" s="26">
        <f>IF(X440="","",X440-IF(W440="",0,W440))</f>
        <v/>
      </c>
      <c r="AB440" s="28">
        <f>IF(OR(X440="",M440=""),"",X440*M440)</f>
        <v/>
      </c>
      <c r="AC440" s="28">
        <f>IF(OR(X440="",N440=""),"",X440*N440)</f>
        <v/>
      </c>
      <c r="AD440" s="28">
        <f>IF(OR(M440="",N440=""),"",N440-M440)</f>
        <v/>
      </c>
      <c r="AE440" s="29">
        <f>IFERROR(IF(M440&gt;0,(N440-M440)/M440,""),"")</f>
        <v/>
      </c>
      <c r="AF440" s="30" t="n"/>
      <c r="AG440" s="30" t="inlineStr">
        <is>
          <t>PENDIENTE</t>
        </is>
      </c>
      <c r="AH440" s="18">
        <f>IF(NOT(OR(B440="EXISTENTE",COUNTA(G440,H440,I440,J440,K440,M440,N440,U440,V440,X440,Y440,Z440,AF440,AJ440)&gt;0)),"",IF(AK440&lt;&gt;"","REVISAR",IF(OR(G440="",H440="",M440="",N440="",O440="",P440="",X440=""),"INCOMPLETO",IF(AI440&lt;&gt;"","REVISAR",IF(AND(AF440&lt;&gt;"",AG440="ESCANEADO"),"LISTO_COMPLETO","LISTO_SIN_BARCODE")))))</f>
        <v/>
      </c>
      <c r="AI440" s="17">
        <f>IF(NOT(OR(B440="EXISTENTE",COUNTA(G440,H440,I440,J440,K440,M440,N440,U440,V440,X440,Y440,Z440,AF440,AJ440)&gt;0)),"",TEXTJOIN(" | ",TRUE,IF(A440="","Falta ID staging",""),IF(COUNTIF($A$5:$A$445,A440)&gt;1,"ID staging duplicado",""),IF(G440="","Falta nombre",""),IF(LEN(G440)&gt;150,"Nombre &gt;150 caracteres",""),IF(H440="","Falta categoría",IF(COUNTIF(CategoriasLista,H440)=0,"Categoría inválida","")),IF(M440="","Falta precio compra",IF(OR(NOT(ISNUMBER(M440)),M440&lt;0),"Precio compra inválido","")),IF(N440="","Falta precio venta",IF(OR(NOT(ISNUMBER(N440)),N440&lt;=0,N440&lt;M440),"Precio venta inválido","")),IF(O440="","Falta stock mínimo",IF(OR(NOT(ISNUMBER(O440)),O440&lt;0,MOD(O440,1)&lt;&gt;0),"Stock mínimo inválido","")),IF(P440="","Falta unidad",IF(COUNTIF(UnidadesLista,P440)=0,"Unidad inválida","")),IF(AND(K440&lt;&gt;"",COUNTIF(ProveedoresLista,K440)=0),"Proveedor no catalogado",""),IF(X440="","Falta cantidad contada",IF(OR(NOT(ISNUMBER(X440)),X440&lt;0,ABS(X440*1000-ROUND(X440*1000,0))&gt;0.0000001),"Cantidad inválida",IF(AND(Q440="NO",MOD(X440,1)&lt;&gt;0),"Cantidad fraccionaria no permitida",""))),IF(AND(R440="SI",OR(NOT(ISNUMBER(S440)),S440&lt;1,MOD(S440,1)&lt;&gt;0)),"Empaque inválido",""),IF(OR(AND(AF440="",AG440="ESCANEADO"),AND(AF440&lt;&gt;"",AG440&lt;&gt;"ESCANEADO")),"Barcode/estado inconsistente",""),IF(AK440&lt;&gt;"",AK440,"")))</f>
        <v/>
      </c>
      <c r="AJ440" s="21" t="n"/>
      <c r="AK440" s="17">
        <f>IF(G440="","",IF(OR(COUNTIFS($G$5:$G$445,G440,$I$5:$I$445,I440,$J$5:$J$445,J440,$P$5:$P$445,P440)&gt;1,AND(AF440&lt;&gt;"",COUNTIF($AF$5:$AF$445,AF440)&gt;1)),"REVISAR_POSIBLE_DUPLICADO",""))</f>
        <v/>
      </c>
    </row>
    <row r="441">
      <c r="A441" s="17" t="inlineStr">
        <is>
          <t>d8b05d39-ade0-5dfb-815a-98ba248f1ec2</t>
        </is>
      </c>
      <c r="B441" s="18" t="inlineStr">
        <is>
          <t>NUEVO</t>
        </is>
      </c>
      <c r="C441" s="18" t="inlineStr">
        <is>
          <t>ACTIVO</t>
        </is>
      </c>
      <c r="D441" s="18" t="n"/>
      <c r="E441" s="17" t="n"/>
      <c r="F441" s="17" t="n"/>
      <c r="G441" s="19" t="n"/>
      <c r="H441" s="19" t="n"/>
      <c r="I441" s="20" t="n"/>
      <c r="J441" s="20" t="n"/>
      <c r="K441" s="21" t="n"/>
      <c r="L441" s="18" t="n"/>
      <c r="M441" s="22" t="n"/>
      <c r="N441" s="22" t="n"/>
      <c r="O441" s="23" t="n">
        <v>10</v>
      </c>
      <c r="P441" s="24" t="inlineStr">
        <is>
          <t>UNIDAD</t>
        </is>
      </c>
      <c r="Q441" s="20" t="inlineStr">
        <is>
          <t>NO</t>
        </is>
      </c>
      <c r="R441" s="20" t="inlineStr">
        <is>
          <t>NO</t>
        </is>
      </c>
      <c r="S441" s="25" t="n">
        <v>1</v>
      </c>
      <c r="T441" s="20" t="inlineStr">
        <is>
          <t>NO</t>
        </is>
      </c>
      <c r="U441" s="20" t="n"/>
      <c r="V441" s="21" t="n"/>
      <c r="W441" s="26" t="n"/>
      <c r="X441" s="27" t="n"/>
      <c r="Y441" s="20" t="n"/>
      <c r="Z441" s="20" t="n"/>
      <c r="AA441" s="26">
        <f>IF(X441="","",X441-IF(W441="",0,W441))</f>
        <v/>
      </c>
      <c r="AB441" s="28">
        <f>IF(OR(X441="",M441=""),"",X441*M441)</f>
        <v/>
      </c>
      <c r="AC441" s="28">
        <f>IF(OR(X441="",N441=""),"",X441*N441)</f>
        <v/>
      </c>
      <c r="AD441" s="28">
        <f>IF(OR(M441="",N441=""),"",N441-M441)</f>
        <v/>
      </c>
      <c r="AE441" s="29">
        <f>IFERROR(IF(M441&gt;0,(N441-M441)/M441,""),"")</f>
        <v/>
      </c>
      <c r="AF441" s="30" t="n"/>
      <c r="AG441" s="30" t="inlineStr">
        <is>
          <t>PENDIENTE</t>
        </is>
      </c>
      <c r="AH441" s="18">
        <f>IF(NOT(OR(B441="EXISTENTE",COUNTA(G441,H441,I441,J441,K441,M441,N441,U441,V441,X441,Y441,Z441,AF441,AJ441)&gt;0)),"",IF(AK441&lt;&gt;"","REVISAR",IF(OR(G441="",H441="",M441="",N441="",O441="",P441="",X441=""),"INCOMPLETO",IF(AI441&lt;&gt;"","REVISAR",IF(AND(AF441&lt;&gt;"",AG441="ESCANEADO"),"LISTO_COMPLETO","LISTO_SIN_BARCODE")))))</f>
        <v/>
      </c>
      <c r="AI441" s="17">
        <f>IF(NOT(OR(B441="EXISTENTE",COUNTA(G441,H441,I441,J441,K441,M441,N441,U441,V441,X441,Y441,Z441,AF441,AJ441)&gt;0)),"",TEXTJOIN(" | ",TRUE,IF(A441="","Falta ID staging",""),IF(COUNTIF($A$5:$A$445,A441)&gt;1,"ID staging duplicado",""),IF(G441="","Falta nombre",""),IF(LEN(G441)&gt;150,"Nombre &gt;150 caracteres",""),IF(H441="","Falta categoría",IF(COUNTIF(CategoriasLista,H441)=0,"Categoría inválida","")),IF(M441="","Falta precio compra",IF(OR(NOT(ISNUMBER(M441)),M441&lt;0),"Precio compra inválido","")),IF(N441="","Falta precio venta",IF(OR(NOT(ISNUMBER(N441)),N441&lt;=0,N441&lt;M441),"Precio venta inválido","")),IF(O441="","Falta stock mínimo",IF(OR(NOT(ISNUMBER(O441)),O441&lt;0,MOD(O441,1)&lt;&gt;0),"Stock mínimo inválido","")),IF(P441="","Falta unidad",IF(COUNTIF(UnidadesLista,P441)=0,"Unidad inválida","")),IF(AND(K441&lt;&gt;"",COUNTIF(ProveedoresLista,K441)=0),"Proveedor no catalogado",""),IF(X441="","Falta cantidad contada",IF(OR(NOT(ISNUMBER(X441)),X441&lt;0,ABS(X441*1000-ROUND(X441*1000,0))&gt;0.0000001),"Cantidad inválida",IF(AND(Q441="NO",MOD(X441,1)&lt;&gt;0),"Cantidad fraccionaria no permitida",""))),IF(AND(R441="SI",OR(NOT(ISNUMBER(S441)),S441&lt;1,MOD(S441,1)&lt;&gt;0)),"Empaque inválido",""),IF(OR(AND(AF441="",AG441="ESCANEADO"),AND(AF441&lt;&gt;"",AG441&lt;&gt;"ESCANEADO")),"Barcode/estado inconsistente",""),IF(AK441&lt;&gt;"",AK441,"")))</f>
        <v/>
      </c>
      <c r="AJ441" s="21" t="n"/>
      <c r="AK441" s="17">
        <f>IF(G441="","",IF(OR(COUNTIFS($G$5:$G$445,G441,$I$5:$I$445,I441,$J$5:$J$445,J441,$P$5:$P$445,P441)&gt;1,AND(AF441&lt;&gt;"",COUNTIF($AF$5:$AF$445,AF441)&gt;1)),"REVISAR_POSIBLE_DUPLICADO",""))</f>
        <v/>
      </c>
    </row>
    <row r="442">
      <c r="A442" s="17" t="inlineStr">
        <is>
          <t>118a44e6-c44f-5989-ae0c-102ddd4bd5f7</t>
        </is>
      </c>
      <c r="B442" s="18" t="inlineStr">
        <is>
          <t>NUEVO</t>
        </is>
      </c>
      <c r="C442" s="18" t="inlineStr">
        <is>
          <t>ACTIVO</t>
        </is>
      </c>
      <c r="D442" s="18" t="n"/>
      <c r="E442" s="17" t="n"/>
      <c r="F442" s="17" t="n"/>
      <c r="G442" s="19" t="n"/>
      <c r="H442" s="19" t="n"/>
      <c r="I442" s="20" t="n"/>
      <c r="J442" s="20" t="n"/>
      <c r="K442" s="21" t="n"/>
      <c r="L442" s="18" t="n"/>
      <c r="M442" s="22" t="n"/>
      <c r="N442" s="22" t="n"/>
      <c r="O442" s="23" t="n">
        <v>10</v>
      </c>
      <c r="P442" s="24" t="inlineStr">
        <is>
          <t>UNIDAD</t>
        </is>
      </c>
      <c r="Q442" s="20" t="inlineStr">
        <is>
          <t>NO</t>
        </is>
      </c>
      <c r="R442" s="20" t="inlineStr">
        <is>
          <t>NO</t>
        </is>
      </c>
      <c r="S442" s="25" t="n">
        <v>1</v>
      </c>
      <c r="T442" s="20" t="inlineStr">
        <is>
          <t>NO</t>
        </is>
      </c>
      <c r="U442" s="20" t="n"/>
      <c r="V442" s="21" t="n"/>
      <c r="W442" s="26" t="n"/>
      <c r="X442" s="27" t="n"/>
      <c r="Y442" s="20" t="n"/>
      <c r="Z442" s="20" t="n"/>
      <c r="AA442" s="26">
        <f>IF(X442="","",X442-IF(W442="",0,W442))</f>
        <v/>
      </c>
      <c r="AB442" s="28">
        <f>IF(OR(X442="",M442=""),"",X442*M442)</f>
        <v/>
      </c>
      <c r="AC442" s="28">
        <f>IF(OR(X442="",N442=""),"",X442*N442)</f>
        <v/>
      </c>
      <c r="AD442" s="28">
        <f>IF(OR(M442="",N442=""),"",N442-M442)</f>
        <v/>
      </c>
      <c r="AE442" s="29">
        <f>IFERROR(IF(M442&gt;0,(N442-M442)/M442,""),"")</f>
        <v/>
      </c>
      <c r="AF442" s="30" t="n"/>
      <c r="AG442" s="30" t="inlineStr">
        <is>
          <t>PENDIENTE</t>
        </is>
      </c>
      <c r="AH442" s="18">
        <f>IF(NOT(OR(B442="EXISTENTE",COUNTA(G442,H442,I442,J442,K442,M442,N442,U442,V442,X442,Y442,Z442,AF442,AJ442)&gt;0)),"",IF(AK442&lt;&gt;"","REVISAR",IF(OR(G442="",H442="",M442="",N442="",O442="",P442="",X442=""),"INCOMPLETO",IF(AI442&lt;&gt;"","REVISAR",IF(AND(AF442&lt;&gt;"",AG442="ESCANEADO"),"LISTO_COMPLETO","LISTO_SIN_BARCODE")))))</f>
        <v/>
      </c>
      <c r="AI442" s="17">
        <f>IF(NOT(OR(B442="EXISTENTE",COUNTA(G442,H442,I442,J442,K442,M442,N442,U442,V442,X442,Y442,Z442,AF442,AJ442)&gt;0)),"",TEXTJOIN(" | ",TRUE,IF(A442="","Falta ID staging",""),IF(COUNTIF($A$5:$A$445,A442)&gt;1,"ID staging duplicado",""),IF(G442="","Falta nombre",""),IF(LEN(G442)&gt;150,"Nombre &gt;150 caracteres",""),IF(H442="","Falta categoría",IF(COUNTIF(CategoriasLista,H442)=0,"Categoría inválida","")),IF(M442="","Falta precio compra",IF(OR(NOT(ISNUMBER(M442)),M442&lt;0),"Precio compra inválido","")),IF(N442="","Falta precio venta",IF(OR(NOT(ISNUMBER(N442)),N442&lt;=0,N442&lt;M442),"Precio venta inválido","")),IF(O442="","Falta stock mínimo",IF(OR(NOT(ISNUMBER(O442)),O442&lt;0,MOD(O442,1)&lt;&gt;0),"Stock mínimo inválido","")),IF(P442="","Falta unidad",IF(COUNTIF(UnidadesLista,P442)=0,"Unidad inválida","")),IF(AND(K442&lt;&gt;"",COUNTIF(ProveedoresLista,K442)=0),"Proveedor no catalogado",""),IF(X442="","Falta cantidad contada",IF(OR(NOT(ISNUMBER(X442)),X442&lt;0,ABS(X442*1000-ROUND(X442*1000,0))&gt;0.0000001),"Cantidad inválida",IF(AND(Q442="NO",MOD(X442,1)&lt;&gt;0),"Cantidad fraccionaria no permitida",""))),IF(AND(R442="SI",OR(NOT(ISNUMBER(S442)),S442&lt;1,MOD(S442,1)&lt;&gt;0)),"Empaque inválido",""),IF(OR(AND(AF442="",AG442="ESCANEADO"),AND(AF442&lt;&gt;"",AG442&lt;&gt;"ESCANEADO")),"Barcode/estado inconsistente",""),IF(AK442&lt;&gt;"",AK442,"")))</f>
        <v/>
      </c>
      <c r="AJ442" s="21" t="n"/>
      <c r="AK442" s="17">
        <f>IF(G442="","",IF(OR(COUNTIFS($G$5:$G$445,G442,$I$5:$I$445,I442,$J$5:$J$445,J442,$P$5:$P$445,P442)&gt;1,AND(AF442&lt;&gt;"",COUNTIF($AF$5:$AF$445,AF442)&gt;1)),"REVISAR_POSIBLE_DUPLICADO",""))</f>
        <v/>
      </c>
    </row>
    <row r="443">
      <c r="A443" s="17" t="inlineStr">
        <is>
          <t>76265aa3-84b8-5283-9643-d49e1f8b113f</t>
        </is>
      </c>
      <c r="B443" s="18" t="inlineStr">
        <is>
          <t>NUEVO</t>
        </is>
      </c>
      <c r="C443" s="18" t="inlineStr">
        <is>
          <t>ACTIVO</t>
        </is>
      </c>
      <c r="D443" s="18" t="n"/>
      <c r="E443" s="17" t="n"/>
      <c r="F443" s="17" t="n"/>
      <c r="G443" s="19" t="n"/>
      <c r="H443" s="19" t="n"/>
      <c r="I443" s="20" t="n"/>
      <c r="J443" s="20" t="n"/>
      <c r="K443" s="21" t="n"/>
      <c r="L443" s="18" t="n"/>
      <c r="M443" s="22" t="n"/>
      <c r="N443" s="22" t="n"/>
      <c r="O443" s="23" t="n">
        <v>10</v>
      </c>
      <c r="P443" s="24" t="inlineStr">
        <is>
          <t>UNIDAD</t>
        </is>
      </c>
      <c r="Q443" s="20" t="inlineStr">
        <is>
          <t>NO</t>
        </is>
      </c>
      <c r="R443" s="20" t="inlineStr">
        <is>
          <t>NO</t>
        </is>
      </c>
      <c r="S443" s="25" t="n">
        <v>1</v>
      </c>
      <c r="T443" s="20" t="inlineStr">
        <is>
          <t>NO</t>
        </is>
      </c>
      <c r="U443" s="20" t="n"/>
      <c r="V443" s="21" t="n"/>
      <c r="W443" s="26" t="n"/>
      <c r="X443" s="27" t="n"/>
      <c r="Y443" s="20" t="n"/>
      <c r="Z443" s="20" t="n"/>
      <c r="AA443" s="26">
        <f>IF(X443="","",X443-IF(W443="",0,W443))</f>
        <v/>
      </c>
      <c r="AB443" s="28">
        <f>IF(OR(X443="",M443=""),"",X443*M443)</f>
        <v/>
      </c>
      <c r="AC443" s="28">
        <f>IF(OR(X443="",N443=""),"",X443*N443)</f>
        <v/>
      </c>
      <c r="AD443" s="28">
        <f>IF(OR(M443="",N443=""),"",N443-M443)</f>
        <v/>
      </c>
      <c r="AE443" s="29">
        <f>IFERROR(IF(M443&gt;0,(N443-M443)/M443,""),"")</f>
        <v/>
      </c>
      <c r="AF443" s="30" t="n"/>
      <c r="AG443" s="30" t="inlineStr">
        <is>
          <t>PENDIENTE</t>
        </is>
      </c>
      <c r="AH443" s="18">
        <f>IF(NOT(OR(B443="EXISTENTE",COUNTA(G443,H443,I443,J443,K443,M443,N443,U443,V443,X443,Y443,Z443,AF443,AJ443)&gt;0)),"",IF(AK443&lt;&gt;"","REVISAR",IF(OR(G443="",H443="",M443="",N443="",O443="",P443="",X443=""),"INCOMPLETO",IF(AI443&lt;&gt;"","REVISAR",IF(AND(AF443&lt;&gt;"",AG443="ESCANEADO"),"LISTO_COMPLETO","LISTO_SIN_BARCODE")))))</f>
        <v/>
      </c>
      <c r="AI443" s="17">
        <f>IF(NOT(OR(B443="EXISTENTE",COUNTA(G443,H443,I443,J443,K443,M443,N443,U443,V443,X443,Y443,Z443,AF443,AJ443)&gt;0)),"",TEXTJOIN(" | ",TRUE,IF(A443="","Falta ID staging",""),IF(COUNTIF($A$5:$A$445,A443)&gt;1,"ID staging duplicado",""),IF(G443="","Falta nombre",""),IF(LEN(G443)&gt;150,"Nombre &gt;150 caracteres",""),IF(H443="","Falta categoría",IF(COUNTIF(CategoriasLista,H443)=0,"Categoría inválida","")),IF(M443="","Falta precio compra",IF(OR(NOT(ISNUMBER(M443)),M443&lt;0),"Precio compra inválido","")),IF(N443="","Falta precio venta",IF(OR(NOT(ISNUMBER(N443)),N443&lt;=0,N443&lt;M443),"Precio venta inválido","")),IF(O443="","Falta stock mínimo",IF(OR(NOT(ISNUMBER(O443)),O443&lt;0,MOD(O443,1)&lt;&gt;0),"Stock mínimo inválido","")),IF(P443="","Falta unidad",IF(COUNTIF(UnidadesLista,P443)=0,"Unidad inválida","")),IF(AND(K443&lt;&gt;"",COUNTIF(ProveedoresLista,K443)=0),"Proveedor no catalogado",""),IF(X443="","Falta cantidad contada",IF(OR(NOT(ISNUMBER(X443)),X443&lt;0,ABS(X443*1000-ROUND(X443*1000,0))&gt;0.0000001),"Cantidad inválida",IF(AND(Q443="NO",MOD(X443,1)&lt;&gt;0),"Cantidad fraccionaria no permitida",""))),IF(AND(R443="SI",OR(NOT(ISNUMBER(S443)),S443&lt;1,MOD(S443,1)&lt;&gt;0)),"Empaque inválido",""),IF(OR(AND(AF443="",AG443="ESCANEADO"),AND(AF443&lt;&gt;"",AG443&lt;&gt;"ESCANEADO")),"Barcode/estado inconsistente",""),IF(AK443&lt;&gt;"",AK443,"")))</f>
        <v/>
      </c>
      <c r="AJ443" s="21" t="n"/>
      <c r="AK443" s="17">
        <f>IF(G443="","",IF(OR(COUNTIFS($G$5:$G$445,G443,$I$5:$I$445,I443,$J$5:$J$445,J443,$P$5:$P$445,P443)&gt;1,AND(AF443&lt;&gt;"",COUNTIF($AF$5:$AF$445,AF443)&gt;1)),"REVISAR_POSIBLE_DUPLICADO",""))</f>
        <v/>
      </c>
    </row>
    <row r="444">
      <c r="A444" s="17" t="inlineStr">
        <is>
          <t>acddb56a-1165-547d-b36a-f64d13a3bb58</t>
        </is>
      </c>
      <c r="B444" s="18" t="inlineStr">
        <is>
          <t>NUEVO</t>
        </is>
      </c>
      <c r="C444" s="18" t="inlineStr">
        <is>
          <t>ACTIVO</t>
        </is>
      </c>
      <c r="D444" s="18" t="n"/>
      <c r="E444" s="17" t="n"/>
      <c r="F444" s="17" t="n"/>
      <c r="G444" s="19" t="n"/>
      <c r="H444" s="19" t="n"/>
      <c r="I444" s="20" t="n"/>
      <c r="J444" s="20" t="n"/>
      <c r="K444" s="21" t="n"/>
      <c r="L444" s="18" t="n"/>
      <c r="M444" s="22" t="n"/>
      <c r="N444" s="22" t="n"/>
      <c r="O444" s="23" t="n">
        <v>10</v>
      </c>
      <c r="P444" s="24" t="inlineStr">
        <is>
          <t>UNIDAD</t>
        </is>
      </c>
      <c r="Q444" s="20" t="inlineStr">
        <is>
          <t>NO</t>
        </is>
      </c>
      <c r="R444" s="20" t="inlineStr">
        <is>
          <t>NO</t>
        </is>
      </c>
      <c r="S444" s="25" t="n">
        <v>1</v>
      </c>
      <c r="T444" s="20" t="inlineStr">
        <is>
          <t>NO</t>
        </is>
      </c>
      <c r="U444" s="20" t="n"/>
      <c r="V444" s="21" t="n"/>
      <c r="W444" s="26" t="n"/>
      <c r="X444" s="27" t="n"/>
      <c r="Y444" s="20" t="n"/>
      <c r="Z444" s="20" t="n"/>
      <c r="AA444" s="26">
        <f>IF(X444="","",X444-IF(W444="",0,W444))</f>
        <v/>
      </c>
      <c r="AB444" s="28">
        <f>IF(OR(X444="",M444=""),"",X444*M444)</f>
        <v/>
      </c>
      <c r="AC444" s="28">
        <f>IF(OR(X444="",N444=""),"",X444*N444)</f>
        <v/>
      </c>
      <c r="AD444" s="28">
        <f>IF(OR(M444="",N444=""),"",N444-M444)</f>
        <v/>
      </c>
      <c r="AE444" s="29">
        <f>IFERROR(IF(M444&gt;0,(N444-M444)/M444,""),"")</f>
        <v/>
      </c>
      <c r="AF444" s="30" t="n"/>
      <c r="AG444" s="30" t="inlineStr">
        <is>
          <t>PENDIENTE</t>
        </is>
      </c>
      <c r="AH444" s="18">
        <f>IF(NOT(OR(B444="EXISTENTE",COUNTA(G444,H444,I444,J444,K444,M444,N444,U444,V444,X444,Y444,Z444,AF444,AJ444)&gt;0)),"",IF(AK444&lt;&gt;"","REVISAR",IF(OR(G444="",H444="",M444="",N444="",O444="",P444="",X444=""),"INCOMPLETO",IF(AI444&lt;&gt;"","REVISAR",IF(AND(AF444&lt;&gt;"",AG444="ESCANEADO"),"LISTO_COMPLETO","LISTO_SIN_BARCODE")))))</f>
        <v/>
      </c>
      <c r="AI444" s="17">
        <f>IF(NOT(OR(B444="EXISTENTE",COUNTA(G444,H444,I444,J444,K444,M444,N444,U444,V444,X444,Y444,Z444,AF444,AJ444)&gt;0)),"",TEXTJOIN(" | ",TRUE,IF(A444="","Falta ID staging",""),IF(COUNTIF($A$5:$A$445,A444)&gt;1,"ID staging duplicado",""),IF(G444="","Falta nombre",""),IF(LEN(G444)&gt;150,"Nombre &gt;150 caracteres",""),IF(H444="","Falta categoría",IF(COUNTIF(CategoriasLista,H444)=0,"Categoría inválida","")),IF(M444="","Falta precio compra",IF(OR(NOT(ISNUMBER(M444)),M444&lt;0),"Precio compra inválido","")),IF(N444="","Falta precio venta",IF(OR(NOT(ISNUMBER(N444)),N444&lt;=0,N444&lt;M444),"Precio venta inválido","")),IF(O444="","Falta stock mínimo",IF(OR(NOT(ISNUMBER(O444)),O444&lt;0,MOD(O444,1)&lt;&gt;0),"Stock mínimo inválido","")),IF(P444="","Falta unidad",IF(COUNTIF(UnidadesLista,P444)=0,"Unidad inválida","")),IF(AND(K444&lt;&gt;"",COUNTIF(ProveedoresLista,K444)=0),"Proveedor no catalogado",""),IF(X444="","Falta cantidad contada",IF(OR(NOT(ISNUMBER(X444)),X444&lt;0,ABS(X444*1000-ROUND(X444*1000,0))&gt;0.0000001),"Cantidad inválida",IF(AND(Q444="NO",MOD(X444,1)&lt;&gt;0),"Cantidad fraccionaria no permitida",""))),IF(AND(R444="SI",OR(NOT(ISNUMBER(S444)),S444&lt;1,MOD(S444,1)&lt;&gt;0)),"Empaque inválido",""),IF(OR(AND(AF444="",AG444="ESCANEADO"),AND(AF444&lt;&gt;"",AG444&lt;&gt;"ESCANEADO")),"Barcode/estado inconsistente",""),IF(AK444&lt;&gt;"",AK444,"")))</f>
        <v/>
      </c>
      <c r="AJ444" s="21" t="n"/>
      <c r="AK444" s="17">
        <f>IF(G444="","",IF(OR(COUNTIFS($G$5:$G$445,G444,$I$5:$I$445,I444,$J$5:$J$445,J444,$P$5:$P$445,P444)&gt;1,AND(AF444&lt;&gt;"",COUNTIF($AF$5:$AF$445,AF444)&gt;1)),"REVISAR_POSIBLE_DUPLICADO",""))</f>
        <v/>
      </c>
    </row>
    <row r="445">
      <c r="A445" s="17" t="inlineStr">
        <is>
          <t>b89c71f9-6c4a-5f99-9c23-eb7cf451fb5f</t>
        </is>
      </c>
      <c r="B445" s="18" t="inlineStr">
        <is>
          <t>NUEVO</t>
        </is>
      </c>
      <c r="C445" s="18" t="inlineStr">
        <is>
          <t>ACTIVO</t>
        </is>
      </c>
      <c r="D445" s="18" t="n"/>
      <c r="E445" s="17" t="n"/>
      <c r="F445" s="17" t="n"/>
      <c r="G445" s="19" t="n"/>
      <c r="H445" s="19" t="n"/>
      <c r="I445" s="20" t="n"/>
      <c r="J445" s="20" t="n"/>
      <c r="K445" s="21" t="n"/>
      <c r="L445" s="18" t="n"/>
      <c r="M445" s="22" t="n"/>
      <c r="N445" s="22" t="n"/>
      <c r="O445" s="23" t="n">
        <v>10</v>
      </c>
      <c r="P445" s="24" t="inlineStr">
        <is>
          <t>UNIDAD</t>
        </is>
      </c>
      <c r="Q445" s="20" t="inlineStr">
        <is>
          <t>NO</t>
        </is>
      </c>
      <c r="R445" s="20" t="inlineStr">
        <is>
          <t>NO</t>
        </is>
      </c>
      <c r="S445" s="25" t="n">
        <v>1</v>
      </c>
      <c r="T445" s="20" t="inlineStr">
        <is>
          <t>NO</t>
        </is>
      </c>
      <c r="U445" s="20" t="n"/>
      <c r="V445" s="21" t="n"/>
      <c r="W445" s="26" t="n"/>
      <c r="X445" s="27" t="n"/>
      <c r="Y445" s="20" t="n"/>
      <c r="Z445" s="20" t="n"/>
      <c r="AA445" s="26">
        <f>IF(X445="","",X445-IF(W445="",0,W445))</f>
        <v/>
      </c>
      <c r="AB445" s="28">
        <f>IF(OR(X445="",M445=""),"",X445*M445)</f>
        <v/>
      </c>
      <c r="AC445" s="28">
        <f>IF(OR(X445="",N445=""),"",X445*N445)</f>
        <v/>
      </c>
      <c r="AD445" s="28">
        <f>IF(OR(M445="",N445=""),"",N445-M445)</f>
        <v/>
      </c>
      <c r="AE445" s="29">
        <f>IFERROR(IF(M445&gt;0,(N445-M445)/M445,""),"")</f>
        <v/>
      </c>
      <c r="AF445" s="30" t="n"/>
      <c r="AG445" s="30" t="inlineStr">
        <is>
          <t>PENDIENTE</t>
        </is>
      </c>
      <c r="AH445" s="18">
        <f>IF(NOT(OR(B445="EXISTENTE",COUNTA(G445,H445,I445,J445,K445,M445,N445,U445,V445,X445,Y445,Z445,AF445,AJ445)&gt;0)),"",IF(AK445&lt;&gt;"","REVISAR",IF(OR(G445="",H445="",M445="",N445="",O445="",P445="",X445=""),"INCOMPLETO",IF(AI445&lt;&gt;"","REVISAR",IF(AND(AF445&lt;&gt;"",AG445="ESCANEADO"),"LISTO_COMPLETO","LISTO_SIN_BARCODE")))))</f>
        <v/>
      </c>
      <c r="AI445" s="17">
        <f>IF(NOT(OR(B445="EXISTENTE",COUNTA(G445,H445,I445,J445,K445,M445,N445,U445,V445,X445,Y445,Z445,AF445,AJ445)&gt;0)),"",TEXTJOIN(" | ",TRUE,IF(A445="","Falta ID staging",""),IF(COUNTIF($A$5:$A$445,A445)&gt;1,"ID staging duplicado",""),IF(G445="","Falta nombre",""),IF(LEN(G445)&gt;150,"Nombre &gt;150 caracteres",""),IF(H445="","Falta categoría",IF(COUNTIF(CategoriasLista,H445)=0,"Categoría inválida","")),IF(M445="","Falta precio compra",IF(OR(NOT(ISNUMBER(M445)),M445&lt;0),"Precio compra inválido","")),IF(N445="","Falta precio venta",IF(OR(NOT(ISNUMBER(N445)),N445&lt;=0,N445&lt;M445),"Precio venta inválido","")),IF(O445="","Falta stock mínimo",IF(OR(NOT(ISNUMBER(O445)),O445&lt;0,MOD(O445,1)&lt;&gt;0),"Stock mínimo inválido","")),IF(P445="","Falta unidad",IF(COUNTIF(UnidadesLista,P445)=0,"Unidad inválida","")),IF(AND(K445&lt;&gt;"",COUNTIF(ProveedoresLista,K445)=0),"Proveedor no catalogado",""),IF(X445="","Falta cantidad contada",IF(OR(NOT(ISNUMBER(X445)),X445&lt;0,ABS(X445*1000-ROUND(X445*1000,0))&gt;0.0000001),"Cantidad inválida",IF(AND(Q445="NO",MOD(X445,1)&lt;&gt;0),"Cantidad fraccionaria no permitida",""))),IF(AND(R445="SI",OR(NOT(ISNUMBER(S445)),S445&lt;1,MOD(S445,1)&lt;&gt;0)),"Empaque inválido",""),IF(OR(AND(AF445="",AG445="ESCANEADO"),AND(AF445&lt;&gt;"",AG445&lt;&gt;"ESCANEADO")),"Barcode/estado inconsistente",""),IF(AK445&lt;&gt;"",AK445,"")))</f>
        <v/>
      </c>
      <c r="AJ445" s="21" t="n"/>
      <c r="AK445" s="17">
        <f>IF(G445="","",IF(OR(COUNTIFS($G$5:$G$445,G445,$I$5:$I$445,I445,$J$5:$J$445,J445,$P$5:$P$445,P445)&gt;1,AND(AF445&lt;&gt;"",COUNTIF($AF$5:$AF$445,AF445)&gt;1)),"REVISAR_POSIBLE_DUPLICADO",""))</f>
        <v/>
      </c>
    </row>
  </sheetData>
  <autoFilter ref="A4:AK445"/>
  <mergeCells count="8">
    <mergeCell ref="AF3:AG3"/>
    <mergeCell ref="AA3:AE3"/>
    <mergeCell ref="A2:AK2"/>
    <mergeCell ref="AH3:AK3"/>
    <mergeCell ref="U3:Z3"/>
    <mergeCell ref="A1:AK1"/>
    <mergeCell ref="A3:L3"/>
    <mergeCell ref="M3:T3"/>
  </mergeCells>
  <conditionalFormatting sqref="AH5:AH445">
    <cfRule type="expression" priority="1" dxfId="0">
      <formula>AH5="LISTO_COMPLETO"</formula>
    </cfRule>
    <cfRule type="expression" priority="2" dxfId="1">
      <formula>AH5="LISTO_SIN_BARCODE"</formula>
    </cfRule>
    <cfRule type="expression" priority="3" dxfId="2">
      <formula>AH5="REVISAR"</formula>
    </cfRule>
  </conditionalFormatting>
  <dataValidations count="9">
    <dataValidation sqref="H5:H445" showDropDown="0" showInputMessage="0" showErrorMessage="1" allowBlank="1" errorTitle="Catálogo FERREPRO" error="Seleccione un valor de CATALOGOS." type="list" errorStyle="stop">
      <formula1>=CategoriasLista</formula1>
    </dataValidation>
    <dataValidation sqref="P5:P445" showDropDown="0" showInputMessage="0" showErrorMessage="1" allowBlank="1" errorTitle="Catálogo FERREPRO" error="Seleccione un valor de CATALOGOS." type="list" errorStyle="stop">
      <formula1>=UnidadesLista</formula1>
    </dataValidation>
    <dataValidation sqref="K5:K445" showDropDown="0" showInputMessage="0" showErrorMessage="1" allowBlank="1" errorTitle="Catálogo FERREPRO" error="Seleccione un valor de CATALOGOS." type="list" errorStyle="warning">
      <formula1>=ProveedoresLista</formula1>
    </dataValidation>
    <dataValidation sqref="Q5:Q445" showDropDown="0" showInputMessage="0" showErrorMessage="0" allowBlank="0" type="list">
      <formula1>"NO,SI"</formula1>
    </dataValidation>
    <dataValidation sqref="R5:R445" showDropDown="0" showInputMessage="0" showErrorMessage="0" allowBlank="0" type="list">
      <formula1>"NO,SI"</formula1>
    </dataValidation>
    <dataValidation sqref="T5:T445" showDropDown="0" showInputMessage="0" showErrorMessage="0" allowBlank="0" type="list">
      <formula1>"NO,SI"</formula1>
    </dataValidation>
    <dataValidation sqref="AG5:AG445" showDropDown="0" showInputMessage="0" showErrorMessage="0" allowBlank="0" type="list">
      <formula1>"PENDIENTE,ESCANEADO"</formula1>
    </dataValidation>
    <dataValidation sqref="X5:X445" showDropDown="0" showInputMessage="0" showErrorMessage="1" allowBlank="1" errorTitle="Cantidad inválida" error="Use un número no negativo con máximo 3 decimales." type="custom">
      <formula1>=OR(X5="",AND(ISNUMBER(X5),X5&gt;=0,ABS(X5*1000-ROUND(X5*1000,0))&lt;0.0000001))</formula1>
    </dataValidation>
    <dataValidation sqref="AF5:AF445" showDropDown="0" showInputMessage="0" showErrorMessage="1" allowBlank="1" error="Barcode repetido: revise, no fusione automáticamente." type="custom" errorStyle="warning">
      <formula1>=OR(AF5="",COUNTIF($AF$5:$AF$445,AF5)=1)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3" max="3"/>
    <col width="20" customWidth="1" min="5" max="5"/>
    <col width="16" customWidth="1" min="7" max="7"/>
    <col width="34" customWidth="1" min="8" max="8"/>
  </cols>
  <sheetData>
    <row r="1" ht="34" customHeight="1">
      <c r="A1" s="1" t="inlineStr">
        <is>
          <t>Catálogos para captura</t>
        </is>
      </c>
    </row>
    <row r="2" ht="28" customHeight="1">
      <c r="A2" s="2" t="inlineStr">
        <is>
          <t>Categoría y unidad son listas controladas. Marca es abierta. Proveedor es opcional y debe resolverse si es nuevo.</t>
        </is>
      </c>
    </row>
    <row r="4">
      <c r="A4" s="31" t="inlineStr">
        <is>
          <t>CATEGORIAS</t>
        </is>
      </c>
      <c r="C4" s="31" t="inlineStr">
        <is>
          <t>MARCAS_EXISTENTES</t>
        </is>
      </c>
      <c r="E4" s="31" t="inlineStr">
        <is>
          <t>UNIDADES</t>
        </is>
      </c>
      <c r="G4" s="31" t="inlineStr">
        <is>
          <t>PROVEEDOR_ID</t>
        </is>
      </c>
      <c r="H4" s="31" t="inlineStr">
        <is>
          <t>PROVEEDORES</t>
        </is>
      </c>
    </row>
    <row r="5">
      <c r="A5" t="inlineStr">
        <is>
          <t>Adhesivos y selladores</t>
        </is>
      </c>
      <c r="C5" t="inlineStr">
        <is>
          <t>AceroPlus</t>
        </is>
      </c>
      <c r="E5" t="inlineStr">
        <is>
          <t>BULTO</t>
        </is>
      </c>
      <c r="G5" t="n">
        <v>1</v>
      </c>
      <c r="H5" t="inlineStr">
        <is>
          <t>alexander</t>
        </is>
      </c>
    </row>
    <row r="6">
      <c r="A6" t="inlineStr">
        <is>
          <t>Cerraduras y herrajes</t>
        </is>
      </c>
      <c r="C6" t="inlineStr">
        <is>
          <t>Andina Tools</t>
        </is>
      </c>
      <c r="E6" t="inlineStr">
        <is>
          <t>CAJA</t>
        </is>
      </c>
      <c r="G6" t="n">
        <v>2</v>
      </c>
      <c r="H6" t="inlineStr">
        <is>
          <t>juan</t>
        </is>
      </c>
    </row>
    <row r="7">
      <c r="A7" t="inlineStr">
        <is>
          <t>Construcción</t>
        </is>
      </c>
      <c r="C7" t="inlineStr">
        <is>
          <t>CasaForte</t>
        </is>
      </c>
      <c r="E7" t="inlineStr">
        <is>
          <t>GALON</t>
        </is>
      </c>
      <c r="G7" t="n">
        <v>10</v>
      </c>
      <c r="H7" t="inlineStr">
        <is>
          <t>Proveedor Prueba ConstruMateriales del Norte</t>
        </is>
      </c>
    </row>
    <row r="8">
      <c r="A8" t="inlineStr">
        <is>
          <t>Electricidad</t>
        </is>
      </c>
      <c r="C8" t="inlineStr">
        <is>
          <t>ConstruPro</t>
        </is>
      </c>
      <c r="E8" t="inlineStr">
        <is>
          <t>GALÓN</t>
        </is>
      </c>
      <c r="G8" t="n">
        <v>12</v>
      </c>
      <c r="H8" t="inlineStr">
        <is>
          <t>Proveedor Prueba Eléctricos Colombia</t>
        </is>
      </c>
    </row>
    <row r="9">
      <c r="A9" t="inlineStr">
        <is>
          <t>Electrodomésticos y Equipos</t>
        </is>
      </c>
      <c r="C9" t="inlineStr">
        <is>
          <t>ElectroAndes</t>
        </is>
      </c>
      <c r="E9" t="inlineStr">
        <is>
          <t>KILO</t>
        </is>
      </c>
      <c r="G9" t="n">
        <v>9</v>
      </c>
      <c r="H9" t="inlineStr">
        <is>
          <t>Proveedor Prueba Ferretería Central S.A.S.</t>
        </is>
      </c>
    </row>
    <row r="10">
      <c r="A10" t="inlineStr">
        <is>
          <t>Elementos de Fijación</t>
        </is>
      </c>
      <c r="C10" t="inlineStr">
        <is>
          <t>FerroMax</t>
        </is>
      </c>
      <c r="E10" t="inlineStr">
        <is>
          <t>LITRO</t>
        </is>
      </c>
      <c r="G10" t="n">
        <v>14</v>
      </c>
      <c r="H10" t="inlineStr">
        <is>
          <t>Proveedor Prueba Herramientas Industriales</t>
        </is>
      </c>
    </row>
    <row r="11">
      <c r="A11" t="inlineStr">
        <is>
          <t>Ferretería</t>
        </is>
      </c>
      <c r="C11" t="inlineStr">
        <is>
          <t>FixMaster</t>
        </is>
      </c>
      <c r="E11" t="inlineStr">
        <is>
          <t>METRO</t>
        </is>
      </c>
      <c r="G11" t="n">
        <v>13</v>
      </c>
      <c r="H11" t="inlineStr">
        <is>
          <t>Proveedor Prueba Pinturas y Acabados</t>
        </is>
      </c>
    </row>
    <row r="12">
      <c r="A12" t="inlineStr">
        <is>
          <t>Herrajes</t>
        </is>
      </c>
      <c r="C12" t="inlineStr">
        <is>
          <t>Generic</t>
        </is>
      </c>
      <c r="E12" t="inlineStr">
        <is>
          <t>PAR</t>
        </is>
      </c>
      <c r="G12" t="n">
        <v>15</v>
      </c>
      <c r="H12" t="inlineStr">
        <is>
          <t>Proveedor Prueba Plomería Nacional</t>
        </is>
      </c>
    </row>
    <row r="13">
      <c r="A13" t="inlineStr">
        <is>
          <t>Herramientas eléctricas</t>
        </is>
      </c>
      <c r="C13" t="inlineStr">
        <is>
          <t>Genérico</t>
        </is>
      </c>
      <c r="E13" t="inlineStr">
        <is>
          <t>SACO</t>
        </is>
      </c>
      <c r="G13" t="n">
        <v>16</v>
      </c>
      <c r="H13" t="inlineStr">
        <is>
          <t>Proveedor Prueba Seguridad y Protección</t>
        </is>
      </c>
    </row>
    <row r="14">
      <c r="A14" t="inlineStr">
        <is>
          <t>Herramientas Manuales</t>
        </is>
      </c>
      <c r="C14" t="inlineStr">
        <is>
          <t>getics</t>
        </is>
      </c>
      <c r="E14" t="inlineStr">
        <is>
          <t>UNIDAD</t>
        </is>
      </c>
      <c r="G14" t="n">
        <v>11</v>
      </c>
      <c r="H14" t="inlineStr">
        <is>
          <t>Proveedor Prueba Tornillos y Fijaciones Andinas</t>
        </is>
      </c>
    </row>
    <row r="15">
      <c r="A15" t="inlineStr">
        <is>
          <t>Jardinería</t>
        </is>
      </c>
      <c r="C15" t="inlineStr">
        <is>
          <t>Herracol</t>
        </is>
      </c>
    </row>
    <row r="16">
      <c r="A16" t="inlineStr">
        <is>
          <t>Limpieza y mantenimiento</t>
        </is>
      </c>
      <c r="C16" t="inlineStr">
        <is>
          <t>JardínMax</t>
        </is>
      </c>
    </row>
    <row r="17">
      <c r="A17" t="inlineStr">
        <is>
          <t>Líquidos</t>
        </is>
      </c>
      <c r="C17" t="inlineStr">
        <is>
          <t>marca 1</t>
        </is>
      </c>
    </row>
    <row r="18">
      <c r="A18" t="inlineStr">
        <is>
          <t>Materiales de Construcción</t>
        </is>
      </c>
      <c r="C18" t="inlineStr">
        <is>
          <t>onef</t>
        </is>
      </c>
    </row>
    <row r="19">
      <c r="A19" t="inlineStr">
        <is>
          <t>Pinturas</t>
        </is>
      </c>
      <c r="C19" t="inlineStr">
        <is>
          <t>Pintulínea</t>
        </is>
      </c>
    </row>
    <row r="20">
      <c r="A20" t="inlineStr">
        <is>
          <t>Pinturas y Acabados</t>
        </is>
      </c>
      <c r="C20" t="inlineStr">
        <is>
          <t>PlomeriPro</t>
        </is>
      </c>
    </row>
    <row r="21">
      <c r="A21" t="inlineStr">
        <is>
          <t>Plomería</t>
        </is>
      </c>
      <c r="C21" t="inlineStr">
        <is>
          <t>SegurPro</t>
        </is>
      </c>
    </row>
    <row r="22">
      <c r="A22" t="inlineStr">
        <is>
          <t>Productos en Polvo</t>
        </is>
      </c>
      <c r="C22" t="inlineStr">
        <is>
          <t>tolima</t>
        </is>
      </c>
    </row>
    <row r="23">
      <c r="A23" t="inlineStr">
        <is>
          <t>Seguridad industrial</t>
        </is>
      </c>
    </row>
    <row r="24">
      <c r="A24" t="inlineStr">
        <is>
          <t>Test</t>
        </is>
      </c>
    </row>
    <row r="25">
      <c r="A25" t="inlineStr">
        <is>
          <t>Tornillería y fijaciones</t>
        </is>
      </c>
    </row>
    <row r="26">
      <c r="A26" t="inlineStr">
        <is>
          <t>Varillas/Tubos/Alambres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34" customHeight="1">
      <c r="A1" s="1" t="inlineStr">
        <is>
          <t>Resumen del inventario</t>
        </is>
      </c>
    </row>
    <row r="2" ht="28" customHeight="1">
      <c r="A2" s="2" t="inlineStr">
        <is>
          <t>Indicadores calculados desde PRODUCTOS. Se actualizan al abrir/recalcular el archivo en Excel.</t>
        </is>
      </c>
    </row>
    <row r="4">
      <c r="A4" s="32" t="inlineStr">
        <is>
          <t>Total filas de productos</t>
        </is>
      </c>
      <c r="B4" s="33">
        <f>COUNTIF('PRODUCTOS'!$G$5:$G$445,"&lt;&gt;")</f>
        <v/>
      </c>
    </row>
    <row r="5">
      <c r="A5" s="32" t="inlineStr">
        <is>
          <t>Productos completos</t>
        </is>
      </c>
      <c r="B5" s="33">
        <f>COUNTIF('PRODUCTOS'!$AH$5:$AH$445,"LISTO_COMPLETO")</f>
        <v/>
      </c>
    </row>
    <row r="6">
      <c r="A6" s="32" t="inlineStr">
        <is>
          <t>LISTO_SIN_BARCODE</t>
        </is>
      </c>
      <c r="B6" s="33">
        <f>COUNTIF('PRODUCTOS'!$AH$5:$AH$445,"LISTO_SIN_BARCODE")</f>
        <v/>
      </c>
    </row>
    <row r="7">
      <c r="A7" s="32" t="inlineStr">
        <is>
          <t>Productos incompletos</t>
        </is>
      </c>
      <c r="B7" s="33">
        <f>COUNTIF('PRODUCTOS'!$AH$5:$AH$445,"INCOMPLETO")</f>
        <v/>
      </c>
    </row>
    <row r="8">
      <c r="A8" s="32" t="inlineStr">
        <is>
          <t>Barcodes pendientes</t>
        </is>
      </c>
      <c r="B8" s="33">
        <f>COUNTIFS('PRODUCTOS'!$AG$5:$AG$445,"PENDIENTE",'PRODUCTOS'!$G$5:$G$445,"&lt;&gt;")</f>
        <v/>
      </c>
    </row>
    <row r="9">
      <c r="A9" s="32" t="inlineStr">
        <is>
          <t>Productos a revisar</t>
        </is>
      </c>
      <c r="B9" s="33">
        <f>COUNTIF('PRODUCTOS'!$AH$5:$AH$445,"REVISAR")</f>
        <v/>
      </c>
    </row>
    <row r="10">
      <c r="A10" s="32" t="inlineStr">
        <is>
          <t>Cantidad total contada</t>
        </is>
      </c>
      <c r="B10" s="34">
        <f>SUM('PRODUCTOS'!$X$5:$X$445)</f>
        <v/>
      </c>
    </row>
    <row r="11">
      <c r="A11" s="32" t="inlineStr">
        <is>
          <t>Valor total a costo</t>
        </is>
      </c>
      <c r="B11" s="35">
        <f>SUM('PRODUCTOS'!$AB$5:$AB$445)</f>
        <v/>
      </c>
    </row>
    <row r="12">
      <c r="A12" s="32" t="inlineStr">
        <is>
          <t>Valor potencial de venta</t>
        </is>
      </c>
      <c r="B12" s="35">
        <f>SUM('PRODUCTOS'!$AC$5:$AC$445)</f>
        <v/>
      </c>
    </row>
    <row r="13">
      <c r="A13" s="32" t="inlineStr">
        <is>
          <t>Productos nuevos</t>
        </is>
      </c>
      <c r="B13" s="33">
        <f>COUNTIFS('PRODUCTOS'!$B$5:$B$445,"NUEVO",'PRODUCTOS'!$G$5:$G$445,"&lt;&gt;")</f>
        <v/>
      </c>
    </row>
    <row r="14">
      <c r="A14" s="32" t="inlineStr">
        <is>
          <t>Productos existentes</t>
        </is>
      </c>
      <c r="B14" s="33">
        <f>COUNTIFS('PRODUCTOS'!$B$5:$B$445,"EXISTENTE",'PRODUCTOS'!$G$5:$G$445,"&lt;&gt;")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34" customWidth="1" min="4" max="4"/>
    <col width="12" customWidth="1" min="5" max="5"/>
    <col width="18" customWidth="1" min="6" max="6"/>
    <col width="18" customWidth="1" min="7" max="7"/>
    <col width="35" customWidth="1" min="8" max="8"/>
    <col width="55" customWidth="1" min="9" max="9"/>
  </cols>
  <sheetData>
    <row r="1" ht="34" customHeight="1">
      <c r="A1" s="1" t="inlineStr">
        <is>
          <t>Contrato de mapeo FERREPRO</t>
        </is>
      </c>
    </row>
    <row r="2" ht="28" customHeight="1">
      <c r="A2" s="2" t="inlineStr">
        <is>
          <t>Fuente técnica para el futuro importador. No cambiar sin actualizar product_inventory_contract.py y tests.</t>
        </is>
      </c>
    </row>
    <row r="4">
      <c r="A4" s="36" t="inlineStr">
        <is>
          <t>Excel</t>
        </is>
      </c>
      <c r="B4" s="36" t="inlineStr">
        <is>
          <t>Campo FERREPRO</t>
        </is>
      </c>
      <c r="C4" s="36" t="inlineStr">
        <is>
          <t>Tabla</t>
        </is>
      </c>
      <c r="D4" s="36" t="inlineStr">
        <is>
          <t>Columna DB</t>
        </is>
      </c>
      <c r="E4" s="36" t="inlineStr">
        <is>
          <t>Required</t>
        </is>
      </c>
      <c r="F4" s="36" t="inlineStr">
        <is>
          <t>Tipo</t>
        </is>
      </c>
      <c r="G4" s="36" t="inlineStr">
        <is>
          <t>Default</t>
        </is>
      </c>
      <c r="H4" s="36" t="inlineStr">
        <is>
          <t>Transformación</t>
        </is>
      </c>
      <c r="I4" s="36" t="inlineStr">
        <is>
          <t>Observación</t>
        </is>
      </c>
    </row>
    <row r="5">
      <c r="A5" s="37" t="inlineStr">
        <is>
          <t>registro_inventario_id</t>
        </is>
      </c>
      <c r="B5" s="37" t="inlineStr">
        <is>
          <t>registro_inventario_id</t>
        </is>
      </c>
      <c r="C5" s="37" t="inlineStr">
        <is>
          <t>staging_excel</t>
        </is>
      </c>
      <c r="D5" s="37" t="inlineStr">
        <is>
          <t>—</t>
        </is>
      </c>
      <c r="E5" s="37" t="inlineStr">
        <is>
          <t>NO</t>
        </is>
      </c>
      <c r="F5" s="37" t="inlineStr">
        <is>
          <t>UUID/TEXT</t>
        </is>
      </c>
      <c r="G5" s="37" t="inlineStr"/>
      <c r="H5" s="37" t="inlineStr">
        <is>
          <t>UUIDv5 estable</t>
        </is>
      </c>
      <c r="I5" s="37" t="inlineStr">
        <is>
          <t>SYSTEM_GENERATED. No sustituye productos.local_id; no borrar</t>
        </is>
      </c>
    </row>
    <row r="6">
      <c r="A6" s="37" t="inlineStr">
        <is>
          <t>tipo_registro</t>
        </is>
      </c>
      <c r="B6" s="37" t="inlineStr">
        <is>
          <t>tipo_registro</t>
        </is>
      </c>
      <c r="C6" s="37" t="inlineStr">
        <is>
          <t>staging_excel</t>
        </is>
      </c>
      <c r="D6" s="37" t="inlineStr">
        <is>
          <t>—</t>
        </is>
      </c>
      <c r="E6" s="37" t="inlineStr">
        <is>
          <t>NO</t>
        </is>
      </c>
      <c r="F6" s="37" t="inlineStr">
        <is>
          <t>ENUM</t>
        </is>
      </c>
      <c r="G6" s="37" t="inlineStr"/>
      <c r="H6" s="37" t="inlineStr">
        <is>
          <t>Directa</t>
        </is>
      </c>
      <c r="I6" s="37" t="inlineStr">
        <is>
          <t>DERIVED/COMPUTED.</t>
        </is>
      </c>
    </row>
    <row r="7">
      <c r="A7" s="37" t="inlineStr">
        <is>
          <t>activo_sistema</t>
        </is>
      </c>
      <c r="B7" s="37" t="inlineStr">
        <is>
          <t>activo_sistema</t>
        </is>
      </c>
      <c r="C7" s="37" t="inlineStr">
        <is>
          <t>productos</t>
        </is>
      </c>
      <c r="D7" s="37" t="inlineStr">
        <is>
          <t>activo</t>
        </is>
      </c>
      <c r="E7" s="37" t="inlineStr">
        <is>
          <t>NO</t>
        </is>
      </c>
      <c r="F7" s="37" t="inlineStr">
        <is>
          <t>ENUM</t>
        </is>
      </c>
      <c r="G7" s="37" t="inlineStr">
        <is>
          <t>ACTIVO</t>
        </is>
      </c>
      <c r="H7" s="37" t="inlineStr">
        <is>
          <t>activo=1 → ACTIVO</t>
        </is>
      </c>
      <c r="I7" s="37" t="inlineStr">
        <is>
          <t>SYSTEM_GENERATED.</t>
        </is>
      </c>
    </row>
    <row r="8">
      <c r="A8" s="37" t="inlineStr">
        <is>
          <t>producto_id_sistema</t>
        </is>
      </c>
      <c r="B8" s="37" t="inlineStr">
        <is>
          <t>producto_id_sistema</t>
        </is>
      </c>
      <c r="C8" s="37" t="inlineStr">
        <is>
          <t>productos</t>
        </is>
      </c>
      <c r="D8" s="37" t="inlineStr">
        <is>
          <t>id</t>
        </is>
      </c>
      <c r="E8" s="37" t="inlineStr">
        <is>
          <t>NO</t>
        </is>
      </c>
      <c r="F8" s="37" t="inlineStr">
        <is>
          <t>INTEGER</t>
        </is>
      </c>
      <c r="G8" s="37" t="inlineStr"/>
      <c r="H8" s="37" t="inlineStr">
        <is>
          <t>Directa</t>
        </is>
      </c>
      <c r="I8" s="37" t="inlineStr">
        <is>
          <t>SYSTEM_GENERATED. Solo filas existentes</t>
        </is>
      </c>
    </row>
    <row r="9">
      <c r="A9" s="37" t="inlineStr">
        <is>
          <t>producto_local_id</t>
        </is>
      </c>
      <c r="B9" s="37" t="inlineStr">
        <is>
          <t>producto_local_id</t>
        </is>
      </c>
      <c r="C9" s="37" t="inlineStr">
        <is>
          <t>productos</t>
        </is>
      </c>
      <c r="D9" s="37" t="inlineStr">
        <is>
          <t>local_id</t>
        </is>
      </c>
      <c r="E9" s="37" t="inlineStr">
        <is>
          <t>NO</t>
        </is>
      </c>
      <c r="F9" s="37" t="inlineStr">
        <is>
          <t>UUID/TEXT</t>
        </is>
      </c>
      <c r="G9" s="37" t="inlineStr"/>
      <c r="H9" s="37" t="inlineStr">
        <is>
          <t>Directa</t>
        </is>
      </c>
      <c r="I9" s="37" t="inlineStr">
        <is>
          <t>SYSTEM_GENERATED. Existente se preserva; nuevo se genera al importar</t>
        </is>
      </c>
    </row>
    <row r="10">
      <c r="A10" s="37" t="inlineStr">
        <is>
          <t>codigo_sistema_actual</t>
        </is>
      </c>
      <c r="B10" s="37" t="inlineStr">
        <is>
          <t>codigo_sistema_actual</t>
        </is>
      </c>
      <c r="C10" s="37" t="inlineStr">
        <is>
          <t>productos</t>
        </is>
      </c>
      <c r="D10" s="37" t="inlineStr">
        <is>
          <t>codigo_barras</t>
        </is>
      </c>
      <c r="E10" s="37" t="inlineStr">
        <is>
          <t>NO</t>
        </is>
      </c>
      <c r="F10" s="37" t="inlineStr">
        <is>
          <t>TEXT</t>
        </is>
      </c>
      <c r="G10" s="37" t="inlineStr"/>
      <c r="H10" s="37" t="inlineStr">
        <is>
          <t>Directa</t>
        </is>
      </c>
      <c r="I10" s="37" t="inlineStr">
        <is>
          <t>LEGACY_ONLY. SKU/código legacy; no se presume barcode físico</t>
        </is>
      </c>
    </row>
    <row r="11">
      <c r="A11" s="37" t="inlineStr">
        <is>
          <t>nombre</t>
        </is>
      </c>
      <c r="B11" s="37" t="inlineStr">
        <is>
          <t>nombre</t>
        </is>
      </c>
      <c r="C11" s="37" t="inlineStr">
        <is>
          <t>productos</t>
        </is>
      </c>
      <c r="D11" s="37" t="inlineStr">
        <is>
          <t>nombre</t>
        </is>
      </c>
      <c r="E11" s="37" t="inlineStr">
        <is>
          <t>SI</t>
        </is>
      </c>
      <c r="F11" s="37" t="inlineStr">
        <is>
          <t>TEXT</t>
        </is>
      </c>
      <c r="G11" s="37" t="inlineStr"/>
      <c r="H11" s="37" t="inlineStr">
        <is>
          <t>Directa</t>
        </is>
      </c>
      <c r="I11" s="37" t="inlineStr">
        <is>
          <t>REQUIRED_FOR_NEW_PRODUCT.</t>
        </is>
      </c>
    </row>
    <row r="12">
      <c r="A12" s="37" t="inlineStr">
        <is>
          <t>categoria</t>
        </is>
      </c>
      <c r="B12" s="37" t="inlineStr">
        <is>
          <t>categoria</t>
        </is>
      </c>
      <c r="C12" s="37" t="inlineStr">
        <is>
          <t>productos</t>
        </is>
      </c>
      <c r="D12" s="37" t="inlineStr">
        <is>
          <t>categoria</t>
        </is>
      </c>
      <c r="E12" s="37" t="inlineStr">
        <is>
          <t>SI</t>
        </is>
      </c>
      <c r="F12" s="37" t="inlineStr">
        <is>
          <t>TEXT</t>
        </is>
      </c>
      <c r="G12" s="37" t="inlineStr"/>
      <c r="H12" s="37" t="inlineStr">
        <is>
          <t>Directa</t>
        </is>
      </c>
      <c r="I12" s="37" t="inlineStr">
        <is>
          <t>REQUIRED_FOR_NEW_PRODUCT. La UI la marca obligatoria</t>
        </is>
      </c>
    </row>
    <row r="13">
      <c r="A13" s="37" t="inlineStr">
        <is>
          <t>marca</t>
        </is>
      </c>
      <c r="B13" s="37" t="inlineStr">
        <is>
          <t>marca</t>
        </is>
      </c>
      <c r="C13" s="37" t="inlineStr">
        <is>
          <t>productos</t>
        </is>
      </c>
      <c r="D13" s="37" t="inlineStr">
        <is>
          <t>marca</t>
        </is>
      </c>
      <c r="E13" s="37" t="inlineStr">
        <is>
          <t>NO</t>
        </is>
      </c>
      <c r="F13" s="37" t="inlineStr">
        <is>
          <t>TEXT</t>
        </is>
      </c>
      <c r="G13" s="37" t="inlineStr"/>
      <c r="H13" s="37" t="inlineStr">
        <is>
          <t>Directa</t>
        </is>
      </c>
      <c r="I13" s="37" t="inlineStr">
        <is>
          <t>OPTIONAL_PRODUCT_DATA. Catálogo abierto; admite marca nueva</t>
        </is>
      </c>
    </row>
    <row r="14">
      <c r="A14" s="37" t="inlineStr">
        <is>
          <t>presentacion</t>
        </is>
      </c>
      <c r="B14" s="37" t="inlineStr">
        <is>
          <t>presentacion</t>
        </is>
      </c>
      <c r="C14" s="37" t="inlineStr">
        <is>
          <t>productos</t>
        </is>
      </c>
      <c r="D14" s="37" t="inlineStr">
        <is>
          <t>presentacion</t>
        </is>
      </c>
      <c r="E14" s="37" t="inlineStr">
        <is>
          <t>NO</t>
        </is>
      </c>
      <c r="F14" s="37" t="inlineStr">
        <is>
          <t>TEXT</t>
        </is>
      </c>
      <c r="G14" s="37" t="inlineStr"/>
      <c r="H14" s="37" t="inlineStr">
        <is>
          <t>Directa</t>
        </is>
      </c>
      <c r="I14" s="37" t="inlineStr">
        <is>
          <t>OPTIONAL_PRODUCT_DATA. Tamaño/medida/color que distingue variantes</t>
        </is>
      </c>
    </row>
    <row r="15">
      <c r="A15" s="37" t="inlineStr">
        <is>
          <t>proveedor</t>
        </is>
      </c>
      <c r="B15" s="37" t="inlineStr">
        <is>
          <t>proveedor</t>
        </is>
      </c>
      <c r="C15" s="37" t="inlineStr">
        <is>
          <t>productos</t>
        </is>
      </c>
      <c r="D15" s="37" t="inlineStr">
        <is>
          <t>proveedor_id</t>
        </is>
      </c>
      <c r="E15" s="37" t="inlineStr">
        <is>
          <t>NO</t>
        </is>
      </c>
      <c r="F15" s="37" t="inlineStr">
        <is>
          <t>TEXT</t>
        </is>
      </c>
      <c r="G15" s="37" t="inlineStr"/>
      <c r="H15" s="37" t="inlineStr">
        <is>
          <t>Resolver nombre a proveedor_id</t>
        </is>
      </c>
      <c r="I15" s="37" t="inlineStr">
        <is>
          <t>OPTIONAL_PRODUCT_DATA.</t>
        </is>
      </c>
    </row>
    <row r="16">
      <c r="A16" s="37" t="inlineStr">
        <is>
          <t>proveedor_id</t>
        </is>
      </c>
      <c r="B16" s="37" t="inlineStr">
        <is>
          <t>proveedor_id</t>
        </is>
      </c>
      <c r="C16" s="37" t="inlineStr">
        <is>
          <t>productos</t>
        </is>
      </c>
      <c r="D16" s="37" t="inlineStr">
        <is>
          <t>proveedor_id</t>
        </is>
      </c>
      <c r="E16" s="37" t="inlineStr">
        <is>
          <t>NO</t>
        </is>
      </c>
      <c r="F16" s="37" t="inlineStr">
        <is>
          <t>INTEGER</t>
        </is>
      </c>
      <c r="G16" s="37" t="inlineStr"/>
      <c r="H16" s="37" t="inlineStr">
        <is>
          <t>Directa</t>
        </is>
      </c>
      <c r="I16" s="37" t="inlineStr">
        <is>
          <t>SYSTEM_GENERATED. ID técnico de proveedor existente</t>
        </is>
      </c>
    </row>
    <row r="17">
      <c r="A17" s="37" t="inlineStr">
        <is>
          <t>precio_compra</t>
        </is>
      </c>
      <c r="B17" s="37" t="inlineStr">
        <is>
          <t>precio_compra</t>
        </is>
      </c>
      <c r="C17" s="37" t="inlineStr">
        <is>
          <t>productos</t>
        </is>
      </c>
      <c r="D17" s="37" t="inlineStr">
        <is>
          <t>precio_compra</t>
        </is>
      </c>
      <c r="E17" s="37" t="inlineStr">
        <is>
          <t>SI</t>
        </is>
      </c>
      <c r="F17" s="37" t="inlineStr">
        <is>
          <t>DECIMAL</t>
        </is>
      </c>
      <c r="G17" s="37" t="inlineStr"/>
      <c r="H17" s="37" t="inlineStr">
        <is>
          <t>Directa</t>
        </is>
      </c>
      <c r="I17" s="37" t="inlineStr">
        <is>
          <t>REQUIRED_FOR_NEW_PRODUCT.</t>
        </is>
      </c>
    </row>
    <row r="18">
      <c r="A18" s="37" t="inlineStr">
        <is>
          <t>precio_venta</t>
        </is>
      </c>
      <c r="B18" s="37" t="inlineStr">
        <is>
          <t>precio_venta</t>
        </is>
      </c>
      <c r="C18" s="37" t="inlineStr">
        <is>
          <t>productos</t>
        </is>
      </c>
      <c r="D18" s="37" t="inlineStr">
        <is>
          <t>precio_venta</t>
        </is>
      </c>
      <c r="E18" s="37" t="inlineStr">
        <is>
          <t>SI</t>
        </is>
      </c>
      <c r="F18" s="37" t="inlineStr">
        <is>
          <t>DECIMAL</t>
        </is>
      </c>
      <c r="G18" s="37" t="inlineStr"/>
      <c r="H18" s="37" t="inlineStr">
        <is>
          <t>Directa</t>
        </is>
      </c>
      <c r="I18" s="37" t="inlineStr">
        <is>
          <t>REQUIRED_FOR_NEW_PRODUCT.</t>
        </is>
      </c>
    </row>
    <row r="19">
      <c r="A19" s="37" t="inlineStr">
        <is>
          <t>stock_minimo</t>
        </is>
      </c>
      <c r="B19" s="37" t="inlineStr">
        <is>
          <t>stock_minimo</t>
        </is>
      </c>
      <c r="C19" s="37" t="inlineStr">
        <is>
          <t>productos</t>
        </is>
      </c>
      <c r="D19" s="37" t="inlineStr">
        <is>
          <t>stock_minimo</t>
        </is>
      </c>
      <c r="E19" s="37" t="inlineStr">
        <is>
          <t>SI</t>
        </is>
      </c>
      <c r="F19" s="37" t="inlineStr">
        <is>
          <t>INTEGER</t>
        </is>
      </c>
      <c r="G19" s="37" t="n">
        <v>10</v>
      </c>
      <c r="H19" s="37" t="inlineStr">
        <is>
          <t>Directa</t>
        </is>
      </c>
      <c r="I19" s="37" t="inlineStr">
        <is>
          <t>REQUIRED_FOR_NEW_PRODUCT.</t>
        </is>
      </c>
    </row>
    <row r="20">
      <c r="A20" s="37" t="inlineStr">
        <is>
          <t>unidad_medida</t>
        </is>
      </c>
      <c r="B20" s="37" t="inlineStr">
        <is>
          <t>unidad_medida</t>
        </is>
      </c>
      <c r="C20" s="37" t="inlineStr">
        <is>
          <t>productos</t>
        </is>
      </c>
      <c r="D20" s="37" t="inlineStr">
        <is>
          <t>unidad_medida</t>
        </is>
      </c>
      <c r="E20" s="37" t="inlineStr">
        <is>
          <t>SI</t>
        </is>
      </c>
      <c r="F20" s="37" t="inlineStr">
        <is>
          <t>ENUM</t>
        </is>
      </c>
      <c r="G20" s="37" t="inlineStr">
        <is>
          <t>UNIDAD</t>
        </is>
      </c>
      <c r="H20" s="37" t="inlineStr">
        <is>
          <t>Directa</t>
        </is>
      </c>
      <c r="I20" s="37" t="inlineStr">
        <is>
          <t>REQUIRED_FOR_NEW_PRODUCT.</t>
        </is>
      </c>
    </row>
    <row r="21">
      <c r="A21" s="37" t="inlineStr">
        <is>
          <t>permite_decimales</t>
        </is>
      </c>
      <c r="B21" s="37" t="inlineStr">
        <is>
          <t>permite_decimales</t>
        </is>
      </c>
      <c r="C21" s="37" t="inlineStr">
        <is>
          <t>productos</t>
        </is>
      </c>
      <c r="D21" s="37" t="inlineStr">
        <is>
          <t>permite_decimales</t>
        </is>
      </c>
      <c r="E21" s="37" t="inlineStr">
        <is>
          <t>NO</t>
        </is>
      </c>
      <c r="F21" s="37" t="inlineStr">
        <is>
          <t>BOOLEAN</t>
        </is>
      </c>
      <c r="G21" s="37" t="inlineStr">
        <is>
          <t>NO</t>
        </is>
      </c>
      <c r="H21" s="37" t="inlineStr">
        <is>
          <t>SI=1, NO=0</t>
        </is>
      </c>
      <c r="I21" s="37" t="inlineStr">
        <is>
          <t>OPTIONAL_PRODUCT_DATA.</t>
        </is>
      </c>
    </row>
    <row r="22">
      <c r="A22" s="37" t="inlineStr">
        <is>
          <t>viene_en_caja</t>
        </is>
      </c>
      <c r="B22" s="37" t="inlineStr">
        <is>
          <t>viene_en_caja</t>
        </is>
      </c>
      <c r="C22" s="37" t="inlineStr">
        <is>
          <t>productos</t>
        </is>
      </c>
      <c r="D22" s="37" t="inlineStr">
        <is>
          <t>viene_en_caja</t>
        </is>
      </c>
      <c r="E22" s="37" t="inlineStr">
        <is>
          <t>NO</t>
        </is>
      </c>
      <c r="F22" s="37" t="inlineStr">
        <is>
          <t>BOOLEAN</t>
        </is>
      </c>
      <c r="G22" s="37" t="inlineStr">
        <is>
          <t>NO</t>
        </is>
      </c>
      <c r="H22" s="37" t="inlineStr">
        <is>
          <t>SI=1, NO=0</t>
        </is>
      </c>
      <c r="I22" s="37" t="inlineStr">
        <is>
          <t>OPTIONAL_PRODUCT_DATA.</t>
        </is>
      </c>
    </row>
    <row r="23">
      <c r="A23" s="37" t="inlineStr">
        <is>
          <t>unidades_por_caja</t>
        </is>
      </c>
      <c r="B23" s="37" t="inlineStr">
        <is>
          <t>unidades_por_caja</t>
        </is>
      </c>
      <c r="C23" s="37" t="inlineStr">
        <is>
          <t>productos</t>
        </is>
      </c>
      <c r="D23" s="37" t="inlineStr">
        <is>
          <t>unidades_por_caja</t>
        </is>
      </c>
      <c r="E23" s="37" t="inlineStr">
        <is>
          <t>NO</t>
        </is>
      </c>
      <c r="F23" s="37" t="inlineStr">
        <is>
          <t>INTEGER</t>
        </is>
      </c>
      <c r="G23" s="37" t="n">
        <v>1</v>
      </c>
      <c r="H23" s="37" t="inlineStr">
        <is>
          <t>Directa</t>
        </is>
      </c>
      <c r="I23" s="37" t="inlineStr">
        <is>
          <t>OPTIONAL_PRODUCT_DATA.</t>
        </is>
      </c>
    </row>
    <row r="24">
      <c r="A24" s="37" t="inlineStr">
        <is>
          <t>vende_por_empaque</t>
        </is>
      </c>
      <c r="B24" s="37" t="inlineStr">
        <is>
          <t>vende_por_empaque</t>
        </is>
      </c>
      <c r="C24" s="37" t="inlineStr">
        <is>
          <t>productos</t>
        </is>
      </c>
      <c r="D24" s="37" t="inlineStr">
        <is>
          <t>vende_por_empaque</t>
        </is>
      </c>
      <c r="E24" s="37" t="inlineStr">
        <is>
          <t>NO</t>
        </is>
      </c>
      <c r="F24" s="37" t="inlineStr">
        <is>
          <t>BOOLEAN</t>
        </is>
      </c>
      <c r="G24" s="37" t="inlineStr">
        <is>
          <t>NO</t>
        </is>
      </c>
      <c r="H24" s="37" t="inlineStr">
        <is>
          <t>SI=1, NO=0</t>
        </is>
      </c>
      <c r="I24" s="37" t="inlineStr">
        <is>
          <t>OPTIONAL_PRODUCT_DATA.</t>
        </is>
      </c>
    </row>
    <row r="25">
      <c r="A25" s="37" t="inlineStr">
        <is>
          <t>ubicacion</t>
        </is>
      </c>
      <c r="B25" s="37" t="inlineStr">
        <is>
          <t>ubicacion</t>
        </is>
      </c>
      <c r="C25" s="37" t="inlineStr">
        <is>
          <t>productos</t>
        </is>
      </c>
      <c r="D25" s="37" t="inlineStr">
        <is>
          <t>ubicacion</t>
        </is>
      </c>
      <c r="E25" s="37" t="inlineStr">
        <is>
          <t>NO</t>
        </is>
      </c>
      <c r="F25" s="37" t="inlineStr">
        <is>
          <t>TEXT</t>
        </is>
      </c>
      <c r="G25" s="37" t="inlineStr"/>
      <c r="H25" s="37" t="inlineStr">
        <is>
          <t>Directa</t>
        </is>
      </c>
      <c r="I25" s="37" t="inlineStr">
        <is>
          <t>OPTIONAL_PRODUCT_DATA.</t>
        </is>
      </c>
    </row>
    <row r="26">
      <c r="A26" s="37" t="inlineStr">
        <is>
          <t>descripcion</t>
        </is>
      </c>
      <c r="B26" s="37" t="inlineStr">
        <is>
          <t>descripcion</t>
        </is>
      </c>
      <c r="C26" s="37" t="inlineStr">
        <is>
          <t>productos</t>
        </is>
      </c>
      <c r="D26" s="37" t="inlineStr">
        <is>
          <t>descripcion</t>
        </is>
      </c>
      <c r="E26" s="37" t="inlineStr">
        <is>
          <t>NO</t>
        </is>
      </c>
      <c r="F26" s="37" t="inlineStr">
        <is>
          <t>TEXT</t>
        </is>
      </c>
      <c r="G26" s="37" t="inlineStr"/>
      <c r="H26" s="37" t="inlineStr">
        <is>
          <t>Directa</t>
        </is>
      </c>
      <c r="I26" s="37" t="inlineStr">
        <is>
          <t>OPTIONAL_PRODUCT_DATA.</t>
        </is>
      </c>
    </row>
    <row r="27">
      <c r="A27" s="37" t="inlineStr">
        <is>
          <t>stock_sistema_actual</t>
        </is>
      </c>
      <c r="B27" s="37" t="inlineStr">
        <is>
          <t>stock_sistema_actual</t>
        </is>
      </c>
      <c r="C27" s="37" t="inlineStr">
        <is>
          <t>productos</t>
        </is>
      </c>
      <c r="D27" s="37" t="inlineStr">
        <is>
          <t>stock</t>
        </is>
      </c>
      <c r="E27" s="37" t="inlineStr">
        <is>
          <t>NO</t>
        </is>
      </c>
      <c r="F27" s="37" t="inlineStr">
        <is>
          <t>DECIMAL</t>
        </is>
      </c>
      <c r="G27" s="37" t="inlineStr"/>
      <c r="H27" s="37" t="inlineStr">
        <is>
          <t>Directa</t>
        </is>
      </c>
      <c r="I27" s="37" t="inlineStr">
        <is>
          <t>LEGACY_ONLY. Referencia/cache; nunca prellena cantidad_contada</t>
        </is>
      </c>
    </row>
    <row r="28">
      <c r="A28" s="37" t="inlineStr">
        <is>
          <t>cantidad_contada</t>
        </is>
      </c>
      <c r="B28" s="37" t="inlineStr">
        <is>
          <t>cantidad_contada</t>
        </is>
      </c>
      <c r="C28" s="37" t="inlineStr">
        <is>
          <t>staging_excel</t>
        </is>
      </c>
      <c r="D28" s="37" t="inlineStr">
        <is>
          <t>—</t>
        </is>
      </c>
      <c r="E28" s="37" t="inlineStr">
        <is>
          <t>SI</t>
        </is>
      </c>
      <c r="F28" s="37" t="inlineStr">
        <is>
          <t>DECIMAL</t>
        </is>
      </c>
      <c r="G28" s="37" t="inlineStr"/>
      <c r="H28" s="37" t="inlineStr">
        <is>
          <t>Directa</t>
        </is>
      </c>
      <c r="I28" s="37" t="inlineStr">
        <is>
          <t>INVENTORY_COUNT_DATA.</t>
        </is>
      </c>
    </row>
    <row r="29">
      <c r="A29" s="37" t="inlineStr">
        <is>
          <t>pasillo</t>
        </is>
      </c>
      <c r="B29" s="37" t="inlineStr">
        <is>
          <t>pasillo</t>
        </is>
      </c>
      <c r="C29" s="37" t="inlineStr">
        <is>
          <t>staging_excel</t>
        </is>
      </c>
      <c r="D29" s="37" t="inlineStr">
        <is>
          <t>—</t>
        </is>
      </c>
      <c r="E29" s="37" t="inlineStr">
        <is>
          <t>NO</t>
        </is>
      </c>
      <c r="F29" s="37" t="inlineStr">
        <is>
          <t>TEXT</t>
        </is>
      </c>
      <c r="G29" s="37" t="inlineStr"/>
      <c r="H29" s="37" t="inlineStr">
        <is>
          <t>Directa</t>
        </is>
      </c>
      <c r="I29" s="37" t="inlineStr">
        <is>
          <t>INVENTORY_COUNT_DATA.</t>
        </is>
      </c>
    </row>
    <row r="30">
      <c r="A30" s="37" t="inlineStr">
        <is>
          <t>estante</t>
        </is>
      </c>
      <c r="B30" s="37" t="inlineStr">
        <is>
          <t>estante</t>
        </is>
      </c>
      <c r="C30" s="37" t="inlineStr">
        <is>
          <t>staging_excel</t>
        </is>
      </c>
      <c r="D30" s="37" t="inlineStr">
        <is>
          <t>—</t>
        </is>
      </c>
      <c r="E30" s="37" t="inlineStr">
        <is>
          <t>NO</t>
        </is>
      </c>
      <c r="F30" s="37" t="inlineStr">
        <is>
          <t>TEXT</t>
        </is>
      </c>
      <c r="G30" s="37" t="inlineStr"/>
      <c r="H30" s="37" t="inlineStr">
        <is>
          <t>Directa</t>
        </is>
      </c>
      <c r="I30" s="37" t="inlineStr">
        <is>
          <t>INVENTORY_COUNT_DATA.</t>
        </is>
      </c>
    </row>
    <row r="31">
      <c r="A31" s="37" t="inlineStr">
        <is>
          <t>diferencia_unidades</t>
        </is>
      </c>
      <c r="B31" s="37" t="inlineStr">
        <is>
          <t>diferencia_unidades</t>
        </is>
      </c>
      <c r="C31" s="37" t="inlineStr">
        <is>
          <t>staging_excel</t>
        </is>
      </c>
      <c r="D31" s="37" t="inlineStr">
        <is>
          <t>—</t>
        </is>
      </c>
      <c r="E31" s="37" t="inlineStr">
        <is>
          <t>NO</t>
        </is>
      </c>
      <c r="F31" s="37" t="inlineStr">
        <is>
          <t>FORMULA</t>
        </is>
      </c>
      <c r="G31" s="37" t="inlineStr"/>
      <c r="H31" s="37" t="inlineStr">
        <is>
          <t>cantidad_contada - stock_sistema_actual</t>
        </is>
      </c>
      <c r="I31" s="37" t="inlineStr">
        <is>
          <t>DERIVED/COMPUTED.</t>
        </is>
      </c>
    </row>
    <row r="32">
      <c r="A32" s="37" t="inlineStr">
        <is>
          <t>valor_inventario_costo</t>
        </is>
      </c>
      <c r="B32" s="37" t="inlineStr">
        <is>
          <t>valor_inventario_costo</t>
        </is>
      </c>
      <c r="C32" s="37" t="inlineStr">
        <is>
          <t>staging_excel</t>
        </is>
      </c>
      <c r="D32" s="37" t="inlineStr">
        <is>
          <t>—</t>
        </is>
      </c>
      <c r="E32" s="37" t="inlineStr">
        <is>
          <t>NO</t>
        </is>
      </c>
      <c r="F32" s="37" t="inlineStr">
        <is>
          <t>FORMULA</t>
        </is>
      </c>
      <c r="G32" s="37" t="inlineStr"/>
      <c r="H32" s="37" t="inlineStr">
        <is>
          <t>Directa</t>
        </is>
      </c>
      <c r="I32" s="37" t="inlineStr">
        <is>
          <t>DERIVED/COMPUTED.</t>
        </is>
      </c>
    </row>
    <row r="33">
      <c r="A33" s="37" t="inlineStr">
        <is>
          <t>valor_potencial_venta</t>
        </is>
      </c>
      <c r="B33" s="37" t="inlineStr">
        <is>
          <t>valor_potencial_venta</t>
        </is>
      </c>
      <c r="C33" s="37" t="inlineStr">
        <is>
          <t>staging_excel</t>
        </is>
      </c>
      <c r="D33" s="37" t="inlineStr">
        <is>
          <t>—</t>
        </is>
      </c>
      <c r="E33" s="37" t="inlineStr">
        <is>
          <t>NO</t>
        </is>
      </c>
      <c r="F33" s="37" t="inlineStr">
        <is>
          <t>FORMULA</t>
        </is>
      </c>
      <c r="G33" s="37" t="inlineStr"/>
      <c r="H33" s="37" t="inlineStr">
        <is>
          <t>Directa</t>
        </is>
      </c>
      <c r="I33" s="37" t="inlineStr">
        <is>
          <t>DERIVED/COMPUTED.</t>
        </is>
      </c>
    </row>
    <row r="34">
      <c r="A34" s="37" t="inlineStr">
        <is>
          <t>margen_unitario</t>
        </is>
      </c>
      <c r="B34" s="37" t="inlineStr">
        <is>
          <t>margen_unitario</t>
        </is>
      </c>
      <c r="C34" s="37" t="inlineStr">
        <is>
          <t>staging_excel</t>
        </is>
      </c>
      <c r="D34" s="37" t="inlineStr">
        <is>
          <t>—</t>
        </is>
      </c>
      <c r="E34" s="37" t="inlineStr">
        <is>
          <t>NO</t>
        </is>
      </c>
      <c r="F34" s="37" t="inlineStr">
        <is>
          <t>FORMULA</t>
        </is>
      </c>
      <c r="G34" s="37" t="inlineStr"/>
      <c r="H34" s="37" t="inlineStr">
        <is>
          <t>Directa</t>
        </is>
      </c>
      <c r="I34" s="37" t="inlineStr">
        <is>
          <t>DERIVED/COMPUTED.</t>
        </is>
      </c>
    </row>
    <row r="35">
      <c r="A35" s="37" t="inlineStr">
        <is>
          <t>margen_porcentaje</t>
        </is>
      </c>
      <c r="B35" s="37" t="inlineStr">
        <is>
          <t>margen_porcentaje</t>
        </is>
      </c>
      <c r="C35" s="37" t="inlineStr">
        <is>
          <t>staging_excel</t>
        </is>
      </c>
      <c r="D35" s="37" t="inlineStr">
        <is>
          <t>—</t>
        </is>
      </c>
      <c r="E35" s="37" t="inlineStr">
        <is>
          <t>NO</t>
        </is>
      </c>
      <c r="F35" s="37" t="inlineStr">
        <is>
          <t>FORMULA</t>
        </is>
      </c>
      <c r="G35" s="37" t="inlineStr"/>
      <c r="H35" s="37" t="inlineStr">
        <is>
          <t>Directa</t>
        </is>
      </c>
      <c r="I35" s="37" t="inlineStr">
        <is>
          <t>DERIVED/COMPUTED.</t>
        </is>
      </c>
    </row>
    <row r="36">
      <c r="A36" s="37" t="inlineStr">
        <is>
          <t>codigo_barras</t>
        </is>
      </c>
      <c r="B36" s="37" t="inlineStr">
        <is>
          <t>codigo_barras</t>
        </is>
      </c>
      <c r="C36" s="37" t="inlineStr">
        <is>
          <t>productos</t>
        </is>
      </c>
      <c r="D36" s="37" t="inlineStr">
        <is>
          <t>codigo_barras</t>
        </is>
      </c>
      <c r="E36" s="37" t="inlineStr">
        <is>
          <t>NO</t>
        </is>
      </c>
      <c r="F36" s="37" t="inlineStr">
        <is>
          <t>TEXT</t>
        </is>
      </c>
      <c r="G36" s="37" t="inlineStr"/>
      <c r="H36" s="37" t="inlineStr">
        <is>
          <t>Directa</t>
        </is>
      </c>
      <c r="I36" s="37" t="inlineStr">
        <is>
          <t>BARCODE_PENDING. Vacío hasta scan físico; no generar FRP/EAN</t>
        </is>
      </c>
    </row>
    <row r="37">
      <c r="A37" s="37" t="inlineStr">
        <is>
          <t>estado_barcode</t>
        </is>
      </c>
      <c r="B37" s="37" t="inlineStr">
        <is>
          <t>estado_barcode</t>
        </is>
      </c>
      <c r="C37" s="37" t="inlineStr">
        <is>
          <t>staging_excel</t>
        </is>
      </c>
      <c r="D37" s="37" t="inlineStr">
        <is>
          <t>—</t>
        </is>
      </c>
      <c r="E37" s="37" t="inlineStr">
        <is>
          <t>NO</t>
        </is>
      </c>
      <c r="F37" s="37" t="inlineStr">
        <is>
          <t>ENUM</t>
        </is>
      </c>
      <c r="G37" s="37" t="inlineStr">
        <is>
          <t>PENDIENTE</t>
        </is>
      </c>
      <c r="H37" s="37" t="inlineStr">
        <is>
          <t>Directa</t>
        </is>
      </c>
      <c r="I37" s="37" t="inlineStr">
        <is>
          <t>BARCODE_PENDING.</t>
        </is>
      </c>
    </row>
    <row r="38">
      <c r="A38" s="37" t="inlineStr">
        <is>
          <t>estado_registro</t>
        </is>
      </c>
      <c r="B38" s="37" t="inlineStr">
        <is>
          <t>estado_registro</t>
        </is>
      </c>
      <c r="C38" s="37" t="inlineStr">
        <is>
          <t>staging_excel</t>
        </is>
      </c>
      <c r="D38" s="37" t="inlineStr">
        <is>
          <t>—</t>
        </is>
      </c>
      <c r="E38" s="37" t="inlineStr">
        <is>
          <t>NO</t>
        </is>
      </c>
      <c r="F38" s="37" t="inlineStr">
        <is>
          <t>FORMULA</t>
        </is>
      </c>
      <c r="G38" s="37" t="inlineStr"/>
      <c r="H38" s="37" t="inlineStr">
        <is>
          <t>Directa</t>
        </is>
      </c>
      <c r="I38" s="37" t="inlineStr">
        <is>
          <t>DERIVED/COMPUTED.</t>
        </is>
      </c>
    </row>
    <row r="39">
      <c r="A39" s="37" t="inlineStr">
        <is>
          <t>errores_validacion</t>
        </is>
      </c>
      <c r="B39" s="37" t="inlineStr">
        <is>
          <t>errores_validacion</t>
        </is>
      </c>
      <c r="C39" s="37" t="inlineStr">
        <is>
          <t>staging_excel</t>
        </is>
      </c>
      <c r="D39" s="37" t="inlineStr">
        <is>
          <t>—</t>
        </is>
      </c>
      <c r="E39" s="37" t="inlineStr">
        <is>
          <t>NO</t>
        </is>
      </c>
      <c r="F39" s="37" t="inlineStr">
        <is>
          <t>FORMULA</t>
        </is>
      </c>
      <c r="G39" s="37" t="inlineStr"/>
      <c r="H39" s="37" t="inlineStr">
        <is>
          <t>Directa</t>
        </is>
      </c>
      <c r="I39" s="37" t="inlineStr">
        <is>
          <t>DERIVED/COMPUTED.</t>
        </is>
      </c>
    </row>
    <row r="40">
      <c r="A40" s="37" t="inlineStr">
        <is>
          <t>observaciones_inventario</t>
        </is>
      </c>
      <c r="B40" s="37" t="inlineStr">
        <is>
          <t>observaciones_inventario</t>
        </is>
      </c>
      <c r="C40" s="37" t="inlineStr">
        <is>
          <t>staging_excel</t>
        </is>
      </c>
      <c r="D40" s="37" t="inlineStr">
        <is>
          <t>—</t>
        </is>
      </c>
      <c r="E40" s="37" t="inlineStr">
        <is>
          <t>NO</t>
        </is>
      </c>
      <c r="F40" s="37" t="inlineStr">
        <is>
          <t>TEXT</t>
        </is>
      </c>
      <c r="G40" s="37" t="inlineStr"/>
      <c r="H40" s="37" t="inlineStr">
        <is>
          <t>Directa</t>
        </is>
      </c>
      <c r="I40" s="37" t="inlineStr">
        <is>
          <t>INVENTORY_COUNT_DATA.</t>
        </is>
      </c>
    </row>
    <row r="41">
      <c r="A41" s="37" t="inlineStr">
        <is>
          <t>posible_duplicado</t>
        </is>
      </c>
      <c r="B41" s="37" t="inlineStr">
        <is>
          <t>posible_duplicado</t>
        </is>
      </c>
      <c r="C41" s="37" t="inlineStr">
        <is>
          <t>staging_excel</t>
        </is>
      </c>
      <c r="D41" s="37" t="inlineStr">
        <is>
          <t>—</t>
        </is>
      </c>
      <c r="E41" s="37" t="inlineStr">
        <is>
          <t>NO</t>
        </is>
      </c>
      <c r="F41" s="37" t="inlineStr">
        <is>
          <t>FORMULA</t>
        </is>
      </c>
      <c r="G41" s="37" t="inlineStr"/>
      <c r="H41" s="37" t="inlineStr">
        <is>
          <t>Directa</t>
        </is>
      </c>
      <c r="I41" s="37" t="inlineStr">
        <is>
          <t>DERIVED/COMPUTED.</t>
        </is>
      </c>
    </row>
    <row r="42">
      <c r="A42" s="37" t="inlineStr">
        <is>
          <t>(no capturado)</t>
        </is>
      </c>
      <c r="B42" s="37" t="inlineStr">
        <is>
          <t>unidades_por_media_caja</t>
        </is>
      </c>
      <c r="C42" s="37" t="inlineStr">
        <is>
          <t>productos</t>
        </is>
      </c>
      <c r="D42" s="37" t="inlineStr">
        <is>
          <t>unidades_por_media_caja</t>
        </is>
      </c>
      <c r="E42" s="37" t="inlineStr">
        <is>
          <t>NO</t>
        </is>
      </c>
      <c r="F42" s="37" t="inlineStr">
        <is>
          <t>INTEGER</t>
        </is>
      </c>
      <c r="G42" s="37" t="n">
        <v>1</v>
      </c>
      <c r="H42" s="37" t="inlineStr">
        <is>
          <t>max(1, unidades_por_caja // 2)</t>
        </is>
      </c>
      <c r="I42" s="37" t="inlineStr">
        <is>
          <t>DERIVED/COMPUTED.</t>
        </is>
      </c>
    </row>
    <row r="43">
      <c r="A43" s="37" t="inlineStr">
        <is>
          <t>(no capturado)</t>
        </is>
      </c>
      <c r="B43" s="37" t="inlineStr">
        <is>
          <t>iva</t>
        </is>
      </c>
      <c r="C43" s="37" t="inlineStr">
        <is>
          <t>productos</t>
        </is>
      </c>
      <c r="D43" s="37" t="inlineStr">
        <is>
          <t>iva</t>
        </is>
      </c>
      <c r="E43" s="37" t="inlineStr">
        <is>
          <t>NO</t>
        </is>
      </c>
      <c r="F43" s="37" t="inlineStr">
        <is>
          <t>DECIMAL</t>
        </is>
      </c>
      <c r="G43" s="37" t="n">
        <v>0</v>
      </c>
      <c r="H43" s="37" t="inlineStr">
        <is>
          <t>Directa</t>
        </is>
      </c>
      <c r="I43" s="37" t="inlineStr">
        <is>
          <t>SYSTEM_GENERATED. La UI declara IVA eliminado</t>
        </is>
      </c>
    </row>
    <row r="44">
      <c r="A44" s="37" t="inlineStr">
        <is>
          <t>(no capturado)</t>
        </is>
      </c>
      <c r="B44" s="37" t="inlineStr">
        <is>
          <t>fecha_registro</t>
        </is>
      </c>
      <c r="C44" s="37" t="inlineStr">
        <is>
          <t>productos</t>
        </is>
      </c>
      <c r="D44" s="37" t="inlineStr">
        <is>
          <t>fecha_registro</t>
        </is>
      </c>
      <c r="E44" s="37" t="inlineStr">
        <is>
          <t>NO</t>
        </is>
      </c>
      <c r="F44" s="37" t="inlineStr">
        <is>
          <t>TIMESTAMP</t>
        </is>
      </c>
      <c r="G44" s="37" t="inlineStr">
        <is>
          <t>CURRENT_TIMESTAMP</t>
        </is>
      </c>
      <c r="H44" s="37" t="inlineStr">
        <is>
          <t>Directa</t>
        </is>
      </c>
      <c r="I44" s="37" t="inlineStr">
        <is>
          <t>SYSTEM_GENERATED.</t>
        </is>
      </c>
    </row>
    <row r="45">
      <c r="A45" s="37" t="inlineStr">
        <is>
          <t>(no capturado)</t>
        </is>
      </c>
      <c r="B45" s="37" t="inlineStr">
        <is>
          <t>precio_mayorista</t>
        </is>
      </c>
      <c r="C45" s="37" t="inlineStr">
        <is>
          <t>productos</t>
        </is>
      </c>
      <c r="D45" s="37" t="inlineStr">
        <is>
          <t>precio_mayorista</t>
        </is>
      </c>
      <c r="E45" s="37" t="inlineStr">
        <is>
          <t>NO</t>
        </is>
      </c>
      <c r="F45" s="37" t="inlineStr">
        <is>
          <t>REAL</t>
        </is>
      </c>
      <c r="G45" s="37" t="inlineStr"/>
      <c r="H45" s="37" t="inlineStr">
        <is>
          <t>Directa</t>
        </is>
      </c>
      <c r="I45" s="37" t="inlineStr">
        <is>
          <t>LEGACY_ONLY. Sin input/caller en Producto/ProductosUI actuales</t>
        </is>
      </c>
    </row>
    <row r="46">
      <c r="A46" s="37" t="inlineStr">
        <is>
          <t>(no capturado)</t>
        </is>
      </c>
      <c r="B46" s="37" t="inlineStr">
        <is>
          <t>stock_maximo</t>
        </is>
      </c>
      <c r="C46" s="37" t="inlineStr">
        <is>
          <t>productos</t>
        </is>
      </c>
      <c r="D46" s="37" t="inlineStr">
        <is>
          <t>stock_maximo</t>
        </is>
      </c>
      <c r="E46" s="37" t="inlineStr">
        <is>
          <t>NO</t>
        </is>
      </c>
      <c r="F46" s="37" t="inlineStr">
        <is>
          <t>INTEGER</t>
        </is>
      </c>
      <c r="G46" s="37" t="inlineStr"/>
      <c r="H46" s="37" t="inlineStr">
        <is>
          <t>Directa</t>
        </is>
      </c>
      <c r="I46" s="37" t="inlineStr">
        <is>
          <t>LEGACY_ONLY. Sin input/caller moderno</t>
        </is>
      </c>
    </row>
    <row r="47">
      <c r="A47" s="37" t="inlineStr">
        <is>
          <t>(no capturado)</t>
        </is>
      </c>
      <c r="B47" s="37" t="inlineStr">
        <is>
          <t>usar_unidades_categoria</t>
        </is>
      </c>
      <c r="C47" s="37" t="inlineStr">
        <is>
          <t>productos</t>
        </is>
      </c>
      <c r="D47" s="37" t="inlineStr">
        <is>
          <t>usar_unidades_categoria</t>
        </is>
      </c>
      <c r="E47" s="37" t="inlineStr">
        <is>
          <t>NO</t>
        </is>
      </c>
      <c r="F47" s="37" t="inlineStr">
        <is>
          <t>INTEGER</t>
        </is>
      </c>
      <c r="G47" s="37" t="n">
        <v>1</v>
      </c>
      <c r="H47" s="37" t="inlineStr">
        <is>
          <t>Directa</t>
        </is>
      </c>
      <c r="I47" s="37" t="inlineStr">
        <is>
          <t>LEGACY_ONLY.</t>
        </is>
      </c>
    </row>
    <row r="48">
      <c r="A48" s="37" t="inlineStr">
        <is>
          <t>(no capturado)</t>
        </is>
      </c>
      <c r="B48" s="37" t="inlineStr">
        <is>
          <t>unidades_venta_custom</t>
        </is>
      </c>
      <c r="C48" s="37" t="inlineStr">
        <is>
          <t>productos</t>
        </is>
      </c>
      <c r="D48" s="37" t="inlineStr">
        <is>
          <t>unidades_venta_custom</t>
        </is>
      </c>
      <c r="E48" s="37" t="inlineStr">
        <is>
          <t>NO</t>
        </is>
      </c>
      <c r="F48" s="37" t="inlineStr">
        <is>
          <t>TEXT/JSON</t>
        </is>
      </c>
      <c r="G48" s="37" t="inlineStr"/>
      <c r="H48" s="37" t="inlineStr">
        <is>
          <t>Directa</t>
        </is>
      </c>
      <c r="I48" s="37" t="inlineStr">
        <is>
          <t>LEGACY_ONLY.</t>
        </is>
      </c>
    </row>
    <row r="49">
      <c r="A49" s="37" t="inlineStr">
        <is>
          <t>(no capturado)</t>
        </is>
      </c>
      <c r="B49" s="37" t="inlineStr">
        <is>
          <t>unidad_base_producto</t>
        </is>
      </c>
      <c r="C49" s="37" t="inlineStr">
        <is>
          <t>productos</t>
        </is>
      </c>
      <c r="D49" s="37" t="inlineStr">
        <is>
          <t>unidad_base_producto</t>
        </is>
      </c>
      <c r="E49" s="37" t="inlineStr">
        <is>
          <t>NO</t>
        </is>
      </c>
      <c r="F49" s="37" t="inlineStr">
        <is>
          <t>TEXT</t>
        </is>
      </c>
      <c r="G49" s="37" t="inlineStr"/>
      <c r="H49" s="37" t="inlineStr">
        <is>
          <t>Directa</t>
        </is>
      </c>
      <c r="I49" s="37" t="inlineStr">
        <is>
          <t>LEGACY_ONLY.</t>
        </is>
      </c>
    </row>
    <row r="50">
      <c r="A50" s="37" t="inlineStr">
        <is>
          <t>(no capturado)</t>
        </is>
      </c>
      <c r="B50" s="37" t="inlineStr">
        <is>
          <t>sync_metadata</t>
        </is>
      </c>
      <c r="C50" s="37" t="inlineStr">
        <is>
          <t>productos</t>
        </is>
      </c>
      <c r="D50" s="37" t="inlineStr">
        <is>
          <t>remote_id/updated_at/deleted_at/is_deleted/sync_status/last_synced_at/version/device_id/created_by/updated_by</t>
        </is>
      </c>
      <c r="E50" s="37" t="inlineStr">
        <is>
          <t>NO</t>
        </is>
      </c>
      <c r="F50" s="37" t="inlineStr">
        <is>
          <t>SYNC</t>
        </is>
      </c>
      <c r="G50" s="37" t="inlineStr"/>
      <c r="H50" s="37" t="inlineStr">
        <is>
          <t>Directa</t>
        </is>
      </c>
      <c r="I50" s="37" t="inlineStr">
        <is>
          <t>SYSTEM_GENERATED.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24" customWidth="1" min="4" max="4"/>
    <col width="19" customWidth="1" min="5" max="5"/>
    <col width="25" customWidth="1" min="6" max="6"/>
    <col width="18" customWidth="1" min="7" max="7"/>
  </cols>
  <sheetData>
    <row r="1" ht="34" customHeight="1">
      <c r="A1" s="1" t="inlineStr">
        <is>
          <t>Barcodes pendientes</t>
        </is>
      </c>
    </row>
    <row r="2" ht="28" customHeight="1">
      <c r="A2" s="2" t="inlineStr">
        <is>
          <t>Vista para la futura fase DIG-X6266. No implementa scanner ni persistencia.</t>
        </is>
      </c>
    </row>
    <row r="4">
      <c r="A4" s="38" t="inlineStr">
        <is>
          <t>registro_inventario_id</t>
        </is>
      </c>
      <c r="B4" s="38" t="inlineStr">
        <is>
          <t>nombre</t>
        </is>
      </c>
      <c r="C4" s="38" t="inlineStr">
        <is>
          <t>marca</t>
        </is>
      </c>
      <c r="D4" s="38" t="inlineStr">
        <is>
          <t>presentacion</t>
        </is>
      </c>
      <c r="E4" s="38" t="inlineStr">
        <is>
          <t>cantidad_contada</t>
        </is>
      </c>
      <c r="F4" s="38" t="inlineStr">
        <is>
          <t>codigo_barras</t>
        </is>
      </c>
      <c r="G4" s="38" t="inlineStr">
        <is>
          <t>estado_barcode</t>
        </is>
      </c>
    </row>
    <row r="5">
      <c r="A5" s="39">
        <f>IFERROR(IF('PRODUCTOS'!$G5&lt;&gt;"",'PRODUCTOS'!$A5,""),"")</f>
        <v/>
      </c>
      <c r="B5" s="39">
        <f>IFERROR(IF('PRODUCTOS'!$G5&lt;&gt;"",'PRODUCTOS'!$G5,""),"")</f>
        <v/>
      </c>
      <c r="C5" s="39">
        <f>IFERROR(IF('PRODUCTOS'!$G5&lt;&gt;"",'PRODUCTOS'!$I5,""),"")</f>
        <v/>
      </c>
      <c r="D5" s="39">
        <f>IFERROR(IF('PRODUCTOS'!$G5&lt;&gt;"",'PRODUCTOS'!$J5,""),"")</f>
        <v/>
      </c>
      <c r="E5" s="39">
        <f>IFERROR(IF('PRODUCTOS'!$G5&lt;&gt;"",'PRODUCTOS'!$X5,""),"")</f>
        <v/>
      </c>
      <c r="F5" s="40">
        <f>IFERROR(IF('PRODUCTOS'!$G5&lt;&gt;"",'PRODUCTOS'!$AF5,""),"")</f>
        <v/>
      </c>
      <c r="G5" s="40">
        <f>IFERROR(IF('PRODUCTOS'!$G5&lt;&gt;"",'PRODUCTOS'!$AG5,""),"")</f>
        <v/>
      </c>
    </row>
    <row r="6">
      <c r="A6" s="39">
        <f>IFERROR(IF('PRODUCTOS'!$G6&lt;&gt;"",'PRODUCTOS'!$A6,""),"")</f>
        <v/>
      </c>
      <c r="B6" s="39">
        <f>IFERROR(IF('PRODUCTOS'!$G6&lt;&gt;"",'PRODUCTOS'!$G6,""),"")</f>
        <v/>
      </c>
      <c r="C6" s="39">
        <f>IFERROR(IF('PRODUCTOS'!$G6&lt;&gt;"",'PRODUCTOS'!$I6,""),"")</f>
        <v/>
      </c>
      <c r="D6" s="39">
        <f>IFERROR(IF('PRODUCTOS'!$G6&lt;&gt;"",'PRODUCTOS'!$J6,""),"")</f>
        <v/>
      </c>
      <c r="E6" s="39">
        <f>IFERROR(IF('PRODUCTOS'!$G6&lt;&gt;"",'PRODUCTOS'!$X6,""),"")</f>
        <v/>
      </c>
      <c r="F6" s="40">
        <f>IFERROR(IF('PRODUCTOS'!$G6&lt;&gt;"",'PRODUCTOS'!$AF6,""),"")</f>
        <v/>
      </c>
      <c r="G6" s="40">
        <f>IFERROR(IF('PRODUCTOS'!$G6&lt;&gt;"",'PRODUCTOS'!$AG6,""),"")</f>
        <v/>
      </c>
    </row>
    <row r="7">
      <c r="A7" s="39">
        <f>IFERROR(IF('PRODUCTOS'!$G7&lt;&gt;"",'PRODUCTOS'!$A7,""),"")</f>
        <v/>
      </c>
      <c r="B7" s="39">
        <f>IFERROR(IF('PRODUCTOS'!$G7&lt;&gt;"",'PRODUCTOS'!$G7,""),"")</f>
        <v/>
      </c>
      <c r="C7" s="39">
        <f>IFERROR(IF('PRODUCTOS'!$G7&lt;&gt;"",'PRODUCTOS'!$I7,""),"")</f>
        <v/>
      </c>
      <c r="D7" s="39">
        <f>IFERROR(IF('PRODUCTOS'!$G7&lt;&gt;"",'PRODUCTOS'!$J7,""),"")</f>
        <v/>
      </c>
      <c r="E7" s="39">
        <f>IFERROR(IF('PRODUCTOS'!$G7&lt;&gt;"",'PRODUCTOS'!$X7,""),"")</f>
        <v/>
      </c>
      <c r="F7" s="40">
        <f>IFERROR(IF('PRODUCTOS'!$G7&lt;&gt;"",'PRODUCTOS'!$AF7,""),"")</f>
        <v/>
      </c>
      <c r="G7" s="40">
        <f>IFERROR(IF('PRODUCTOS'!$G7&lt;&gt;"",'PRODUCTOS'!$AG7,""),"")</f>
        <v/>
      </c>
    </row>
    <row r="8">
      <c r="A8" s="39">
        <f>IFERROR(IF('PRODUCTOS'!$G8&lt;&gt;"",'PRODUCTOS'!$A8,""),"")</f>
        <v/>
      </c>
      <c r="B8" s="39">
        <f>IFERROR(IF('PRODUCTOS'!$G8&lt;&gt;"",'PRODUCTOS'!$G8,""),"")</f>
        <v/>
      </c>
      <c r="C8" s="39">
        <f>IFERROR(IF('PRODUCTOS'!$G8&lt;&gt;"",'PRODUCTOS'!$I8,""),"")</f>
        <v/>
      </c>
      <c r="D8" s="39">
        <f>IFERROR(IF('PRODUCTOS'!$G8&lt;&gt;"",'PRODUCTOS'!$J8,""),"")</f>
        <v/>
      </c>
      <c r="E8" s="39">
        <f>IFERROR(IF('PRODUCTOS'!$G8&lt;&gt;"",'PRODUCTOS'!$X8,""),"")</f>
        <v/>
      </c>
      <c r="F8" s="40">
        <f>IFERROR(IF('PRODUCTOS'!$G8&lt;&gt;"",'PRODUCTOS'!$AF8,""),"")</f>
        <v/>
      </c>
      <c r="G8" s="40">
        <f>IFERROR(IF('PRODUCTOS'!$G8&lt;&gt;"",'PRODUCTOS'!$AG8,""),"")</f>
        <v/>
      </c>
    </row>
    <row r="9">
      <c r="A9" s="39">
        <f>IFERROR(IF('PRODUCTOS'!$G9&lt;&gt;"",'PRODUCTOS'!$A9,""),"")</f>
        <v/>
      </c>
      <c r="B9" s="39">
        <f>IFERROR(IF('PRODUCTOS'!$G9&lt;&gt;"",'PRODUCTOS'!$G9,""),"")</f>
        <v/>
      </c>
      <c r="C9" s="39">
        <f>IFERROR(IF('PRODUCTOS'!$G9&lt;&gt;"",'PRODUCTOS'!$I9,""),"")</f>
        <v/>
      </c>
      <c r="D9" s="39">
        <f>IFERROR(IF('PRODUCTOS'!$G9&lt;&gt;"",'PRODUCTOS'!$J9,""),"")</f>
        <v/>
      </c>
      <c r="E9" s="39">
        <f>IFERROR(IF('PRODUCTOS'!$G9&lt;&gt;"",'PRODUCTOS'!$X9,""),"")</f>
        <v/>
      </c>
      <c r="F9" s="40">
        <f>IFERROR(IF('PRODUCTOS'!$G9&lt;&gt;"",'PRODUCTOS'!$AF9,""),"")</f>
        <v/>
      </c>
      <c r="G9" s="40">
        <f>IFERROR(IF('PRODUCTOS'!$G9&lt;&gt;"",'PRODUCTOS'!$AG9,""),"")</f>
        <v/>
      </c>
    </row>
    <row r="10">
      <c r="A10" s="39">
        <f>IFERROR(IF('PRODUCTOS'!$G10&lt;&gt;"",'PRODUCTOS'!$A10,""),"")</f>
        <v/>
      </c>
      <c r="B10" s="39">
        <f>IFERROR(IF('PRODUCTOS'!$G10&lt;&gt;"",'PRODUCTOS'!$G10,""),"")</f>
        <v/>
      </c>
      <c r="C10" s="39">
        <f>IFERROR(IF('PRODUCTOS'!$G10&lt;&gt;"",'PRODUCTOS'!$I10,""),"")</f>
        <v/>
      </c>
      <c r="D10" s="39">
        <f>IFERROR(IF('PRODUCTOS'!$G10&lt;&gt;"",'PRODUCTOS'!$J10,""),"")</f>
        <v/>
      </c>
      <c r="E10" s="39">
        <f>IFERROR(IF('PRODUCTOS'!$G10&lt;&gt;"",'PRODUCTOS'!$X10,""),"")</f>
        <v/>
      </c>
      <c r="F10" s="40">
        <f>IFERROR(IF('PRODUCTOS'!$G10&lt;&gt;"",'PRODUCTOS'!$AF10,""),"")</f>
        <v/>
      </c>
      <c r="G10" s="40">
        <f>IFERROR(IF('PRODUCTOS'!$G10&lt;&gt;"",'PRODUCTOS'!$AG10,""),"")</f>
        <v/>
      </c>
    </row>
    <row r="11">
      <c r="A11" s="39">
        <f>IFERROR(IF('PRODUCTOS'!$G11&lt;&gt;"",'PRODUCTOS'!$A11,""),"")</f>
        <v/>
      </c>
      <c r="B11" s="39">
        <f>IFERROR(IF('PRODUCTOS'!$G11&lt;&gt;"",'PRODUCTOS'!$G11,""),"")</f>
        <v/>
      </c>
      <c r="C11" s="39">
        <f>IFERROR(IF('PRODUCTOS'!$G11&lt;&gt;"",'PRODUCTOS'!$I11,""),"")</f>
        <v/>
      </c>
      <c r="D11" s="39">
        <f>IFERROR(IF('PRODUCTOS'!$G11&lt;&gt;"",'PRODUCTOS'!$J11,""),"")</f>
        <v/>
      </c>
      <c r="E11" s="39">
        <f>IFERROR(IF('PRODUCTOS'!$G11&lt;&gt;"",'PRODUCTOS'!$X11,""),"")</f>
        <v/>
      </c>
      <c r="F11" s="40">
        <f>IFERROR(IF('PRODUCTOS'!$G11&lt;&gt;"",'PRODUCTOS'!$AF11,""),"")</f>
        <v/>
      </c>
      <c r="G11" s="40">
        <f>IFERROR(IF('PRODUCTOS'!$G11&lt;&gt;"",'PRODUCTOS'!$AG11,""),"")</f>
        <v/>
      </c>
    </row>
    <row r="12">
      <c r="A12" s="39">
        <f>IFERROR(IF('PRODUCTOS'!$G12&lt;&gt;"",'PRODUCTOS'!$A12,""),"")</f>
        <v/>
      </c>
      <c r="B12" s="39">
        <f>IFERROR(IF('PRODUCTOS'!$G12&lt;&gt;"",'PRODUCTOS'!$G12,""),"")</f>
        <v/>
      </c>
      <c r="C12" s="39">
        <f>IFERROR(IF('PRODUCTOS'!$G12&lt;&gt;"",'PRODUCTOS'!$I12,""),"")</f>
        <v/>
      </c>
      <c r="D12" s="39">
        <f>IFERROR(IF('PRODUCTOS'!$G12&lt;&gt;"",'PRODUCTOS'!$J12,""),"")</f>
        <v/>
      </c>
      <c r="E12" s="39">
        <f>IFERROR(IF('PRODUCTOS'!$G12&lt;&gt;"",'PRODUCTOS'!$X12,""),"")</f>
        <v/>
      </c>
      <c r="F12" s="40">
        <f>IFERROR(IF('PRODUCTOS'!$G12&lt;&gt;"",'PRODUCTOS'!$AF12,""),"")</f>
        <v/>
      </c>
      <c r="G12" s="40">
        <f>IFERROR(IF('PRODUCTOS'!$G12&lt;&gt;"",'PRODUCTOS'!$AG12,""),"")</f>
        <v/>
      </c>
    </row>
    <row r="13">
      <c r="A13" s="39">
        <f>IFERROR(IF('PRODUCTOS'!$G13&lt;&gt;"",'PRODUCTOS'!$A13,""),"")</f>
        <v/>
      </c>
      <c r="B13" s="39">
        <f>IFERROR(IF('PRODUCTOS'!$G13&lt;&gt;"",'PRODUCTOS'!$G13,""),"")</f>
        <v/>
      </c>
      <c r="C13" s="39">
        <f>IFERROR(IF('PRODUCTOS'!$G13&lt;&gt;"",'PRODUCTOS'!$I13,""),"")</f>
        <v/>
      </c>
      <c r="D13" s="39">
        <f>IFERROR(IF('PRODUCTOS'!$G13&lt;&gt;"",'PRODUCTOS'!$J13,""),"")</f>
        <v/>
      </c>
      <c r="E13" s="39">
        <f>IFERROR(IF('PRODUCTOS'!$G13&lt;&gt;"",'PRODUCTOS'!$X13,""),"")</f>
        <v/>
      </c>
      <c r="F13" s="40">
        <f>IFERROR(IF('PRODUCTOS'!$G13&lt;&gt;"",'PRODUCTOS'!$AF13,""),"")</f>
        <v/>
      </c>
      <c r="G13" s="40">
        <f>IFERROR(IF('PRODUCTOS'!$G13&lt;&gt;"",'PRODUCTOS'!$AG13,""),"")</f>
        <v/>
      </c>
    </row>
    <row r="14">
      <c r="A14" s="39">
        <f>IFERROR(IF('PRODUCTOS'!$G14&lt;&gt;"",'PRODUCTOS'!$A14,""),"")</f>
        <v/>
      </c>
      <c r="B14" s="39">
        <f>IFERROR(IF('PRODUCTOS'!$G14&lt;&gt;"",'PRODUCTOS'!$G14,""),"")</f>
        <v/>
      </c>
      <c r="C14" s="39">
        <f>IFERROR(IF('PRODUCTOS'!$G14&lt;&gt;"",'PRODUCTOS'!$I14,""),"")</f>
        <v/>
      </c>
      <c r="D14" s="39">
        <f>IFERROR(IF('PRODUCTOS'!$G14&lt;&gt;"",'PRODUCTOS'!$J14,""),"")</f>
        <v/>
      </c>
      <c r="E14" s="39">
        <f>IFERROR(IF('PRODUCTOS'!$G14&lt;&gt;"",'PRODUCTOS'!$X14,""),"")</f>
        <v/>
      </c>
      <c r="F14" s="40">
        <f>IFERROR(IF('PRODUCTOS'!$G14&lt;&gt;"",'PRODUCTOS'!$AF14,""),"")</f>
        <v/>
      </c>
      <c r="G14" s="40">
        <f>IFERROR(IF('PRODUCTOS'!$G14&lt;&gt;"",'PRODUCTOS'!$AG14,""),"")</f>
        <v/>
      </c>
    </row>
    <row r="15">
      <c r="A15" s="39">
        <f>IFERROR(IF('PRODUCTOS'!$G15&lt;&gt;"",'PRODUCTOS'!$A15,""),"")</f>
        <v/>
      </c>
      <c r="B15" s="39">
        <f>IFERROR(IF('PRODUCTOS'!$G15&lt;&gt;"",'PRODUCTOS'!$G15,""),"")</f>
        <v/>
      </c>
      <c r="C15" s="39">
        <f>IFERROR(IF('PRODUCTOS'!$G15&lt;&gt;"",'PRODUCTOS'!$I15,""),"")</f>
        <v/>
      </c>
      <c r="D15" s="39">
        <f>IFERROR(IF('PRODUCTOS'!$G15&lt;&gt;"",'PRODUCTOS'!$J15,""),"")</f>
        <v/>
      </c>
      <c r="E15" s="39">
        <f>IFERROR(IF('PRODUCTOS'!$G15&lt;&gt;"",'PRODUCTOS'!$X15,""),"")</f>
        <v/>
      </c>
      <c r="F15" s="40">
        <f>IFERROR(IF('PRODUCTOS'!$G15&lt;&gt;"",'PRODUCTOS'!$AF15,""),"")</f>
        <v/>
      </c>
      <c r="G15" s="40">
        <f>IFERROR(IF('PRODUCTOS'!$G15&lt;&gt;"",'PRODUCTOS'!$AG15,""),"")</f>
        <v/>
      </c>
    </row>
    <row r="16">
      <c r="A16" s="39">
        <f>IFERROR(IF('PRODUCTOS'!$G16&lt;&gt;"",'PRODUCTOS'!$A16,""),"")</f>
        <v/>
      </c>
      <c r="B16" s="39">
        <f>IFERROR(IF('PRODUCTOS'!$G16&lt;&gt;"",'PRODUCTOS'!$G16,""),"")</f>
        <v/>
      </c>
      <c r="C16" s="39">
        <f>IFERROR(IF('PRODUCTOS'!$G16&lt;&gt;"",'PRODUCTOS'!$I16,""),"")</f>
        <v/>
      </c>
      <c r="D16" s="39">
        <f>IFERROR(IF('PRODUCTOS'!$G16&lt;&gt;"",'PRODUCTOS'!$J16,""),"")</f>
        <v/>
      </c>
      <c r="E16" s="39">
        <f>IFERROR(IF('PRODUCTOS'!$G16&lt;&gt;"",'PRODUCTOS'!$X16,""),"")</f>
        <v/>
      </c>
      <c r="F16" s="40">
        <f>IFERROR(IF('PRODUCTOS'!$G16&lt;&gt;"",'PRODUCTOS'!$AF16,""),"")</f>
        <v/>
      </c>
      <c r="G16" s="40">
        <f>IFERROR(IF('PRODUCTOS'!$G16&lt;&gt;"",'PRODUCTOS'!$AG16,""),"")</f>
        <v/>
      </c>
    </row>
    <row r="17">
      <c r="A17" s="39">
        <f>IFERROR(IF('PRODUCTOS'!$G17&lt;&gt;"",'PRODUCTOS'!$A17,""),"")</f>
        <v/>
      </c>
      <c r="B17" s="39">
        <f>IFERROR(IF('PRODUCTOS'!$G17&lt;&gt;"",'PRODUCTOS'!$G17,""),"")</f>
        <v/>
      </c>
      <c r="C17" s="39">
        <f>IFERROR(IF('PRODUCTOS'!$G17&lt;&gt;"",'PRODUCTOS'!$I17,""),"")</f>
        <v/>
      </c>
      <c r="D17" s="39">
        <f>IFERROR(IF('PRODUCTOS'!$G17&lt;&gt;"",'PRODUCTOS'!$J17,""),"")</f>
        <v/>
      </c>
      <c r="E17" s="39">
        <f>IFERROR(IF('PRODUCTOS'!$G17&lt;&gt;"",'PRODUCTOS'!$X17,""),"")</f>
        <v/>
      </c>
      <c r="F17" s="40">
        <f>IFERROR(IF('PRODUCTOS'!$G17&lt;&gt;"",'PRODUCTOS'!$AF17,""),"")</f>
        <v/>
      </c>
      <c r="G17" s="40">
        <f>IFERROR(IF('PRODUCTOS'!$G17&lt;&gt;"",'PRODUCTOS'!$AG17,""),"")</f>
        <v/>
      </c>
    </row>
    <row r="18">
      <c r="A18" s="39">
        <f>IFERROR(IF('PRODUCTOS'!$G18&lt;&gt;"",'PRODUCTOS'!$A18,""),"")</f>
        <v/>
      </c>
      <c r="B18" s="39">
        <f>IFERROR(IF('PRODUCTOS'!$G18&lt;&gt;"",'PRODUCTOS'!$G18,""),"")</f>
        <v/>
      </c>
      <c r="C18" s="39">
        <f>IFERROR(IF('PRODUCTOS'!$G18&lt;&gt;"",'PRODUCTOS'!$I18,""),"")</f>
        <v/>
      </c>
      <c r="D18" s="39">
        <f>IFERROR(IF('PRODUCTOS'!$G18&lt;&gt;"",'PRODUCTOS'!$J18,""),"")</f>
        <v/>
      </c>
      <c r="E18" s="39">
        <f>IFERROR(IF('PRODUCTOS'!$G18&lt;&gt;"",'PRODUCTOS'!$X18,""),"")</f>
        <v/>
      </c>
      <c r="F18" s="40">
        <f>IFERROR(IF('PRODUCTOS'!$G18&lt;&gt;"",'PRODUCTOS'!$AF18,""),"")</f>
        <v/>
      </c>
      <c r="G18" s="40">
        <f>IFERROR(IF('PRODUCTOS'!$G18&lt;&gt;"",'PRODUCTOS'!$AG18,""),"")</f>
        <v/>
      </c>
    </row>
    <row r="19">
      <c r="A19" s="39">
        <f>IFERROR(IF('PRODUCTOS'!$G19&lt;&gt;"",'PRODUCTOS'!$A19,""),"")</f>
        <v/>
      </c>
      <c r="B19" s="39">
        <f>IFERROR(IF('PRODUCTOS'!$G19&lt;&gt;"",'PRODUCTOS'!$G19,""),"")</f>
        <v/>
      </c>
      <c r="C19" s="39">
        <f>IFERROR(IF('PRODUCTOS'!$G19&lt;&gt;"",'PRODUCTOS'!$I19,""),"")</f>
        <v/>
      </c>
      <c r="D19" s="39">
        <f>IFERROR(IF('PRODUCTOS'!$G19&lt;&gt;"",'PRODUCTOS'!$J19,""),"")</f>
        <v/>
      </c>
      <c r="E19" s="39">
        <f>IFERROR(IF('PRODUCTOS'!$G19&lt;&gt;"",'PRODUCTOS'!$X19,""),"")</f>
        <v/>
      </c>
      <c r="F19" s="40">
        <f>IFERROR(IF('PRODUCTOS'!$G19&lt;&gt;"",'PRODUCTOS'!$AF19,""),"")</f>
        <v/>
      </c>
      <c r="G19" s="40">
        <f>IFERROR(IF('PRODUCTOS'!$G19&lt;&gt;"",'PRODUCTOS'!$AG19,""),"")</f>
        <v/>
      </c>
    </row>
    <row r="20">
      <c r="A20" s="39">
        <f>IFERROR(IF('PRODUCTOS'!$G20&lt;&gt;"",'PRODUCTOS'!$A20,""),"")</f>
        <v/>
      </c>
      <c r="B20" s="39">
        <f>IFERROR(IF('PRODUCTOS'!$G20&lt;&gt;"",'PRODUCTOS'!$G20,""),"")</f>
        <v/>
      </c>
      <c r="C20" s="39">
        <f>IFERROR(IF('PRODUCTOS'!$G20&lt;&gt;"",'PRODUCTOS'!$I20,""),"")</f>
        <v/>
      </c>
      <c r="D20" s="39">
        <f>IFERROR(IF('PRODUCTOS'!$G20&lt;&gt;"",'PRODUCTOS'!$J20,""),"")</f>
        <v/>
      </c>
      <c r="E20" s="39">
        <f>IFERROR(IF('PRODUCTOS'!$G20&lt;&gt;"",'PRODUCTOS'!$X20,""),"")</f>
        <v/>
      </c>
      <c r="F20" s="40">
        <f>IFERROR(IF('PRODUCTOS'!$G20&lt;&gt;"",'PRODUCTOS'!$AF20,""),"")</f>
        <v/>
      </c>
      <c r="G20" s="40">
        <f>IFERROR(IF('PRODUCTOS'!$G20&lt;&gt;"",'PRODUCTOS'!$AG20,""),"")</f>
        <v/>
      </c>
    </row>
    <row r="21">
      <c r="A21" s="39">
        <f>IFERROR(IF('PRODUCTOS'!$G21&lt;&gt;"",'PRODUCTOS'!$A21,""),"")</f>
        <v/>
      </c>
      <c r="B21" s="39">
        <f>IFERROR(IF('PRODUCTOS'!$G21&lt;&gt;"",'PRODUCTOS'!$G21,""),"")</f>
        <v/>
      </c>
      <c r="C21" s="39">
        <f>IFERROR(IF('PRODUCTOS'!$G21&lt;&gt;"",'PRODUCTOS'!$I21,""),"")</f>
        <v/>
      </c>
      <c r="D21" s="39">
        <f>IFERROR(IF('PRODUCTOS'!$G21&lt;&gt;"",'PRODUCTOS'!$J21,""),"")</f>
        <v/>
      </c>
      <c r="E21" s="39">
        <f>IFERROR(IF('PRODUCTOS'!$G21&lt;&gt;"",'PRODUCTOS'!$X21,""),"")</f>
        <v/>
      </c>
      <c r="F21" s="40">
        <f>IFERROR(IF('PRODUCTOS'!$G21&lt;&gt;"",'PRODUCTOS'!$AF21,""),"")</f>
        <v/>
      </c>
      <c r="G21" s="40">
        <f>IFERROR(IF('PRODUCTOS'!$G21&lt;&gt;"",'PRODUCTOS'!$AG21,""),"")</f>
        <v/>
      </c>
    </row>
    <row r="22">
      <c r="A22" s="39">
        <f>IFERROR(IF('PRODUCTOS'!$G22&lt;&gt;"",'PRODUCTOS'!$A22,""),"")</f>
        <v/>
      </c>
      <c r="B22" s="39">
        <f>IFERROR(IF('PRODUCTOS'!$G22&lt;&gt;"",'PRODUCTOS'!$G22,""),"")</f>
        <v/>
      </c>
      <c r="C22" s="39">
        <f>IFERROR(IF('PRODUCTOS'!$G22&lt;&gt;"",'PRODUCTOS'!$I22,""),"")</f>
        <v/>
      </c>
      <c r="D22" s="39">
        <f>IFERROR(IF('PRODUCTOS'!$G22&lt;&gt;"",'PRODUCTOS'!$J22,""),"")</f>
        <v/>
      </c>
      <c r="E22" s="39">
        <f>IFERROR(IF('PRODUCTOS'!$G22&lt;&gt;"",'PRODUCTOS'!$X22,""),"")</f>
        <v/>
      </c>
      <c r="F22" s="40">
        <f>IFERROR(IF('PRODUCTOS'!$G22&lt;&gt;"",'PRODUCTOS'!$AF22,""),"")</f>
        <v/>
      </c>
      <c r="G22" s="40">
        <f>IFERROR(IF('PRODUCTOS'!$G22&lt;&gt;"",'PRODUCTOS'!$AG22,""),"")</f>
        <v/>
      </c>
    </row>
    <row r="23">
      <c r="A23" s="39">
        <f>IFERROR(IF('PRODUCTOS'!$G23&lt;&gt;"",'PRODUCTOS'!$A23,""),"")</f>
        <v/>
      </c>
      <c r="B23" s="39">
        <f>IFERROR(IF('PRODUCTOS'!$G23&lt;&gt;"",'PRODUCTOS'!$G23,""),"")</f>
        <v/>
      </c>
      <c r="C23" s="39">
        <f>IFERROR(IF('PRODUCTOS'!$G23&lt;&gt;"",'PRODUCTOS'!$I23,""),"")</f>
        <v/>
      </c>
      <c r="D23" s="39">
        <f>IFERROR(IF('PRODUCTOS'!$G23&lt;&gt;"",'PRODUCTOS'!$J23,""),"")</f>
        <v/>
      </c>
      <c r="E23" s="39">
        <f>IFERROR(IF('PRODUCTOS'!$G23&lt;&gt;"",'PRODUCTOS'!$X23,""),"")</f>
        <v/>
      </c>
      <c r="F23" s="40">
        <f>IFERROR(IF('PRODUCTOS'!$G23&lt;&gt;"",'PRODUCTOS'!$AF23,""),"")</f>
        <v/>
      </c>
      <c r="G23" s="40">
        <f>IFERROR(IF('PRODUCTOS'!$G23&lt;&gt;"",'PRODUCTOS'!$AG23,""),"")</f>
        <v/>
      </c>
    </row>
    <row r="24">
      <c r="A24" s="39">
        <f>IFERROR(IF('PRODUCTOS'!$G24&lt;&gt;"",'PRODUCTOS'!$A24,""),"")</f>
        <v/>
      </c>
      <c r="B24" s="39">
        <f>IFERROR(IF('PRODUCTOS'!$G24&lt;&gt;"",'PRODUCTOS'!$G24,""),"")</f>
        <v/>
      </c>
      <c r="C24" s="39">
        <f>IFERROR(IF('PRODUCTOS'!$G24&lt;&gt;"",'PRODUCTOS'!$I24,""),"")</f>
        <v/>
      </c>
      <c r="D24" s="39">
        <f>IFERROR(IF('PRODUCTOS'!$G24&lt;&gt;"",'PRODUCTOS'!$J24,""),"")</f>
        <v/>
      </c>
      <c r="E24" s="39">
        <f>IFERROR(IF('PRODUCTOS'!$G24&lt;&gt;"",'PRODUCTOS'!$X24,""),"")</f>
        <v/>
      </c>
      <c r="F24" s="40">
        <f>IFERROR(IF('PRODUCTOS'!$G24&lt;&gt;"",'PRODUCTOS'!$AF24,""),"")</f>
        <v/>
      </c>
      <c r="G24" s="40">
        <f>IFERROR(IF('PRODUCTOS'!$G24&lt;&gt;"",'PRODUCTOS'!$AG24,""),"")</f>
        <v/>
      </c>
    </row>
    <row r="25">
      <c r="A25" s="39">
        <f>IFERROR(IF('PRODUCTOS'!$G25&lt;&gt;"",'PRODUCTOS'!$A25,""),"")</f>
        <v/>
      </c>
      <c r="B25" s="39">
        <f>IFERROR(IF('PRODUCTOS'!$G25&lt;&gt;"",'PRODUCTOS'!$G25,""),"")</f>
        <v/>
      </c>
      <c r="C25" s="39">
        <f>IFERROR(IF('PRODUCTOS'!$G25&lt;&gt;"",'PRODUCTOS'!$I25,""),"")</f>
        <v/>
      </c>
      <c r="D25" s="39">
        <f>IFERROR(IF('PRODUCTOS'!$G25&lt;&gt;"",'PRODUCTOS'!$J25,""),"")</f>
        <v/>
      </c>
      <c r="E25" s="39">
        <f>IFERROR(IF('PRODUCTOS'!$G25&lt;&gt;"",'PRODUCTOS'!$X25,""),"")</f>
        <v/>
      </c>
      <c r="F25" s="40">
        <f>IFERROR(IF('PRODUCTOS'!$G25&lt;&gt;"",'PRODUCTOS'!$AF25,""),"")</f>
        <v/>
      </c>
      <c r="G25" s="40">
        <f>IFERROR(IF('PRODUCTOS'!$G25&lt;&gt;"",'PRODUCTOS'!$AG25,""),"")</f>
        <v/>
      </c>
    </row>
    <row r="26">
      <c r="A26" s="39">
        <f>IFERROR(IF('PRODUCTOS'!$G26&lt;&gt;"",'PRODUCTOS'!$A26,""),"")</f>
        <v/>
      </c>
      <c r="B26" s="39">
        <f>IFERROR(IF('PRODUCTOS'!$G26&lt;&gt;"",'PRODUCTOS'!$G26,""),"")</f>
        <v/>
      </c>
      <c r="C26" s="39">
        <f>IFERROR(IF('PRODUCTOS'!$G26&lt;&gt;"",'PRODUCTOS'!$I26,""),"")</f>
        <v/>
      </c>
      <c r="D26" s="39">
        <f>IFERROR(IF('PRODUCTOS'!$G26&lt;&gt;"",'PRODUCTOS'!$J26,""),"")</f>
        <v/>
      </c>
      <c r="E26" s="39">
        <f>IFERROR(IF('PRODUCTOS'!$G26&lt;&gt;"",'PRODUCTOS'!$X26,""),"")</f>
        <v/>
      </c>
      <c r="F26" s="40">
        <f>IFERROR(IF('PRODUCTOS'!$G26&lt;&gt;"",'PRODUCTOS'!$AF26,""),"")</f>
        <v/>
      </c>
      <c r="G26" s="40">
        <f>IFERROR(IF('PRODUCTOS'!$G26&lt;&gt;"",'PRODUCTOS'!$AG26,""),"")</f>
        <v/>
      </c>
    </row>
    <row r="27">
      <c r="A27" s="39">
        <f>IFERROR(IF('PRODUCTOS'!$G27&lt;&gt;"",'PRODUCTOS'!$A27,""),"")</f>
        <v/>
      </c>
      <c r="B27" s="39">
        <f>IFERROR(IF('PRODUCTOS'!$G27&lt;&gt;"",'PRODUCTOS'!$G27,""),"")</f>
        <v/>
      </c>
      <c r="C27" s="39">
        <f>IFERROR(IF('PRODUCTOS'!$G27&lt;&gt;"",'PRODUCTOS'!$I27,""),"")</f>
        <v/>
      </c>
      <c r="D27" s="39">
        <f>IFERROR(IF('PRODUCTOS'!$G27&lt;&gt;"",'PRODUCTOS'!$J27,""),"")</f>
        <v/>
      </c>
      <c r="E27" s="39">
        <f>IFERROR(IF('PRODUCTOS'!$G27&lt;&gt;"",'PRODUCTOS'!$X27,""),"")</f>
        <v/>
      </c>
      <c r="F27" s="40">
        <f>IFERROR(IF('PRODUCTOS'!$G27&lt;&gt;"",'PRODUCTOS'!$AF27,""),"")</f>
        <v/>
      </c>
      <c r="G27" s="40">
        <f>IFERROR(IF('PRODUCTOS'!$G27&lt;&gt;"",'PRODUCTOS'!$AG27,""),"")</f>
        <v/>
      </c>
    </row>
    <row r="28">
      <c r="A28" s="39">
        <f>IFERROR(IF('PRODUCTOS'!$G28&lt;&gt;"",'PRODUCTOS'!$A28,""),"")</f>
        <v/>
      </c>
      <c r="B28" s="39">
        <f>IFERROR(IF('PRODUCTOS'!$G28&lt;&gt;"",'PRODUCTOS'!$G28,""),"")</f>
        <v/>
      </c>
      <c r="C28" s="39">
        <f>IFERROR(IF('PRODUCTOS'!$G28&lt;&gt;"",'PRODUCTOS'!$I28,""),"")</f>
        <v/>
      </c>
      <c r="D28" s="39">
        <f>IFERROR(IF('PRODUCTOS'!$G28&lt;&gt;"",'PRODUCTOS'!$J28,""),"")</f>
        <v/>
      </c>
      <c r="E28" s="39">
        <f>IFERROR(IF('PRODUCTOS'!$G28&lt;&gt;"",'PRODUCTOS'!$X28,""),"")</f>
        <v/>
      </c>
      <c r="F28" s="40">
        <f>IFERROR(IF('PRODUCTOS'!$G28&lt;&gt;"",'PRODUCTOS'!$AF28,""),"")</f>
        <v/>
      </c>
      <c r="G28" s="40">
        <f>IFERROR(IF('PRODUCTOS'!$G28&lt;&gt;"",'PRODUCTOS'!$AG28,""),"")</f>
        <v/>
      </c>
    </row>
    <row r="29">
      <c r="A29" s="39">
        <f>IFERROR(IF('PRODUCTOS'!$G29&lt;&gt;"",'PRODUCTOS'!$A29,""),"")</f>
        <v/>
      </c>
      <c r="B29" s="39">
        <f>IFERROR(IF('PRODUCTOS'!$G29&lt;&gt;"",'PRODUCTOS'!$G29,""),"")</f>
        <v/>
      </c>
      <c r="C29" s="39">
        <f>IFERROR(IF('PRODUCTOS'!$G29&lt;&gt;"",'PRODUCTOS'!$I29,""),"")</f>
        <v/>
      </c>
      <c r="D29" s="39">
        <f>IFERROR(IF('PRODUCTOS'!$G29&lt;&gt;"",'PRODUCTOS'!$J29,""),"")</f>
        <v/>
      </c>
      <c r="E29" s="39">
        <f>IFERROR(IF('PRODUCTOS'!$G29&lt;&gt;"",'PRODUCTOS'!$X29,""),"")</f>
        <v/>
      </c>
      <c r="F29" s="40">
        <f>IFERROR(IF('PRODUCTOS'!$G29&lt;&gt;"",'PRODUCTOS'!$AF29,""),"")</f>
        <v/>
      </c>
      <c r="G29" s="40">
        <f>IFERROR(IF('PRODUCTOS'!$G29&lt;&gt;"",'PRODUCTOS'!$AG29,""),"")</f>
        <v/>
      </c>
    </row>
    <row r="30">
      <c r="A30" s="39">
        <f>IFERROR(IF('PRODUCTOS'!$G30&lt;&gt;"",'PRODUCTOS'!$A30,""),"")</f>
        <v/>
      </c>
      <c r="B30" s="39">
        <f>IFERROR(IF('PRODUCTOS'!$G30&lt;&gt;"",'PRODUCTOS'!$G30,""),"")</f>
        <v/>
      </c>
      <c r="C30" s="39">
        <f>IFERROR(IF('PRODUCTOS'!$G30&lt;&gt;"",'PRODUCTOS'!$I30,""),"")</f>
        <v/>
      </c>
      <c r="D30" s="39">
        <f>IFERROR(IF('PRODUCTOS'!$G30&lt;&gt;"",'PRODUCTOS'!$J30,""),"")</f>
        <v/>
      </c>
      <c r="E30" s="39">
        <f>IFERROR(IF('PRODUCTOS'!$G30&lt;&gt;"",'PRODUCTOS'!$X30,""),"")</f>
        <v/>
      </c>
      <c r="F30" s="40">
        <f>IFERROR(IF('PRODUCTOS'!$G30&lt;&gt;"",'PRODUCTOS'!$AF30,""),"")</f>
        <v/>
      </c>
      <c r="G30" s="40">
        <f>IFERROR(IF('PRODUCTOS'!$G30&lt;&gt;"",'PRODUCTOS'!$AG30,""),"")</f>
        <v/>
      </c>
    </row>
    <row r="31">
      <c r="A31" s="39">
        <f>IFERROR(IF('PRODUCTOS'!$G31&lt;&gt;"",'PRODUCTOS'!$A31,""),"")</f>
        <v/>
      </c>
      <c r="B31" s="39">
        <f>IFERROR(IF('PRODUCTOS'!$G31&lt;&gt;"",'PRODUCTOS'!$G31,""),"")</f>
        <v/>
      </c>
      <c r="C31" s="39">
        <f>IFERROR(IF('PRODUCTOS'!$G31&lt;&gt;"",'PRODUCTOS'!$I31,""),"")</f>
        <v/>
      </c>
      <c r="D31" s="39">
        <f>IFERROR(IF('PRODUCTOS'!$G31&lt;&gt;"",'PRODUCTOS'!$J31,""),"")</f>
        <v/>
      </c>
      <c r="E31" s="39">
        <f>IFERROR(IF('PRODUCTOS'!$G31&lt;&gt;"",'PRODUCTOS'!$X31,""),"")</f>
        <v/>
      </c>
      <c r="F31" s="40">
        <f>IFERROR(IF('PRODUCTOS'!$G31&lt;&gt;"",'PRODUCTOS'!$AF31,""),"")</f>
        <v/>
      </c>
      <c r="G31" s="40">
        <f>IFERROR(IF('PRODUCTOS'!$G31&lt;&gt;"",'PRODUCTOS'!$AG31,""),"")</f>
        <v/>
      </c>
    </row>
    <row r="32">
      <c r="A32" s="39">
        <f>IFERROR(IF('PRODUCTOS'!$G32&lt;&gt;"",'PRODUCTOS'!$A32,""),"")</f>
        <v/>
      </c>
      <c r="B32" s="39">
        <f>IFERROR(IF('PRODUCTOS'!$G32&lt;&gt;"",'PRODUCTOS'!$G32,""),"")</f>
        <v/>
      </c>
      <c r="C32" s="39">
        <f>IFERROR(IF('PRODUCTOS'!$G32&lt;&gt;"",'PRODUCTOS'!$I32,""),"")</f>
        <v/>
      </c>
      <c r="D32" s="39">
        <f>IFERROR(IF('PRODUCTOS'!$G32&lt;&gt;"",'PRODUCTOS'!$J32,""),"")</f>
        <v/>
      </c>
      <c r="E32" s="39">
        <f>IFERROR(IF('PRODUCTOS'!$G32&lt;&gt;"",'PRODUCTOS'!$X32,""),"")</f>
        <v/>
      </c>
      <c r="F32" s="40">
        <f>IFERROR(IF('PRODUCTOS'!$G32&lt;&gt;"",'PRODUCTOS'!$AF32,""),"")</f>
        <v/>
      </c>
      <c r="G32" s="40">
        <f>IFERROR(IF('PRODUCTOS'!$G32&lt;&gt;"",'PRODUCTOS'!$AG32,""),"")</f>
        <v/>
      </c>
    </row>
    <row r="33">
      <c r="A33" s="39">
        <f>IFERROR(IF('PRODUCTOS'!$G33&lt;&gt;"",'PRODUCTOS'!$A33,""),"")</f>
        <v/>
      </c>
      <c r="B33" s="39">
        <f>IFERROR(IF('PRODUCTOS'!$G33&lt;&gt;"",'PRODUCTOS'!$G33,""),"")</f>
        <v/>
      </c>
      <c r="C33" s="39">
        <f>IFERROR(IF('PRODUCTOS'!$G33&lt;&gt;"",'PRODUCTOS'!$I33,""),"")</f>
        <v/>
      </c>
      <c r="D33" s="39">
        <f>IFERROR(IF('PRODUCTOS'!$G33&lt;&gt;"",'PRODUCTOS'!$J33,""),"")</f>
        <v/>
      </c>
      <c r="E33" s="39">
        <f>IFERROR(IF('PRODUCTOS'!$G33&lt;&gt;"",'PRODUCTOS'!$X33,""),"")</f>
        <v/>
      </c>
      <c r="F33" s="40">
        <f>IFERROR(IF('PRODUCTOS'!$G33&lt;&gt;"",'PRODUCTOS'!$AF33,""),"")</f>
        <v/>
      </c>
      <c r="G33" s="40">
        <f>IFERROR(IF('PRODUCTOS'!$G33&lt;&gt;"",'PRODUCTOS'!$AG33,""),"")</f>
        <v/>
      </c>
    </row>
    <row r="34">
      <c r="A34" s="39">
        <f>IFERROR(IF('PRODUCTOS'!$G34&lt;&gt;"",'PRODUCTOS'!$A34,""),"")</f>
        <v/>
      </c>
      <c r="B34" s="39">
        <f>IFERROR(IF('PRODUCTOS'!$G34&lt;&gt;"",'PRODUCTOS'!$G34,""),"")</f>
        <v/>
      </c>
      <c r="C34" s="39">
        <f>IFERROR(IF('PRODUCTOS'!$G34&lt;&gt;"",'PRODUCTOS'!$I34,""),"")</f>
        <v/>
      </c>
      <c r="D34" s="39">
        <f>IFERROR(IF('PRODUCTOS'!$G34&lt;&gt;"",'PRODUCTOS'!$J34,""),"")</f>
        <v/>
      </c>
      <c r="E34" s="39">
        <f>IFERROR(IF('PRODUCTOS'!$G34&lt;&gt;"",'PRODUCTOS'!$X34,""),"")</f>
        <v/>
      </c>
      <c r="F34" s="40">
        <f>IFERROR(IF('PRODUCTOS'!$G34&lt;&gt;"",'PRODUCTOS'!$AF34,""),"")</f>
        <v/>
      </c>
      <c r="G34" s="40">
        <f>IFERROR(IF('PRODUCTOS'!$G34&lt;&gt;"",'PRODUCTOS'!$AG34,""),"")</f>
        <v/>
      </c>
    </row>
    <row r="35">
      <c r="A35" s="39">
        <f>IFERROR(IF('PRODUCTOS'!$G35&lt;&gt;"",'PRODUCTOS'!$A35,""),"")</f>
        <v/>
      </c>
      <c r="B35" s="39">
        <f>IFERROR(IF('PRODUCTOS'!$G35&lt;&gt;"",'PRODUCTOS'!$G35,""),"")</f>
        <v/>
      </c>
      <c r="C35" s="39">
        <f>IFERROR(IF('PRODUCTOS'!$G35&lt;&gt;"",'PRODUCTOS'!$I35,""),"")</f>
        <v/>
      </c>
      <c r="D35" s="39">
        <f>IFERROR(IF('PRODUCTOS'!$G35&lt;&gt;"",'PRODUCTOS'!$J35,""),"")</f>
        <v/>
      </c>
      <c r="E35" s="39">
        <f>IFERROR(IF('PRODUCTOS'!$G35&lt;&gt;"",'PRODUCTOS'!$X35,""),"")</f>
        <v/>
      </c>
      <c r="F35" s="40">
        <f>IFERROR(IF('PRODUCTOS'!$G35&lt;&gt;"",'PRODUCTOS'!$AF35,""),"")</f>
        <v/>
      </c>
      <c r="G35" s="40">
        <f>IFERROR(IF('PRODUCTOS'!$G35&lt;&gt;"",'PRODUCTOS'!$AG35,""),"")</f>
        <v/>
      </c>
    </row>
    <row r="36">
      <c r="A36" s="39">
        <f>IFERROR(IF('PRODUCTOS'!$G36&lt;&gt;"",'PRODUCTOS'!$A36,""),"")</f>
        <v/>
      </c>
      <c r="B36" s="39">
        <f>IFERROR(IF('PRODUCTOS'!$G36&lt;&gt;"",'PRODUCTOS'!$G36,""),"")</f>
        <v/>
      </c>
      <c r="C36" s="39">
        <f>IFERROR(IF('PRODUCTOS'!$G36&lt;&gt;"",'PRODUCTOS'!$I36,""),"")</f>
        <v/>
      </c>
      <c r="D36" s="39">
        <f>IFERROR(IF('PRODUCTOS'!$G36&lt;&gt;"",'PRODUCTOS'!$J36,""),"")</f>
        <v/>
      </c>
      <c r="E36" s="39">
        <f>IFERROR(IF('PRODUCTOS'!$G36&lt;&gt;"",'PRODUCTOS'!$X36,""),"")</f>
        <v/>
      </c>
      <c r="F36" s="40">
        <f>IFERROR(IF('PRODUCTOS'!$G36&lt;&gt;"",'PRODUCTOS'!$AF36,""),"")</f>
        <v/>
      </c>
      <c r="G36" s="40">
        <f>IFERROR(IF('PRODUCTOS'!$G36&lt;&gt;"",'PRODUCTOS'!$AG36,""),"")</f>
        <v/>
      </c>
    </row>
    <row r="37">
      <c r="A37" s="39">
        <f>IFERROR(IF('PRODUCTOS'!$G37&lt;&gt;"",'PRODUCTOS'!$A37,""),"")</f>
        <v/>
      </c>
      <c r="B37" s="39">
        <f>IFERROR(IF('PRODUCTOS'!$G37&lt;&gt;"",'PRODUCTOS'!$G37,""),"")</f>
        <v/>
      </c>
      <c r="C37" s="39">
        <f>IFERROR(IF('PRODUCTOS'!$G37&lt;&gt;"",'PRODUCTOS'!$I37,""),"")</f>
        <v/>
      </c>
      <c r="D37" s="39">
        <f>IFERROR(IF('PRODUCTOS'!$G37&lt;&gt;"",'PRODUCTOS'!$J37,""),"")</f>
        <v/>
      </c>
      <c r="E37" s="39">
        <f>IFERROR(IF('PRODUCTOS'!$G37&lt;&gt;"",'PRODUCTOS'!$X37,""),"")</f>
        <v/>
      </c>
      <c r="F37" s="40">
        <f>IFERROR(IF('PRODUCTOS'!$G37&lt;&gt;"",'PRODUCTOS'!$AF37,""),"")</f>
        <v/>
      </c>
      <c r="G37" s="40">
        <f>IFERROR(IF('PRODUCTOS'!$G37&lt;&gt;"",'PRODUCTOS'!$AG37,""),"")</f>
        <v/>
      </c>
    </row>
    <row r="38">
      <c r="A38" s="39">
        <f>IFERROR(IF('PRODUCTOS'!$G38&lt;&gt;"",'PRODUCTOS'!$A38,""),"")</f>
        <v/>
      </c>
      <c r="B38" s="39">
        <f>IFERROR(IF('PRODUCTOS'!$G38&lt;&gt;"",'PRODUCTOS'!$G38,""),"")</f>
        <v/>
      </c>
      <c r="C38" s="39">
        <f>IFERROR(IF('PRODUCTOS'!$G38&lt;&gt;"",'PRODUCTOS'!$I38,""),"")</f>
        <v/>
      </c>
      <c r="D38" s="39">
        <f>IFERROR(IF('PRODUCTOS'!$G38&lt;&gt;"",'PRODUCTOS'!$J38,""),"")</f>
        <v/>
      </c>
      <c r="E38" s="39">
        <f>IFERROR(IF('PRODUCTOS'!$G38&lt;&gt;"",'PRODUCTOS'!$X38,""),"")</f>
        <v/>
      </c>
      <c r="F38" s="40">
        <f>IFERROR(IF('PRODUCTOS'!$G38&lt;&gt;"",'PRODUCTOS'!$AF38,""),"")</f>
        <v/>
      </c>
      <c r="G38" s="40">
        <f>IFERROR(IF('PRODUCTOS'!$G38&lt;&gt;"",'PRODUCTOS'!$AG38,""),"")</f>
        <v/>
      </c>
    </row>
    <row r="39">
      <c r="A39" s="39">
        <f>IFERROR(IF('PRODUCTOS'!$G39&lt;&gt;"",'PRODUCTOS'!$A39,""),"")</f>
        <v/>
      </c>
      <c r="B39" s="39">
        <f>IFERROR(IF('PRODUCTOS'!$G39&lt;&gt;"",'PRODUCTOS'!$G39,""),"")</f>
        <v/>
      </c>
      <c r="C39" s="39">
        <f>IFERROR(IF('PRODUCTOS'!$G39&lt;&gt;"",'PRODUCTOS'!$I39,""),"")</f>
        <v/>
      </c>
      <c r="D39" s="39">
        <f>IFERROR(IF('PRODUCTOS'!$G39&lt;&gt;"",'PRODUCTOS'!$J39,""),"")</f>
        <v/>
      </c>
      <c r="E39" s="39">
        <f>IFERROR(IF('PRODUCTOS'!$G39&lt;&gt;"",'PRODUCTOS'!$X39,""),"")</f>
        <v/>
      </c>
      <c r="F39" s="40">
        <f>IFERROR(IF('PRODUCTOS'!$G39&lt;&gt;"",'PRODUCTOS'!$AF39,""),"")</f>
        <v/>
      </c>
      <c r="G39" s="40">
        <f>IFERROR(IF('PRODUCTOS'!$G39&lt;&gt;"",'PRODUCTOS'!$AG39,""),"")</f>
        <v/>
      </c>
    </row>
    <row r="40">
      <c r="A40" s="39">
        <f>IFERROR(IF('PRODUCTOS'!$G40&lt;&gt;"",'PRODUCTOS'!$A40,""),"")</f>
        <v/>
      </c>
      <c r="B40" s="39">
        <f>IFERROR(IF('PRODUCTOS'!$G40&lt;&gt;"",'PRODUCTOS'!$G40,""),"")</f>
        <v/>
      </c>
      <c r="C40" s="39">
        <f>IFERROR(IF('PRODUCTOS'!$G40&lt;&gt;"",'PRODUCTOS'!$I40,""),"")</f>
        <v/>
      </c>
      <c r="D40" s="39">
        <f>IFERROR(IF('PRODUCTOS'!$G40&lt;&gt;"",'PRODUCTOS'!$J40,""),"")</f>
        <v/>
      </c>
      <c r="E40" s="39">
        <f>IFERROR(IF('PRODUCTOS'!$G40&lt;&gt;"",'PRODUCTOS'!$X40,""),"")</f>
        <v/>
      </c>
      <c r="F40" s="40">
        <f>IFERROR(IF('PRODUCTOS'!$G40&lt;&gt;"",'PRODUCTOS'!$AF40,""),"")</f>
        <v/>
      </c>
      <c r="G40" s="40">
        <f>IFERROR(IF('PRODUCTOS'!$G40&lt;&gt;"",'PRODUCTOS'!$AG40,""),"")</f>
        <v/>
      </c>
    </row>
    <row r="41">
      <c r="A41" s="39">
        <f>IFERROR(IF('PRODUCTOS'!$G41&lt;&gt;"",'PRODUCTOS'!$A41,""),"")</f>
        <v/>
      </c>
      <c r="B41" s="39">
        <f>IFERROR(IF('PRODUCTOS'!$G41&lt;&gt;"",'PRODUCTOS'!$G41,""),"")</f>
        <v/>
      </c>
      <c r="C41" s="39">
        <f>IFERROR(IF('PRODUCTOS'!$G41&lt;&gt;"",'PRODUCTOS'!$I41,""),"")</f>
        <v/>
      </c>
      <c r="D41" s="39">
        <f>IFERROR(IF('PRODUCTOS'!$G41&lt;&gt;"",'PRODUCTOS'!$J41,""),"")</f>
        <v/>
      </c>
      <c r="E41" s="39">
        <f>IFERROR(IF('PRODUCTOS'!$G41&lt;&gt;"",'PRODUCTOS'!$X41,""),"")</f>
        <v/>
      </c>
      <c r="F41" s="40">
        <f>IFERROR(IF('PRODUCTOS'!$G41&lt;&gt;"",'PRODUCTOS'!$AF41,""),"")</f>
        <v/>
      </c>
      <c r="G41" s="40">
        <f>IFERROR(IF('PRODUCTOS'!$G41&lt;&gt;"",'PRODUCTOS'!$AG41,""),"")</f>
        <v/>
      </c>
    </row>
    <row r="42">
      <c r="A42" s="39">
        <f>IFERROR(IF('PRODUCTOS'!$G42&lt;&gt;"",'PRODUCTOS'!$A42,""),"")</f>
        <v/>
      </c>
      <c r="B42" s="39">
        <f>IFERROR(IF('PRODUCTOS'!$G42&lt;&gt;"",'PRODUCTOS'!$G42,""),"")</f>
        <v/>
      </c>
      <c r="C42" s="39">
        <f>IFERROR(IF('PRODUCTOS'!$G42&lt;&gt;"",'PRODUCTOS'!$I42,""),"")</f>
        <v/>
      </c>
      <c r="D42" s="39">
        <f>IFERROR(IF('PRODUCTOS'!$G42&lt;&gt;"",'PRODUCTOS'!$J42,""),"")</f>
        <v/>
      </c>
      <c r="E42" s="39">
        <f>IFERROR(IF('PRODUCTOS'!$G42&lt;&gt;"",'PRODUCTOS'!$X42,""),"")</f>
        <v/>
      </c>
      <c r="F42" s="40">
        <f>IFERROR(IF('PRODUCTOS'!$G42&lt;&gt;"",'PRODUCTOS'!$AF42,""),"")</f>
        <v/>
      </c>
      <c r="G42" s="40">
        <f>IFERROR(IF('PRODUCTOS'!$G42&lt;&gt;"",'PRODUCTOS'!$AG42,""),"")</f>
        <v/>
      </c>
    </row>
    <row r="43">
      <c r="A43" s="39">
        <f>IFERROR(IF('PRODUCTOS'!$G43&lt;&gt;"",'PRODUCTOS'!$A43,""),"")</f>
        <v/>
      </c>
      <c r="B43" s="39">
        <f>IFERROR(IF('PRODUCTOS'!$G43&lt;&gt;"",'PRODUCTOS'!$G43,""),"")</f>
        <v/>
      </c>
      <c r="C43" s="39">
        <f>IFERROR(IF('PRODUCTOS'!$G43&lt;&gt;"",'PRODUCTOS'!$I43,""),"")</f>
        <v/>
      </c>
      <c r="D43" s="39">
        <f>IFERROR(IF('PRODUCTOS'!$G43&lt;&gt;"",'PRODUCTOS'!$J43,""),"")</f>
        <v/>
      </c>
      <c r="E43" s="39">
        <f>IFERROR(IF('PRODUCTOS'!$G43&lt;&gt;"",'PRODUCTOS'!$X43,""),"")</f>
        <v/>
      </c>
      <c r="F43" s="40">
        <f>IFERROR(IF('PRODUCTOS'!$G43&lt;&gt;"",'PRODUCTOS'!$AF43,""),"")</f>
        <v/>
      </c>
      <c r="G43" s="40">
        <f>IFERROR(IF('PRODUCTOS'!$G43&lt;&gt;"",'PRODUCTOS'!$AG43,""),"")</f>
        <v/>
      </c>
    </row>
    <row r="44">
      <c r="A44" s="39">
        <f>IFERROR(IF('PRODUCTOS'!$G44&lt;&gt;"",'PRODUCTOS'!$A44,""),"")</f>
        <v/>
      </c>
      <c r="B44" s="39">
        <f>IFERROR(IF('PRODUCTOS'!$G44&lt;&gt;"",'PRODUCTOS'!$G44,""),"")</f>
        <v/>
      </c>
      <c r="C44" s="39">
        <f>IFERROR(IF('PRODUCTOS'!$G44&lt;&gt;"",'PRODUCTOS'!$I44,""),"")</f>
        <v/>
      </c>
      <c r="D44" s="39">
        <f>IFERROR(IF('PRODUCTOS'!$G44&lt;&gt;"",'PRODUCTOS'!$J44,""),"")</f>
        <v/>
      </c>
      <c r="E44" s="39">
        <f>IFERROR(IF('PRODUCTOS'!$G44&lt;&gt;"",'PRODUCTOS'!$X44,""),"")</f>
        <v/>
      </c>
      <c r="F44" s="40">
        <f>IFERROR(IF('PRODUCTOS'!$G44&lt;&gt;"",'PRODUCTOS'!$AF44,""),"")</f>
        <v/>
      </c>
      <c r="G44" s="40">
        <f>IFERROR(IF('PRODUCTOS'!$G44&lt;&gt;"",'PRODUCTOS'!$AG44,""),"")</f>
        <v/>
      </c>
    </row>
    <row r="45">
      <c r="A45" s="39">
        <f>IFERROR(IF('PRODUCTOS'!$G45&lt;&gt;"",'PRODUCTOS'!$A45,""),"")</f>
        <v/>
      </c>
      <c r="B45" s="39">
        <f>IFERROR(IF('PRODUCTOS'!$G45&lt;&gt;"",'PRODUCTOS'!$G45,""),"")</f>
        <v/>
      </c>
      <c r="C45" s="39">
        <f>IFERROR(IF('PRODUCTOS'!$G45&lt;&gt;"",'PRODUCTOS'!$I45,""),"")</f>
        <v/>
      </c>
      <c r="D45" s="39">
        <f>IFERROR(IF('PRODUCTOS'!$G45&lt;&gt;"",'PRODUCTOS'!$J45,""),"")</f>
        <v/>
      </c>
      <c r="E45" s="39">
        <f>IFERROR(IF('PRODUCTOS'!$G45&lt;&gt;"",'PRODUCTOS'!$X45,""),"")</f>
        <v/>
      </c>
      <c r="F45" s="40">
        <f>IFERROR(IF('PRODUCTOS'!$G45&lt;&gt;"",'PRODUCTOS'!$AF45,""),"")</f>
        <v/>
      </c>
      <c r="G45" s="40">
        <f>IFERROR(IF('PRODUCTOS'!$G45&lt;&gt;"",'PRODUCTOS'!$AG45,""),"")</f>
        <v/>
      </c>
    </row>
    <row r="46">
      <c r="A46" s="39">
        <f>IFERROR(IF('PRODUCTOS'!$G46&lt;&gt;"",'PRODUCTOS'!$A46,""),"")</f>
        <v/>
      </c>
      <c r="B46" s="39">
        <f>IFERROR(IF('PRODUCTOS'!$G46&lt;&gt;"",'PRODUCTOS'!$G46,""),"")</f>
        <v/>
      </c>
      <c r="C46" s="39">
        <f>IFERROR(IF('PRODUCTOS'!$G46&lt;&gt;"",'PRODUCTOS'!$I46,""),"")</f>
        <v/>
      </c>
      <c r="D46" s="39">
        <f>IFERROR(IF('PRODUCTOS'!$G46&lt;&gt;"",'PRODUCTOS'!$J46,""),"")</f>
        <v/>
      </c>
      <c r="E46" s="39">
        <f>IFERROR(IF('PRODUCTOS'!$G46&lt;&gt;"",'PRODUCTOS'!$X46,""),"")</f>
        <v/>
      </c>
      <c r="F46" s="40">
        <f>IFERROR(IF('PRODUCTOS'!$G46&lt;&gt;"",'PRODUCTOS'!$AF46,""),"")</f>
        <v/>
      </c>
      <c r="G46" s="40">
        <f>IFERROR(IF('PRODUCTOS'!$G46&lt;&gt;"",'PRODUCTOS'!$AG46,""),"")</f>
        <v/>
      </c>
    </row>
    <row r="47">
      <c r="A47" s="39">
        <f>IFERROR(IF('PRODUCTOS'!$G47&lt;&gt;"",'PRODUCTOS'!$A47,""),"")</f>
        <v/>
      </c>
      <c r="B47" s="39">
        <f>IFERROR(IF('PRODUCTOS'!$G47&lt;&gt;"",'PRODUCTOS'!$G47,""),"")</f>
        <v/>
      </c>
      <c r="C47" s="39">
        <f>IFERROR(IF('PRODUCTOS'!$G47&lt;&gt;"",'PRODUCTOS'!$I47,""),"")</f>
        <v/>
      </c>
      <c r="D47" s="39">
        <f>IFERROR(IF('PRODUCTOS'!$G47&lt;&gt;"",'PRODUCTOS'!$J47,""),"")</f>
        <v/>
      </c>
      <c r="E47" s="39">
        <f>IFERROR(IF('PRODUCTOS'!$G47&lt;&gt;"",'PRODUCTOS'!$X47,""),"")</f>
        <v/>
      </c>
      <c r="F47" s="40">
        <f>IFERROR(IF('PRODUCTOS'!$G47&lt;&gt;"",'PRODUCTOS'!$AF47,""),"")</f>
        <v/>
      </c>
      <c r="G47" s="40">
        <f>IFERROR(IF('PRODUCTOS'!$G47&lt;&gt;"",'PRODUCTOS'!$AG47,""),"")</f>
        <v/>
      </c>
    </row>
    <row r="48">
      <c r="A48" s="39">
        <f>IFERROR(IF('PRODUCTOS'!$G48&lt;&gt;"",'PRODUCTOS'!$A48,""),"")</f>
        <v/>
      </c>
      <c r="B48" s="39">
        <f>IFERROR(IF('PRODUCTOS'!$G48&lt;&gt;"",'PRODUCTOS'!$G48,""),"")</f>
        <v/>
      </c>
      <c r="C48" s="39">
        <f>IFERROR(IF('PRODUCTOS'!$G48&lt;&gt;"",'PRODUCTOS'!$I48,""),"")</f>
        <v/>
      </c>
      <c r="D48" s="39">
        <f>IFERROR(IF('PRODUCTOS'!$G48&lt;&gt;"",'PRODUCTOS'!$J48,""),"")</f>
        <v/>
      </c>
      <c r="E48" s="39">
        <f>IFERROR(IF('PRODUCTOS'!$G48&lt;&gt;"",'PRODUCTOS'!$X48,""),"")</f>
        <v/>
      </c>
      <c r="F48" s="40">
        <f>IFERROR(IF('PRODUCTOS'!$G48&lt;&gt;"",'PRODUCTOS'!$AF48,""),"")</f>
        <v/>
      </c>
      <c r="G48" s="40">
        <f>IFERROR(IF('PRODUCTOS'!$G48&lt;&gt;"",'PRODUCTOS'!$AG48,""),"")</f>
        <v/>
      </c>
    </row>
    <row r="49">
      <c r="A49" s="39">
        <f>IFERROR(IF('PRODUCTOS'!$G49&lt;&gt;"",'PRODUCTOS'!$A49,""),"")</f>
        <v/>
      </c>
      <c r="B49" s="39">
        <f>IFERROR(IF('PRODUCTOS'!$G49&lt;&gt;"",'PRODUCTOS'!$G49,""),"")</f>
        <v/>
      </c>
      <c r="C49" s="39">
        <f>IFERROR(IF('PRODUCTOS'!$G49&lt;&gt;"",'PRODUCTOS'!$I49,""),"")</f>
        <v/>
      </c>
      <c r="D49" s="39">
        <f>IFERROR(IF('PRODUCTOS'!$G49&lt;&gt;"",'PRODUCTOS'!$J49,""),"")</f>
        <v/>
      </c>
      <c r="E49" s="39">
        <f>IFERROR(IF('PRODUCTOS'!$G49&lt;&gt;"",'PRODUCTOS'!$X49,""),"")</f>
        <v/>
      </c>
      <c r="F49" s="40">
        <f>IFERROR(IF('PRODUCTOS'!$G49&lt;&gt;"",'PRODUCTOS'!$AF49,""),"")</f>
        <v/>
      </c>
      <c r="G49" s="40">
        <f>IFERROR(IF('PRODUCTOS'!$G49&lt;&gt;"",'PRODUCTOS'!$AG49,""),"")</f>
        <v/>
      </c>
    </row>
    <row r="50">
      <c r="A50" s="39">
        <f>IFERROR(IF('PRODUCTOS'!$G50&lt;&gt;"",'PRODUCTOS'!$A50,""),"")</f>
        <v/>
      </c>
      <c r="B50" s="39">
        <f>IFERROR(IF('PRODUCTOS'!$G50&lt;&gt;"",'PRODUCTOS'!$G50,""),"")</f>
        <v/>
      </c>
      <c r="C50" s="39">
        <f>IFERROR(IF('PRODUCTOS'!$G50&lt;&gt;"",'PRODUCTOS'!$I50,""),"")</f>
        <v/>
      </c>
      <c r="D50" s="39">
        <f>IFERROR(IF('PRODUCTOS'!$G50&lt;&gt;"",'PRODUCTOS'!$J50,""),"")</f>
        <v/>
      </c>
      <c r="E50" s="39">
        <f>IFERROR(IF('PRODUCTOS'!$G50&lt;&gt;"",'PRODUCTOS'!$X50,""),"")</f>
        <v/>
      </c>
      <c r="F50" s="40">
        <f>IFERROR(IF('PRODUCTOS'!$G50&lt;&gt;"",'PRODUCTOS'!$AF50,""),"")</f>
        <v/>
      </c>
      <c r="G50" s="40">
        <f>IFERROR(IF('PRODUCTOS'!$G50&lt;&gt;"",'PRODUCTOS'!$AG50,""),"")</f>
        <v/>
      </c>
    </row>
    <row r="51">
      <c r="A51" s="39">
        <f>IFERROR(IF('PRODUCTOS'!$G51&lt;&gt;"",'PRODUCTOS'!$A51,""),"")</f>
        <v/>
      </c>
      <c r="B51" s="39">
        <f>IFERROR(IF('PRODUCTOS'!$G51&lt;&gt;"",'PRODUCTOS'!$G51,""),"")</f>
        <v/>
      </c>
      <c r="C51" s="39">
        <f>IFERROR(IF('PRODUCTOS'!$G51&lt;&gt;"",'PRODUCTOS'!$I51,""),"")</f>
        <v/>
      </c>
      <c r="D51" s="39">
        <f>IFERROR(IF('PRODUCTOS'!$G51&lt;&gt;"",'PRODUCTOS'!$J51,""),"")</f>
        <v/>
      </c>
      <c r="E51" s="39">
        <f>IFERROR(IF('PRODUCTOS'!$G51&lt;&gt;"",'PRODUCTOS'!$X51,""),"")</f>
        <v/>
      </c>
      <c r="F51" s="40">
        <f>IFERROR(IF('PRODUCTOS'!$G51&lt;&gt;"",'PRODUCTOS'!$AF51,""),"")</f>
        <v/>
      </c>
      <c r="G51" s="40">
        <f>IFERROR(IF('PRODUCTOS'!$G51&lt;&gt;"",'PRODUCTOS'!$AG51,""),"")</f>
        <v/>
      </c>
    </row>
    <row r="52">
      <c r="A52" s="39">
        <f>IFERROR(IF('PRODUCTOS'!$G52&lt;&gt;"",'PRODUCTOS'!$A52,""),"")</f>
        <v/>
      </c>
      <c r="B52" s="39">
        <f>IFERROR(IF('PRODUCTOS'!$G52&lt;&gt;"",'PRODUCTOS'!$G52,""),"")</f>
        <v/>
      </c>
      <c r="C52" s="39">
        <f>IFERROR(IF('PRODUCTOS'!$G52&lt;&gt;"",'PRODUCTOS'!$I52,""),"")</f>
        <v/>
      </c>
      <c r="D52" s="39">
        <f>IFERROR(IF('PRODUCTOS'!$G52&lt;&gt;"",'PRODUCTOS'!$J52,""),"")</f>
        <v/>
      </c>
      <c r="E52" s="39">
        <f>IFERROR(IF('PRODUCTOS'!$G52&lt;&gt;"",'PRODUCTOS'!$X52,""),"")</f>
        <v/>
      </c>
      <c r="F52" s="40">
        <f>IFERROR(IF('PRODUCTOS'!$G52&lt;&gt;"",'PRODUCTOS'!$AF52,""),"")</f>
        <v/>
      </c>
      <c r="G52" s="40">
        <f>IFERROR(IF('PRODUCTOS'!$G52&lt;&gt;"",'PRODUCTOS'!$AG52,""),"")</f>
        <v/>
      </c>
    </row>
    <row r="53">
      <c r="A53" s="39">
        <f>IFERROR(IF('PRODUCTOS'!$G53&lt;&gt;"",'PRODUCTOS'!$A53,""),"")</f>
        <v/>
      </c>
      <c r="B53" s="39">
        <f>IFERROR(IF('PRODUCTOS'!$G53&lt;&gt;"",'PRODUCTOS'!$G53,""),"")</f>
        <v/>
      </c>
      <c r="C53" s="39">
        <f>IFERROR(IF('PRODUCTOS'!$G53&lt;&gt;"",'PRODUCTOS'!$I53,""),"")</f>
        <v/>
      </c>
      <c r="D53" s="39">
        <f>IFERROR(IF('PRODUCTOS'!$G53&lt;&gt;"",'PRODUCTOS'!$J53,""),"")</f>
        <v/>
      </c>
      <c r="E53" s="39">
        <f>IFERROR(IF('PRODUCTOS'!$G53&lt;&gt;"",'PRODUCTOS'!$X53,""),"")</f>
        <v/>
      </c>
      <c r="F53" s="40">
        <f>IFERROR(IF('PRODUCTOS'!$G53&lt;&gt;"",'PRODUCTOS'!$AF53,""),"")</f>
        <v/>
      </c>
      <c r="G53" s="40">
        <f>IFERROR(IF('PRODUCTOS'!$G53&lt;&gt;"",'PRODUCTOS'!$AG53,""),"")</f>
        <v/>
      </c>
    </row>
    <row r="54">
      <c r="A54" s="39">
        <f>IFERROR(IF('PRODUCTOS'!$G54&lt;&gt;"",'PRODUCTOS'!$A54,""),"")</f>
        <v/>
      </c>
      <c r="B54" s="39">
        <f>IFERROR(IF('PRODUCTOS'!$G54&lt;&gt;"",'PRODUCTOS'!$G54,""),"")</f>
        <v/>
      </c>
      <c r="C54" s="39">
        <f>IFERROR(IF('PRODUCTOS'!$G54&lt;&gt;"",'PRODUCTOS'!$I54,""),"")</f>
        <v/>
      </c>
      <c r="D54" s="39">
        <f>IFERROR(IF('PRODUCTOS'!$G54&lt;&gt;"",'PRODUCTOS'!$J54,""),"")</f>
        <v/>
      </c>
      <c r="E54" s="39">
        <f>IFERROR(IF('PRODUCTOS'!$G54&lt;&gt;"",'PRODUCTOS'!$X54,""),"")</f>
        <v/>
      </c>
      <c r="F54" s="40">
        <f>IFERROR(IF('PRODUCTOS'!$G54&lt;&gt;"",'PRODUCTOS'!$AF54,""),"")</f>
        <v/>
      </c>
      <c r="G54" s="40">
        <f>IFERROR(IF('PRODUCTOS'!$G54&lt;&gt;"",'PRODUCTOS'!$AG54,""),"")</f>
        <v/>
      </c>
    </row>
    <row r="55">
      <c r="A55" s="39">
        <f>IFERROR(IF('PRODUCTOS'!$G55&lt;&gt;"",'PRODUCTOS'!$A55,""),"")</f>
        <v/>
      </c>
      <c r="B55" s="39">
        <f>IFERROR(IF('PRODUCTOS'!$G55&lt;&gt;"",'PRODUCTOS'!$G55,""),"")</f>
        <v/>
      </c>
      <c r="C55" s="39">
        <f>IFERROR(IF('PRODUCTOS'!$G55&lt;&gt;"",'PRODUCTOS'!$I55,""),"")</f>
        <v/>
      </c>
      <c r="D55" s="39">
        <f>IFERROR(IF('PRODUCTOS'!$G55&lt;&gt;"",'PRODUCTOS'!$J55,""),"")</f>
        <v/>
      </c>
      <c r="E55" s="39">
        <f>IFERROR(IF('PRODUCTOS'!$G55&lt;&gt;"",'PRODUCTOS'!$X55,""),"")</f>
        <v/>
      </c>
      <c r="F55" s="40">
        <f>IFERROR(IF('PRODUCTOS'!$G55&lt;&gt;"",'PRODUCTOS'!$AF55,""),"")</f>
        <v/>
      </c>
      <c r="G55" s="40">
        <f>IFERROR(IF('PRODUCTOS'!$G55&lt;&gt;"",'PRODUCTOS'!$AG55,""),"")</f>
        <v/>
      </c>
    </row>
    <row r="56">
      <c r="A56" s="39">
        <f>IFERROR(IF('PRODUCTOS'!$G56&lt;&gt;"",'PRODUCTOS'!$A56,""),"")</f>
        <v/>
      </c>
      <c r="B56" s="39">
        <f>IFERROR(IF('PRODUCTOS'!$G56&lt;&gt;"",'PRODUCTOS'!$G56,""),"")</f>
        <v/>
      </c>
      <c r="C56" s="39">
        <f>IFERROR(IF('PRODUCTOS'!$G56&lt;&gt;"",'PRODUCTOS'!$I56,""),"")</f>
        <v/>
      </c>
      <c r="D56" s="39">
        <f>IFERROR(IF('PRODUCTOS'!$G56&lt;&gt;"",'PRODUCTOS'!$J56,""),"")</f>
        <v/>
      </c>
      <c r="E56" s="39">
        <f>IFERROR(IF('PRODUCTOS'!$G56&lt;&gt;"",'PRODUCTOS'!$X56,""),"")</f>
        <v/>
      </c>
      <c r="F56" s="40">
        <f>IFERROR(IF('PRODUCTOS'!$G56&lt;&gt;"",'PRODUCTOS'!$AF56,""),"")</f>
        <v/>
      </c>
      <c r="G56" s="40">
        <f>IFERROR(IF('PRODUCTOS'!$G56&lt;&gt;"",'PRODUCTOS'!$AG56,""),"")</f>
        <v/>
      </c>
    </row>
    <row r="57">
      <c r="A57" s="39">
        <f>IFERROR(IF('PRODUCTOS'!$G57&lt;&gt;"",'PRODUCTOS'!$A57,""),"")</f>
        <v/>
      </c>
      <c r="B57" s="39">
        <f>IFERROR(IF('PRODUCTOS'!$G57&lt;&gt;"",'PRODUCTOS'!$G57,""),"")</f>
        <v/>
      </c>
      <c r="C57" s="39">
        <f>IFERROR(IF('PRODUCTOS'!$G57&lt;&gt;"",'PRODUCTOS'!$I57,""),"")</f>
        <v/>
      </c>
      <c r="D57" s="39">
        <f>IFERROR(IF('PRODUCTOS'!$G57&lt;&gt;"",'PRODUCTOS'!$J57,""),"")</f>
        <v/>
      </c>
      <c r="E57" s="39">
        <f>IFERROR(IF('PRODUCTOS'!$G57&lt;&gt;"",'PRODUCTOS'!$X57,""),"")</f>
        <v/>
      </c>
      <c r="F57" s="40">
        <f>IFERROR(IF('PRODUCTOS'!$G57&lt;&gt;"",'PRODUCTOS'!$AF57,""),"")</f>
        <v/>
      </c>
      <c r="G57" s="40">
        <f>IFERROR(IF('PRODUCTOS'!$G57&lt;&gt;"",'PRODUCTOS'!$AG57,""),"")</f>
        <v/>
      </c>
    </row>
    <row r="58">
      <c r="A58" s="39">
        <f>IFERROR(IF('PRODUCTOS'!$G58&lt;&gt;"",'PRODUCTOS'!$A58,""),"")</f>
        <v/>
      </c>
      <c r="B58" s="39">
        <f>IFERROR(IF('PRODUCTOS'!$G58&lt;&gt;"",'PRODUCTOS'!$G58,""),"")</f>
        <v/>
      </c>
      <c r="C58" s="39">
        <f>IFERROR(IF('PRODUCTOS'!$G58&lt;&gt;"",'PRODUCTOS'!$I58,""),"")</f>
        <v/>
      </c>
      <c r="D58" s="39">
        <f>IFERROR(IF('PRODUCTOS'!$G58&lt;&gt;"",'PRODUCTOS'!$J58,""),"")</f>
        <v/>
      </c>
      <c r="E58" s="39">
        <f>IFERROR(IF('PRODUCTOS'!$G58&lt;&gt;"",'PRODUCTOS'!$X58,""),"")</f>
        <v/>
      </c>
      <c r="F58" s="40">
        <f>IFERROR(IF('PRODUCTOS'!$G58&lt;&gt;"",'PRODUCTOS'!$AF58,""),"")</f>
        <v/>
      </c>
      <c r="G58" s="40">
        <f>IFERROR(IF('PRODUCTOS'!$G58&lt;&gt;"",'PRODUCTOS'!$AG58,""),"")</f>
        <v/>
      </c>
    </row>
    <row r="59">
      <c r="A59" s="39">
        <f>IFERROR(IF('PRODUCTOS'!$G59&lt;&gt;"",'PRODUCTOS'!$A59,""),"")</f>
        <v/>
      </c>
      <c r="B59" s="39">
        <f>IFERROR(IF('PRODUCTOS'!$G59&lt;&gt;"",'PRODUCTOS'!$G59,""),"")</f>
        <v/>
      </c>
      <c r="C59" s="39">
        <f>IFERROR(IF('PRODUCTOS'!$G59&lt;&gt;"",'PRODUCTOS'!$I59,""),"")</f>
        <v/>
      </c>
      <c r="D59" s="39">
        <f>IFERROR(IF('PRODUCTOS'!$G59&lt;&gt;"",'PRODUCTOS'!$J59,""),"")</f>
        <v/>
      </c>
      <c r="E59" s="39">
        <f>IFERROR(IF('PRODUCTOS'!$G59&lt;&gt;"",'PRODUCTOS'!$X59,""),"")</f>
        <v/>
      </c>
      <c r="F59" s="40">
        <f>IFERROR(IF('PRODUCTOS'!$G59&lt;&gt;"",'PRODUCTOS'!$AF59,""),"")</f>
        <v/>
      </c>
      <c r="G59" s="40">
        <f>IFERROR(IF('PRODUCTOS'!$G59&lt;&gt;"",'PRODUCTOS'!$AG59,""),"")</f>
        <v/>
      </c>
    </row>
    <row r="60">
      <c r="A60" s="39">
        <f>IFERROR(IF('PRODUCTOS'!$G60&lt;&gt;"",'PRODUCTOS'!$A60,""),"")</f>
        <v/>
      </c>
      <c r="B60" s="39">
        <f>IFERROR(IF('PRODUCTOS'!$G60&lt;&gt;"",'PRODUCTOS'!$G60,""),"")</f>
        <v/>
      </c>
      <c r="C60" s="39">
        <f>IFERROR(IF('PRODUCTOS'!$G60&lt;&gt;"",'PRODUCTOS'!$I60,""),"")</f>
        <v/>
      </c>
      <c r="D60" s="39">
        <f>IFERROR(IF('PRODUCTOS'!$G60&lt;&gt;"",'PRODUCTOS'!$J60,""),"")</f>
        <v/>
      </c>
      <c r="E60" s="39">
        <f>IFERROR(IF('PRODUCTOS'!$G60&lt;&gt;"",'PRODUCTOS'!$X60,""),"")</f>
        <v/>
      </c>
      <c r="F60" s="40">
        <f>IFERROR(IF('PRODUCTOS'!$G60&lt;&gt;"",'PRODUCTOS'!$AF60,""),"")</f>
        <v/>
      </c>
      <c r="G60" s="40">
        <f>IFERROR(IF('PRODUCTOS'!$G60&lt;&gt;"",'PRODUCTOS'!$AG60,""),"")</f>
        <v/>
      </c>
    </row>
    <row r="61">
      <c r="A61" s="39">
        <f>IFERROR(IF('PRODUCTOS'!$G61&lt;&gt;"",'PRODUCTOS'!$A61,""),"")</f>
        <v/>
      </c>
      <c r="B61" s="39">
        <f>IFERROR(IF('PRODUCTOS'!$G61&lt;&gt;"",'PRODUCTOS'!$G61,""),"")</f>
        <v/>
      </c>
      <c r="C61" s="39">
        <f>IFERROR(IF('PRODUCTOS'!$G61&lt;&gt;"",'PRODUCTOS'!$I61,""),"")</f>
        <v/>
      </c>
      <c r="D61" s="39">
        <f>IFERROR(IF('PRODUCTOS'!$G61&lt;&gt;"",'PRODUCTOS'!$J61,""),"")</f>
        <v/>
      </c>
      <c r="E61" s="39">
        <f>IFERROR(IF('PRODUCTOS'!$G61&lt;&gt;"",'PRODUCTOS'!$X61,""),"")</f>
        <v/>
      </c>
      <c r="F61" s="40">
        <f>IFERROR(IF('PRODUCTOS'!$G61&lt;&gt;"",'PRODUCTOS'!$AF61,""),"")</f>
        <v/>
      </c>
      <c r="G61" s="40">
        <f>IFERROR(IF('PRODUCTOS'!$G61&lt;&gt;"",'PRODUCTOS'!$AG61,""),"")</f>
        <v/>
      </c>
    </row>
    <row r="62">
      <c r="A62" s="39">
        <f>IFERROR(IF('PRODUCTOS'!$G62&lt;&gt;"",'PRODUCTOS'!$A62,""),"")</f>
        <v/>
      </c>
      <c r="B62" s="39">
        <f>IFERROR(IF('PRODUCTOS'!$G62&lt;&gt;"",'PRODUCTOS'!$G62,""),"")</f>
        <v/>
      </c>
      <c r="C62" s="39">
        <f>IFERROR(IF('PRODUCTOS'!$G62&lt;&gt;"",'PRODUCTOS'!$I62,""),"")</f>
        <v/>
      </c>
      <c r="D62" s="39">
        <f>IFERROR(IF('PRODUCTOS'!$G62&lt;&gt;"",'PRODUCTOS'!$J62,""),"")</f>
        <v/>
      </c>
      <c r="E62" s="39">
        <f>IFERROR(IF('PRODUCTOS'!$G62&lt;&gt;"",'PRODUCTOS'!$X62,""),"")</f>
        <v/>
      </c>
      <c r="F62" s="40">
        <f>IFERROR(IF('PRODUCTOS'!$G62&lt;&gt;"",'PRODUCTOS'!$AF62,""),"")</f>
        <v/>
      </c>
      <c r="G62" s="40">
        <f>IFERROR(IF('PRODUCTOS'!$G62&lt;&gt;"",'PRODUCTOS'!$AG62,""),"")</f>
        <v/>
      </c>
    </row>
    <row r="63">
      <c r="A63" s="39">
        <f>IFERROR(IF('PRODUCTOS'!$G63&lt;&gt;"",'PRODUCTOS'!$A63,""),"")</f>
        <v/>
      </c>
      <c r="B63" s="39">
        <f>IFERROR(IF('PRODUCTOS'!$G63&lt;&gt;"",'PRODUCTOS'!$G63,""),"")</f>
        <v/>
      </c>
      <c r="C63" s="39">
        <f>IFERROR(IF('PRODUCTOS'!$G63&lt;&gt;"",'PRODUCTOS'!$I63,""),"")</f>
        <v/>
      </c>
      <c r="D63" s="39">
        <f>IFERROR(IF('PRODUCTOS'!$G63&lt;&gt;"",'PRODUCTOS'!$J63,""),"")</f>
        <v/>
      </c>
      <c r="E63" s="39">
        <f>IFERROR(IF('PRODUCTOS'!$G63&lt;&gt;"",'PRODUCTOS'!$X63,""),"")</f>
        <v/>
      </c>
      <c r="F63" s="40">
        <f>IFERROR(IF('PRODUCTOS'!$G63&lt;&gt;"",'PRODUCTOS'!$AF63,""),"")</f>
        <v/>
      </c>
      <c r="G63" s="40">
        <f>IFERROR(IF('PRODUCTOS'!$G63&lt;&gt;"",'PRODUCTOS'!$AG63,""),"")</f>
        <v/>
      </c>
    </row>
    <row r="64">
      <c r="A64" s="39">
        <f>IFERROR(IF('PRODUCTOS'!$G64&lt;&gt;"",'PRODUCTOS'!$A64,""),"")</f>
        <v/>
      </c>
      <c r="B64" s="39">
        <f>IFERROR(IF('PRODUCTOS'!$G64&lt;&gt;"",'PRODUCTOS'!$G64,""),"")</f>
        <v/>
      </c>
      <c r="C64" s="39">
        <f>IFERROR(IF('PRODUCTOS'!$G64&lt;&gt;"",'PRODUCTOS'!$I64,""),"")</f>
        <v/>
      </c>
      <c r="D64" s="39">
        <f>IFERROR(IF('PRODUCTOS'!$G64&lt;&gt;"",'PRODUCTOS'!$J64,""),"")</f>
        <v/>
      </c>
      <c r="E64" s="39">
        <f>IFERROR(IF('PRODUCTOS'!$G64&lt;&gt;"",'PRODUCTOS'!$X64,""),"")</f>
        <v/>
      </c>
      <c r="F64" s="40">
        <f>IFERROR(IF('PRODUCTOS'!$G64&lt;&gt;"",'PRODUCTOS'!$AF64,""),"")</f>
        <v/>
      </c>
      <c r="G64" s="40">
        <f>IFERROR(IF('PRODUCTOS'!$G64&lt;&gt;"",'PRODUCTOS'!$AG64,""),"")</f>
        <v/>
      </c>
    </row>
    <row r="65">
      <c r="A65" s="39">
        <f>IFERROR(IF('PRODUCTOS'!$G65&lt;&gt;"",'PRODUCTOS'!$A65,""),"")</f>
        <v/>
      </c>
      <c r="B65" s="39">
        <f>IFERROR(IF('PRODUCTOS'!$G65&lt;&gt;"",'PRODUCTOS'!$G65,""),"")</f>
        <v/>
      </c>
      <c r="C65" s="39">
        <f>IFERROR(IF('PRODUCTOS'!$G65&lt;&gt;"",'PRODUCTOS'!$I65,""),"")</f>
        <v/>
      </c>
      <c r="D65" s="39">
        <f>IFERROR(IF('PRODUCTOS'!$G65&lt;&gt;"",'PRODUCTOS'!$J65,""),"")</f>
        <v/>
      </c>
      <c r="E65" s="39">
        <f>IFERROR(IF('PRODUCTOS'!$G65&lt;&gt;"",'PRODUCTOS'!$X65,""),"")</f>
        <v/>
      </c>
      <c r="F65" s="40">
        <f>IFERROR(IF('PRODUCTOS'!$G65&lt;&gt;"",'PRODUCTOS'!$AF65,""),"")</f>
        <v/>
      </c>
      <c r="G65" s="40">
        <f>IFERROR(IF('PRODUCTOS'!$G65&lt;&gt;"",'PRODUCTOS'!$AG65,""),"")</f>
        <v/>
      </c>
    </row>
    <row r="66">
      <c r="A66" s="39">
        <f>IFERROR(IF('PRODUCTOS'!$G66&lt;&gt;"",'PRODUCTOS'!$A66,""),"")</f>
        <v/>
      </c>
      <c r="B66" s="39">
        <f>IFERROR(IF('PRODUCTOS'!$G66&lt;&gt;"",'PRODUCTOS'!$G66,""),"")</f>
        <v/>
      </c>
      <c r="C66" s="39">
        <f>IFERROR(IF('PRODUCTOS'!$G66&lt;&gt;"",'PRODUCTOS'!$I66,""),"")</f>
        <v/>
      </c>
      <c r="D66" s="39">
        <f>IFERROR(IF('PRODUCTOS'!$G66&lt;&gt;"",'PRODUCTOS'!$J66,""),"")</f>
        <v/>
      </c>
      <c r="E66" s="39">
        <f>IFERROR(IF('PRODUCTOS'!$G66&lt;&gt;"",'PRODUCTOS'!$X66,""),"")</f>
        <v/>
      </c>
      <c r="F66" s="40">
        <f>IFERROR(IF('PRODUCTOS'!$G66&lt;&gt;"",'PRODUCTOS'!$AF66,""),"")</f>
        <v/>
      </c>
      <c r="G66" s="40">
        <f>IFERROR(IF('PRODUCTOS'!$G66&lt;&gt;"",'PRODUCTOS'!$AG66,""),"")</f>
        <v/>
      </c>
    </row>
    <row r="67">
      <c r="A67" s="39">
        <f>IFERROR(IF('PRODUCTOS'!$G67&lt;&gt;"",'PRODUCTOS'!$A67,""),"")</f>
        <v/>
      </c>
      <c r="B67" s="39">
        <f>IFERROR(IF('PRODUCTOS'!$G67&lt;&gt;"",'PRODUCTOS'!$G67,""),"")</f>
        <v/>
      </c>
      <c r="C67" s="39">
        <f>IFERROR(IF('PRODUCTOS'!$G67&lt;&gt;"",'PRODUCTOS'!$I67,""),"")</f>
        <v/>
      </c>
      <c r="D67" s="39">
        <f>IFERROR(IF('PRODUCTOS'!$G67&lt;&gt;"",'PRODUCTOS'!$J67,""),"")</f>
        <v/>
      </c>
      <c r="E67" s="39">
        <f>IFERROR(IF('PRODUCTOS'!$G67&lt;&gt;"",'PRODUCTOS'!$X67,""),"")</f>
        <v/>
      </c>
      <c r="F67" s="40">
        <f>IFERROR(IF('PRODUCTOS'!$G67&lt;&gt;"",'PRODUCTOS'!$AF67,""),"")</f>
        <v/>
      </c>
      <c r="G67" s="40">
        <f>IFERROR(IF('PRODUCTOS'!$G67&lt;&gt;"",'PRODUCTOS'!$AG67,""),"")</f>
        <v/>
      </c>
    </row>
    <row r="68">
      <c r="A68" s="39">
        <f>IFERROR(IF('PRODUCTOS'!$G68&lt;&gt;"",'PRODUCTOS'!$A68,""),"")</f>
        <v/>
      </c>
      <c r="B68" s="39">
        <f>IFERROR(IF('PRODUCTOS'!$G68&lt;&gt;"",'PRODUCTOS'!$G68,""),"")</f>
        <v/>
      </c>
      <c r="C68" s="39">
        <f>IFERROR(IF('PRODUCTOS'!$G68&lt;&gt;"",'PRODUCTOS'!$I68,""),"")</f>
        <v/>
      </c>
      <c r="D68" s="39">
        <f>IFERROR(IF('PRODUCTOS'!$G68&lt;&gt;"",'PRODUCTOS'!$J68,""),"")</f>
        <v/>
      </c>
      <c r="E68" s="39">
        <f>IFERROR(IF('PRODUCTOS'!$G68&lt;&gt;"",'PRODUCTOS'!$X68,""),"")</f>
        <v/>
      </c>
      <c r="F68" s="40">
        <f>IFERROR(IF('PRODUCTOS'!$G68&lt;&gt;"",'PRODUCTOS'!$AF68,""),"")</f>
        <v/>
      </c>
      <c r="G68" s="40">
        <f>IFERROR(IF('PRODUCTOS'!$G68&lt;&gt;"",'PRODUCTOS'!$AG68,""),"")</f>
        <v/>
      </c>
    </row>
    <row r="69">
      <c r="A69" s="39">
        <f>IFERROR(IF('PRODUCTOS'!$G69&lt;&gt;"",'PRODUCTOS'!$A69,""),"")</f>
        <v/>
      </c>
      <c r="B69" s="39">
        <f>IFERROR(IF('PRODUCTOS'!$G69&lt;&gt;"",'PRODUCTOS'!$G69,""),"")</f>
        <v/>
      </c>
      <c r="C69" s="39">
        <f>IFERROR(IF('PRODUCTOS'!$G69&lt;&gt;"",'PRODUCTOS'!$I69,""),"")</f>
        <v/>
      </c>
      <c r="D69" s="39">
        <f>IFERROR(IF('PRODUCTOS'!$G69&lt;&gt;"",'PRODUCTOS'!$J69,""),"")</f>
        <v/>
      </c>
      <c r="E69" s="39">
        <f>IFERROR(IF('PRODUCTOS'!$G69&lt;&gt;"",'PRODUCTOS'!$X69,""),"")</f>
        <v/>
      </c>
      <c r="F69" s="40">
        <f>IFERROR(IF('PRODUCTOS'!$G69&lt;&gt;"",'PRODUCTOS'!$AF69,""),"")</f>
        <v/>
      </c>
      <c r="G69" s="40">
        <f>IFERROR(IF('PRODUCTOS'!$G69&lt;&gt;"",'PRODUCTOS'!$AG69,""),"")</f>
        <v/>
      </c>
    </row>
    <row r="70">
      <c r="A70" s="39">
        <f>IFERROR(IF('PRODUCTOS'!$G70&lt;&gt;"",'PRODUCTOS'!$A70,""),"")</f>
        <v/>
      </c>
      <c r="B70" s="39">
        <f>IFERROR(IF('PRODUCTOS'!$G70&lt;&gt;"",'PRODUCTOS'!$G70,""),"")</f>
        <v/>
      </c>
      <c r="C70" s="39">
        <f>IFERROR(IF('PRODUCTOS'!$G70&lt;&gt;"",'PRODUCTOS'!$I70,""),"")</f>
        <v/>
      </c>
      <c r="D70" s="39">
        <f>IFERROR(IF('PRODUCTOS'!$G70&lt;&gt;"",'PRODUCTOS'!$J70,""),"")</f>
        <v/>
      </c>
      <c r="E70" s="39">
        <f>IFERROR(IF('PRODUCTOS'!$G70&lt;&gt;"",'PRODUCTOS'!$X70,""),"")</f>
        <v/>
      </c>
      <c r="F70" s="40">
        <f>IFERROR(IF('PRODUCTOS'!$G70&lt;&gt;"",'PRODUCTOS'!$AF70,""),"")</f>
        <v/>
      </c>
      <c r="G70" s="40">
        <f>IFERROR(IF('PRODUCTOS'!$G70&lt;&gt;"",'PRODUCTOS'!$AG70,""),"")</f>
        <v/>
      </c>
    </row>
    <row r="71">
      <c r="A71" s="39">
        <f>IFERROR(IF('PRODUCTOS'!$G71&lt;&gt;"",'PRODUCTOS'!$A71,""),"")</f>
        <v/>
      </c>
      <c r="B71" s="39">
        <f>IFERROR(IF('PRODUCTOS'!$G71&lt;&gt;"",'PRODUCTOS'!$G71,""),"")</f>
        <v/>
      </c>
      <c r="C71" s="39">
        <f>IFERROR(IF('PRODUCTOS'!$G71&lt;&gt;"",'PRODUCTOS'!$I71,""),"")</f>
        <v/>
      </c>
      <c r="D71" s="39">
        <f>IFERROR(IF('PRODUCTOS'!$G71&lt;&gt;"",'PRODUCTOS'!$J71,""),"")</f>
        <v/>
      </c>
      <c r="E71" s="39">
        <f>IFERROR(IF('PRODUCTOS'!$G71&lt;&gt;"",'PRODUCTOS'!$X71,""),"")</f>
        <v/>
      </c>
      <c r="F71" s="40">
        <f>IFERROR(IF('PRODUCTOS'!$G71&lt;&gt;"",'PRODUCTOS'!$AF71,""),"")</f>
        <v/>
      </c>
      <c r="G71" s="40">
        <f>IFERROR(IF('PRODUCTOS'!$G71&lt;&gt;"",'PRODUCTOS'!$AG71,""),"")</f>
        <v/>
      </c>
    </row>
    <row r="72">
      <c r="A72" s="39">
        <f>IFERROR(IF('PRODUCTOS'!$G72&lt;&gt;"",'PRODUCTOS'!$A72,""),"")</f>
        <v/>
      </c>
      <c r="B72" s="39">
        <f>IFERROR(IF('PRODUCTOS'!$G72&lt;&gt;"",'PRODUCTOS'!$G72,""),"")</f>
        <v/>
      </c>
      <c r="C72" s="39">
        <f>IFERROR(IF('PRODUCTOS'!$G72&lt;&gt;"",'PRODUCTOS'!$I72,""),"")</f>
        <v/>
      </c>
      <c r="D72" s="39">
        <f>IFERROR(IF('PRODUCTOS'!$G72&lt;&gt;"",'PRODUCTOS'!$J72,""),"")</f>
        <v/>
      </c>
      <c r="E72" s="39">
        <f>IFERROR(IF('PRODUCTOS'!$G72&lt;&gt;"",'PRODUCTOS'!$X72,""),"")</f>
        <v/>
      </c>
      <c r="F72" s="40">
        <f>IFERROR(IF('PRODUCTOS'!$G72&lt;&gt;"",'PRODUCTOS'!$AF72,""),"")</f>
        <v/>
      </c>
      <c r="G72" s="40">
        <f>IFERROR(IF('PRODUCTOS'!$G72&lt;&gt;"",'PRODUCTOS'!$AG72,""),"")</f>
        <v/>
      </c>
    </row>
    <row r="73">
      <c r="A73" s="39">
        <f>IFERROR(IF('PRODUCTOS'!$G73&lt;&gt;"",'PRODUCTOS'!$A73,""),"")</f>
        <v/>
      </c>
      <c r="B73" s="39">
        <f>IFERROR(IF('PRODUCTOS'!$G73&lt;&gt;"",'PRODUCTOS'!$G73,""),"")</f>
        <v/>
      </c>
      <c r="C73" s="39">
        <f>IFERROR(IF('PRODUCTOS'!$G73&lt;&gt;"",'PRODUCTOS'!$I73,""),"")</f>
        <v/>
      </c>
      <c r="D73" s="39">
        <f>IFERROR(IF('PRODUCTOS'!$G73&lt;&gt;"",'PRODUCTOS'!$J73,""),"")</f>
        <v/>
      </c>
      <c r="E73" s="39">
        <f>IFERROR(IF('PRODUCTOS'!$G73&lt;&gt;"",'PRODUCTOS'!$X73,""),"")</f>
        <v/>
      </c>
      <c r="F73" s="40">
        <f>IFERROR(IF('PRODUCTOS'!$G73&lt;&gt;"",'PRODUCTOS'!$AF73,""),"")</f>
        <v/>
      </c>
      <c r="G73" s="40">
        <f>IFERROR(IF('PRODUCTOS'!$G73&lt;&gt;"",'PRODUCTOS'!$AG73,""),"")</f>
        <v/>
      </c>
    </row>
    <row r="74">
      <c r="A74" s="39">
        <f>IFERROR(IF('PRODUCTOS'!$G74&lt;&gt;"",'PRODUCTOS'!$A74,""),"")</f>
        <v/>
      </c>
      <c r="B74" s="39">
        <f>IFERROR(IF('PRODUCTOS'!$G74&lt;&gt;"",'PRODUCTOS'!$G74,""),"")</f>
        <v/>
      </c>
      <c r="C74" s="39">
        <f>IFERROR(IF('PRODUCTOS'!$G74&lt;&gt;"",'PRODUCTOS'!$I74,""),"")</f>
        <v/>
      </c>
      <c r="D74" s="39">
        <f>IFERROR(IF('PRODUCTOS'!$G74&lt;&gt;"",'PRODUCTOS'!$J74,""),"")</f>
        <v/>
      </c>
      <c r="E74" s="39">
        <f>IFERROR(IF('PRODUCTOS'!$G74&lt;&gt;"",'PRODUCTOS'!$X74,""),"")</f>
        <v/>
      </c>
      <c r="F74" s="40">
        <f>IFERROR(IF('PRODUCTOS'!$G74&lt;&gt;"",'PRODUCTOS'!$AF74,""),"")</f>
        <v/>
      </c>
      <c r="G74" s="40">
        <f>IFERROR(IF('PRODUCTOS'!$G74&lt;&gt;"",'PRODUCTOS'!$AG74,""),"")</f>
        <v/>
      </c>
    </row>
    <row r="75">
      <c r="A75" s="39">
        <f>IFERROR(IF('PRODUCTOS'!$G75&lt;&gt;"",'PRODUCTOS'!$A75,""),"")</f>
        <v/>
      </c>
      <c r="B75" s="39">
        <f>IFERROR(IF('PRODUCTOS'!$G75&lt;&gt;"",'PRODUCTOS'!$G75,""),"")</f>
        <v/>
      </c>
      <c r="C75" s="39">
        <f>IFERROR(IF('PRODUCTOS'!$G75&lt;&gt;"",'PRODUCTOS'!$I75,""),"")</f>
        <v/>
      </c>
      <c r="D75" s="39">
        <f>IFERROR(IF('PRODUCTOS'!$G75&lt;&gt;"",'PRODUCTOS'!$J75,""),"")</f>
        <v/>
      </c>
      <c r="E75" s="39">
        <f>IFERROR(IF('PRODUCTOS'!$G75&lt;&gt;"",'PRODUCTOS'!$X75,""),"")</f>
        <v/>
      </c>
      <c r="F75" s="40">
        <f>IFERROR(IF('PRODUCTOS'!$G75&lt;&gt;"",'PRODUCTOS'!$AF75,""),"")</f>
        <v/>
      </c>
      <c r="G75" s="40">
        <f>IFERROR(IF('PRODUCTOS'!$G75&lt;&gt;"",'PRODUCTOS'!$AG75,""),"")</f>
        <v/>
      </c>
    </row>
    <row r="76">
      <c r="A76" s="39">
        <f>IFERROR(IF('PRODUCTOS'!$G76&lt;&gt;"",'PRODUCTOS'!$A76,""),"")</f>
        <v/>
      </c>
      <c r="B76" s="39">
        <f>IFERROR(IF('PRODUCTOS'!$G76&lt;&gt;"",'PRODUCTOS'!$G76,""),"")</f>
        <v/>
      </c>
      <c r="C76" s="39">
        <f>IFERROR(IF('PRODUCTOS'!$G76&lt;&gt;"",'PRODUCTOS'!$I76,""),"")</f>
        <v/>
      </c>
      <c r="D76" s="39">
        <f>IFERROR(IF('PRODUCTOS'!$G76&lt;&gt;"",'PRODUCTOS'!$J76,""),"")</f>
        <v/>
      </c>
      <c r="E76" s="39">
        <f>IFERROR(IF('PRODUCTOS'!$G76&lt;&gt;"",'PRODUCTOS'!$X76,""),"")</f>
        <v/>
      </c>
      <c r="F76" s="40">
        <f>IFERROR(IF('PRODUCTOS'!$G76&lt;&gt;"",'PRODUCTOS'!$AF76,""),"")</f>
        <v/>
      </c>
      <c r="G76" s="40">
        <f>IFERROR(IF('PRODUCTOS'!$G76&lt;&gt;"",'PRODUCTOS'!$AG76,""),"")</f>
        <v/>
      </c>
    </row>
    <row r="77">
      <c r="A77" s="39">
        <f>IFERROR(IF('PRODUCTOS'!$G77&lt;&gt;"",'PRODUCTOS'!$A77,""),"")</f>
        <v/>
      </c>
      <c r="B77" s="39">
        <f>IFERROR(IF('PRODUCTOS'!$G77&lt;&gt;"",'PRODUCTOS'!$G77,""),"")</f>
        <v/>
      </c>
      <c r="C77" s="39">
        <f>IFERROR(IF('PRODUCTOS'!$G77&lt;&gt;"",'PRODUCTOS'!$I77,""),"")</f>
        <v/>
      </c>
      <c r="D77" s="39">
        <f>IFERROR(IF('PRODUCTOS'!$G77&lt;&gt;"",'PRODUCTOS'!$J77,""),"")</f>
        <v/>
      </c>
      <c r="E77" s="39">
        <f>IFERROR(IF('PRODUCTOS'!$G77&lt;&gt;"",'PRODUCTOS'!$X77,""),"")</f>
        <v/>
      </c>
      <c r="F77" s="40">
        <f>IFERROR(IF('PRODUCTOS'!$G77&lt;&gt;"",'PRODUCTOS'!$AF77,""),"")</f>
        <v/>
      </c>
      <c r="G77" s="40">
        <f>IFERROR(IF('PRODUCTOS'!$G77&lt;&gt;"",'PRODUCTOS'!$AG77,""),"")</f>
        <v/>
      </c>
    </row>
    <row r="78">
      <c r="A78" s="39">
        <f>IFERROR(IF('PRODUCTOS'!$G78&lt;&gt;"",'PRODUCTOS'!$A78,""),"")</f>
        <v/>
      </c>
      <c r="B78" s="39">
        <f>IFERROR(IF('PRODUCTOS'!$G78&lt;&gt;"",'PRODUCTOS'!$G78,""),"")</f>
        <v/>
      </c>
      <c r="C78" s="39">
        <f>IFERROR(IF('PRODUCTOS'!$G78&lt;&gt;"",'PRODUCTOS'!$I78,""),"")</f>
        <v/>
      </c>
      <c r="D78" s="39">
        <f>IFERROR(IF('PRODUCTOS'!$G78&lt;&gt;"",'PRODUCTOS'!$J78,""),"")</f>
        <v/>
      </c>
      <c r="E78" s="39">
        <f>IFERROR(IF('PRODUCTOS'!$G78&lt;&gt;"",'PRODUCTOS'!$X78,""),"")</f>
        <v/>
      </c>
      <c r="F78" s="40">
        <f>IFERROR(IF('PRODUCTOS'!$G78&lt;&gt;"",'PRODUCTOS'!$AF78,""),"")</f>
        <v/>
      </c>
      <c r="G78" s="40">
        <f>IFERROR(IF('PRODUCTOS'!$G78&lt;&gt;"",'PRODUCTOS'!$AG78,""),"")</f>
        <v/>
      </c>
    </row>
    <row r="79">
      <c r="A79" s="39">
        <f>IFERROR(IF('PRODUCTOS'!$G79&lt;&gt;"",'PRODUCTOS'!$A79,""),"")</f>
        <v/>
      </c>
      <c r="B79" s="39">
        <f>IFERROR(IF('PRODUCTOS'!$G79&lt;&gt;"",'PRODUCTOS'!$G79,""),"")</f>
        <v/>
      </c>
      <c r="C79" s="39">
        <f>IFERROR(IF('PRODUCTOS'!$G79&lt;&gt;"",'PRODUCTOS'!$I79,""),"")</f>
        <v/>
      </c>
      <c r="D79" s="39">
        <f>IFERROR(IF('PRODUCTOS'!$G79&lt;&gt;"",'PRODUCTOS'!$J79,""),"")</f>
        <v/>
      </c>
      <c r="E79" s="39">
        <f>IFERROR(IF('PRODUCTOS'!$G79&lt;&gt;"",'PRODUCTOS'!$X79,""),"")</f>
        <v/>
      </c>
      <c r="F79" s="40">
        <f>IFERROR(IF('PRODUCTOS'!$G79&lt;&gt;"",'PRODUCTOS'!$AF79,""),"")</f>
        <v/>
      </c>
      <c r="G79" s="40">
        <f>IFERROR(IF('PRODUCTOS'!$G79&lt;&gt;"",'PRODUCTOS'!$AG79,""),"")</f>
        <v/>
      </c>
    </row>
    <row r="80">
      <c r="A80" s="39">
        <f>IFERROR(IF('PRODUCTOS'!$G80&lt;&gt;"",'PRODUCTOS'!$A80,""),"")</f>
        <v/>
      </c>
      <c r="B80" s="39">
        <f>IFERROR(IF('PRODUCTOS'!$G80&lt;&gt;"",'PRODUCTOS'!$G80,""),"")</f>
        <v/>
      </c>
      <c r="C80" s="39">
        <f>IFERROR(IF('PRODUCTOS'!$G80&lt;&gt;"",'PRODUCTOS'!$I80,""),"")</f>
        <v/>
      </c>
      <c r="D80" s="39">
        <f>IFERROR(IF('PRODUCTOS'!$G80&lt;&gt;"",'PRODUCTOS'!$J80,""),"")</f>
        <v/>
      </c>
      <c r="E80" s="39">
        <f>IFERROR(IF('PRODUCTOS'!$G80&lt;&gt;"",'PRODUCTOS'!$X80,""),"")</f>
        <v/>
      </c>
      <c r="F80" s="40">
        <f>IFERROR(IF('PRODUCTOS'!$G80&lt;&gt;"",'PRODUCTOS'!$AF80,""),"")</f>
        <v/>
      </c>
      <c r="G80" s="40">
        <f>IFERROR(IF('PRODUCTOS'!$G80&lt;&gt;"",'PRODUCTOS'!$AG80,""),"")</f>
        <v/>
      </c>
    </row>
    <row r="81">
      <c r="A81" s="39">
        <f>IFERROR(IF('PRODUCTOS'!$G81&lt;&gt;"",'PRODUCTOS'!$A81,""),"")</f>
        <v/>
      </c>
      <c r="B81" s="39">
        <f>IFERROR(IF('PRODUCTOS'!$G81&lt;&gt;"",'PRODUCTOS'!$G81,""),"")</f>
        <v/>
      </c>
      <c r="C81" s="39">
        <f>IFERROR(IF('PRODUCTOS'!$G81&lt;&gt;"",'PRODUCTOS'!$I81,""),"")</f>
        <v/>
      </c>
      <c r="D81" s="39">
        <f>IFERROR(IF('PRODUCTOS'!$G81&lt;&gt;"",'PRODUCTOS'!$J81,""),"")</f>
        <v/>
      </c>
      <c r="E81" s="39">
        <f>IFERROR(IF('PRODUCTOS'!$G81&lt;&gt;"",'PRODUCTOS'!$X81,""),"")</f>
        <v/>
      </c>
      <c r="F81" s="40">
        <f>IFERROR(IF('PRODUCTOS'!$G81&lt;&gt;"",'PRODUCTOS'!$AF81,""),"")</f>
        <v/>
      </c>
      <c r="G81" s="40">
        <f>IFERROR(IF('PRODUCTOS'!$G81&lt;&gt;"",'PRODUCTOS'!$AG81,""),"")</f>
        <v/>
      </c>
    </row>
    <row r="82">
      <c r="A82" s="39">
        <f>IFERROR(IF('PRODUCTOS'!$G82&lt;&gt;"",'PRODUCTOS'!$A82,""),"")</f>
        <v/>
      </c>
      <c r="B82" s="39">
        <f>IFERROR(IF('PRODUCTOS'!$G82&lt;&gt;"",'PRODUCTOS'!$G82,""),"")</f>
        <v/>
      </c>
      <c r="C82" s="39">
        <f>IFERROR(IF('PRODUCTOS'!$G82&lt;&gt;"",'PRODUCTOS'!$I82,""),"")</f>
        <v/>
      </c>
      <c r="D82" s="39">
        <f>IFERROR(IF('PRODUCTOS'!$G82&lt;&gt;"",'PRODUCTOS'!$J82,""),"")</f>
        <v/>
      </c>
      <c r="E82" s="39">
        <f>IFERROR(IF('PRODUCTOS'!$G82&lt;&gt;"",'PRODUCTOS'!$X82,""),"")</f>
        <v/>
      </c>
      <c r="F82" s="40">
        <f>IFERROR(IF('PRODUCTOS'!$G82&lt;&gt;"",'PRODUCTOS'!$AF82,""),"")</f>
        <v/>
      </c>
      <c r="G82" s="40">
        <f>IFERROR(IF('PRODUCTOS'!$G82&lt;&gt;"",'PRODUCTOS'!$AG82,""),"")</f>
        <v/>
      </c>
    </row>
    <row r="83">
      <c r="A83" s="39">
        <f>IFERROR(IF('PRODUCTOS'!$G83&lt;&gt;"",'PRODUCTOS'!$A83,""),"")</f>
        <v/>
      </c>
      <c r="B83" s="39">
        <f>IFERROR(IF('PRODUCTOS'!$G83&lt;&gt;"",'PRODUCTOS'!$G83,""),"")</f>
        <v/>
      </c>
      <c r="C83" s="39">
        <f>IFERROR(IF('PRODUCTOS'!$G83&lt;&gt;"",'PRODUCTOS'!$I83,""),"")</f>
        <v/>
      </c>
      <c r="D83" s="39">
        <f>IFERROR(IF('PRODUCTOS'!$G83&lt;&gt;"",'PRODUCTOS'!$J83,""),"")</f>
        <v/>
      </c>
      <c r="E83" s="39">
        <f>IFERROR(IF('PRODUCTOS'!$G83&lt;&gt;"",'PRODUCTOS'!$X83,""),"")</f>
        <v/>
      </c>
      <c r="F83" s="40">
        <f>IFERROR(IF('PRODUCTOS'!$G83&lt;&gt;"",'PRODUCTOS'!$AF83,""),"")</f>
        <v/>
      </c>
      <c r="G83" s="40">
        <f>IFERROR(IF('PRODUCTOS'!$G83&lt;&gt;"",'PRODUCTOS'!$AG83,""),"")</f>
        <v/>
      </c>
    </row>
    <row r="84">
      <c r="A84" s="39">
        <f>IFERROR(IF('PRODUCTOS'!$G84&lt;&gt;"",'PRODUCTOS'!$A84,""),"")</f>
        <v/>
      </c>
      <c r="B84" s="39">
        <f>IFERROR(IF('PRODUCTOS'!$G84&lt;&gt;"",'PRODUCTOS'!$G84,""),"")</f>
        <v/>
      </c>
      <c r="C84" s="39">
        <f>IFERROR(IF('PRODUCTOS'!$G84&lt;&gt;"",'PRODUCTOS'!$I84,""),"")</f>
        <v/>
      </c>
      <c r="D84" s="39">
        <f>IFERROR(IF('PRODUCTOS'!$G84&lt;&gt;"",'PRODUCTOS'!$J84,""),"")</f>
        <v/>
      </c>
      <c r="E84" s="39">
        <f>IFERROR(IF('PRODUCTOS'!$G84&lt;&gt;"",'PRODUCTOS'!$X84,""),"")</f>
        <v/>
      </c>
      <c r="F84" s="40">
        <f>IFERROR(IF('PRODUCTOS'!$G84&lt;&gt;"",'PRODUCTOS'!$AF84,""),"")</f>
        <v/>
      </c>
      <c r="G84" s="40">
        <f>IFERROR(IF('PRODUCTOS'!$G84&lt;&gt;"",'PRODUCTOS'!$AG84,""),"")</f>
        <v/>
      </c>
    </row>
    <row r="85">
      <c r="A85" s="39">
        <f>IFERROR(IF('PRODUCTOS'!$G85&lt;&gt;"",'PRODUCTOS'!$A85,""),"")</f>
        <v/>
      </c>
      <c r="B85" s="39">
        <f>IFERROR(IF('PRODUCTOS'!$G85&lt;&gt;"",'PRODUCTOS'!$G85,""),"")</f>
        <v/>
      </c>
      <c r="C85" s="39">
        <f>IFERROR(IF('PRODUCTOS'!$G85&lt;&gt;"",'PRODUCTOS'!$I85,""),"")</f>
        <v/>
      </c>
      <c r="D85" s="39">
        <f>IFERROR(IF('PRODUCTOS'!$G85&lt;&gt;"",'PRODUCTOS'!$J85,""),"")</f>
        <v/>
      </c>
      <c r="E85" s="39">
        <f>IFERROR(IF('PRODUCTOS'!$G85&lt;&gt;"",'PRODUCTOS'!$X85,""),"")</f>
        <v/>
      </c>
      <c r="F85" s="40">
        <f>IFERROR(IF('PRODUCTOS'!$G85&lt;&gt;"",'PRODUCTOS'!$AF85,""),"")</f>
        <v/>
      </c>
      <c r="G85" s="40">
        <f>IFERROR(IF('PRODUCTOS'!$G85&lt;&gt;"",'PRODUCTOS'!$AG85,""),"")</f>
        <v/>
      </c>
    </row>
    <row r="86">
      <c r="A86" s="39">
        <f>IFERROR(IF('PRODUCTOS'!$G86&lt;&gt;"",'PRODUCTOS'!$A86,""),"")</f>
        <v/>
      </c>
      <c r="B86" s="39">
        <f>IFERROR(IF('PRODUCTOS'!$G86&lt;&gt;"",'PRODUCTOS'!$G86,""),"")</f>
        <v/>
      </c>
      <c r="C86" s="39">
        <f>IFERROR(IF('PRODUCTOS'!$G86&lt;&gt;"",'PRODUCTOS'!$I86,""),"")</f>
        <v/>
      </c>
      <c r="D86" s="39">
        <f>IFERROR(IF('PRODUCTOS'!$G86&lt;&gt;"",'PRODUCTOS'!$J86,""),"")</f>
        <v/>
      </c>
      <c r="E86" s="39">
        <f>IFERROR(IF('PRODUCTOS'!$G86&lt;&gt;"",'PRODUCTOS'!$X86,""),"")</f>
        <v/>
      </c>
      <c r="F86" s="40">
        <f>IFERROR(IF('PRODUCTOS'!$G86&lt;&gt;"",'PRODUCTOS'!$AF86,""),"")</f>
        <v/>
      </c>
      <c r="G86" s="40">
        <f>IFERROR(IF('PRODUCTOS'!$G86&lt;&gt;"",'PRODUCTOS'!$AG86,""),"")</f>
        <v/>
      </c>
    </row>
    <row r="87">
      <c r="A87" s="39">
        <f>IFERROR(IF('PRODUCTOS'!$G87&lt;&gt;"",'PRODUCTOS'!$A87,""),"")</f>
        <v/>
      </c>
      <c r="B87" s="39">
        <f>IFERROR(IF('PRODUCTOS'!$G87&lt;&gt;"",'PRODUCTOS'!$G87,""),"")</f>
        <v/>
      </c>
      <c r="C87" s="39">
        <f>IFERROR(IF('PRODUCTOS'!$G87&lt;&gt;"",'PRODUCTOS'!$I87,""),"")</f>
        <v/>
      </c>
      <c r="D87" s="39">
        <f>IFERROR(IF('PRODUCTOS'!$G87&lt;&gt;"",'PRODUCTOS'!$J87,""),"")</f>
        <v/>
      </c>
      <c r="E87" s="39">
        <f>IFERROR(IF('PRODUCTOS'!$G87&lt;&gt;"",'PRODUCTOS'!$X87,""),"")</f>
        <v/>
      </c>
      <c r="F87" s="40">
        <f>IFERROR(IF('PRODUCTOS'!$G87&lt;&gt;"",'PRODUCTOS'!$AF87,""),"")</f>
        <v/>
      </c>
      <c r="G87" s="40">
        <f>IFERROR(IF('PRODUCTOS'!$G87&lt;&gt;"",'PRODUCTOS'!$AG87,""),"")</f>
        <v/>
      </c>
    </row>
    <row r="88">
      <c r="A88" s="39">
        <f>IFERROR(IF('PRODUCTOS'!$G88&lt;&gt;"",'PRODUCTOS'!$A88,""),"")</f>
        <v/>
      </c>
      <c r="B88" s="39">
        <f>IFERROR(IF('PRODUCTOS'!$G88&lt;&gt;"",'PRODUCTOS'!$G88,""),"")</f>
        <v/>
      </c>
      <c r="C88" s="39">
        <f>IFERROR(IF('PRODUCTOS'!$G88&lt;&gt;"",'PRODUCTOS'!$I88,""),"")</f>
        <v/>
      </c>
      <c r="D88" s="39">
        <f>IFERROR(IF('PRODUCTOS'!$G88&lt;&gt;"",'PRODUCTOS'!$J88,""),"")</f>
        <v/>
      </c>
      <c r="E88" s="39">
        <f>IFERROR(IF('PRODUCTOS'!$G88&lt;&gt;"",'PRODUCTOS'!$X88,""),"")</f>
        <v/>
      </c>
      <c r="F88" s="40">
        <f>IFERROR(IF('PRODUCTOS'!$G88&lt;&gt;"",'PRODUCTOS'!$AF88,""),"")</f>
        <v/>
      </c>
      <c r="G88" s="40">
        <f>IFERROR(IF('PRODUCTOS'!$G88&lt;&gt;"",'PRODUCTOS'!$AG88,""),"")</f>
        <v/>
      </c>
    </row>
    <row r="89">
      <c r="A89" s="39">
        <f>IFERROR(IF('PRODUCTOS'!$G89&lt;&gt;"",'PRODUCTOS'!$A89,""),"")</f>
        <v/>
      </c>
      <c r="B89" s="39">
        <f>IFERROR(IF('PRODUCTOS'!$G89&lt;&gt;"",'PRODUCTOS'!$G89,""),"")</f>
        <v/>
      </c>
      <c r="C89" s="39">
        <f>IFERROR(IF('PRODUCTOS'!$G89&lt;&gt;"",'PRODUCTOS'!$I89,""),"")</f>
        <v/>
      </c>
      <c r="D89" s="39">
        <f>IFERROR(IF('PRODUCTOS'!$G89&lt;&gt;"",'PRODUCTOS'!$J89,""),"")</f>
        <v/>
      </c>
      <c r="E89" s="39">
        <f>IFERROR(IF('PRODUCTOS'!$G89&lt;&gt;"",'PRODUCTOS'!$X89,""),"")</f>
        <v/>
      </c>
      <c r="F89" s="40">
        <f>IFERROR(IF('PRODUCTOS'!$G89&lt;&gt;"",'PRODUCTOS'!$AF89,""),"")</f>
        <v/>
      </c>
      <c r="G89" s="40">
        <f>IFERROR(IF('PRODUCTOS'!$G89&lt;&gt;"",'PRODUCTOS'!$AG89,""),"")</f>
        <v/>
      </c>
    </row>
    <row r="90">
      <c r="A90" s="39">
        <f>IFERROR(IF('PRODUCTOS'!$G90&lt;&gt;"",'PRODUCTOS'!$A90,""),"")</f>
        <v/>
      </c>
      <c r="B90" s="39">
        <f>IFERROR(IF('PRODUCTOS'!$G90&lt;&gt;"",'PRODUCTOS'!$G90,""),"")</f>
        <v/>
      </c>
      <c r="C90" s="39">
        <f>IFERROR(IF('PRODUCTOS'!$G90&lt;&gt;"",'PRODUCTOS'!$I90,""),"")</f>
        <v/>
      </c>
      <c r="D90" s="39">
        <f>IFERROR(IF('PRODUCTOS'!$G90&lt;&gt;"",'PRODUCTOS'!$J90,""),"")</f>
        <v/>
      </c>
      <c r="E90" s="39">
        <f>IFERROR(IF('PRODUCTOS'!$G90&lt;&gt;"",'PRODUCTOS'!$X90,""),"")</f>
        <v/>
      </c>
      <c r="F90" s="40">
        <f>IFERROR(IF('PRODUCTOS'!$G90&lt;&gt;"",'PRODUCTOS'!$AF90,""),"")</f>
        <v/>
      </c>
      <c r="G90" s="40">
        <f>IFERROR(IF('PRODUCTOS'!$G90&lt;&gt;"",'PRODUCTOS'!$AG90,""),"")</f>
        <v/>
      </c>
    </row>
    <row r="91">
      <c r="A91" s="39">
        <f>IFERROR(IF('PRODUCTOS'!$G91&lt;&gt;"",'PRODUCTOS'!$A91,""),"")</f>
        <v/>
      </c>
      <c r="B91" s="39">
        <f>IFERROR(IF('PRODUCTOS'!$G91&lt;&gt;"",'PRODUCTOS'!$G91,""),"")</f>
        <v/>
      </c>
      <c r="C91" s="39">
        <f>IFERROR(IF('PRODUCTOS'!$G91&lt;&gt;"",'PRODUCTOS'!$I91,""),"")</f>
        <v/>
      </c>
      <c r="D91" s="39">
        <f>IFERROR(IF('PRODUCTOS'!$G91&lt;&gt;"",'PRODUCTOS'!$J91,""),"")</f>
        <v/>
      </c>
      <c r="E91" s="39">
        <f>IFERROR(IF('PRODUCTOS'!$G91&lt;&gt;"",'PRODUCTOS'!$X91,""),"")</f>
        <v/>
      </c>
      <c r="F91" s="40">
        <f>IFERROR(IF('PRODUCTOS'!$G91&lt;&gt;"",'PRODUCTOS'!$AF91,""),"")</f>
        <v/>
      </c>
      <c r="G91" s="40">
        <f>IFERROR(IF('PRODUCTOS'!$G91&lt;&gt;"",'PRODUCTOS'!$AG91,""),"")</f>
        <v/>
      </c>
    </row>
    <row r="92">
      <c r="A92" s="39">
        <f>IFERROR(IF('PRODUCTOS'!$G92&lt;&gt;"",'PRODUCTOS'!$A92,""),"")</f>
        <v/>
      </c>
      <c r="B92" s="39">
        <f>IFERROR(IF('PRODUCTOS'!$G92&lt;&gt;"",'PRODUCTOS'!$G92,""),"")</f>
        <v/>
      </c>
      <c r="C92" s="39">
        <f>IFERROR(IF('PRODUCTOS'!$G92&lt;&gt;"",'PRODUCTOS'!$I92,""),"")</f>
        <v/>
      </c>
      <c r="D92" s="39">
        <f>IFERROR(IF('PRODUCTOS'!$G92&lt;&gt;"",'PRODUCTOS'!$J92,""),"")</f>
        <v/>
      </c>
      <c r="E92" s="39">
        <f>IFERROR(IF('PRODUCTOS'!$G92&lt;&gt;"",'PRODUCTOS'!$X92,""),"")</f>
        <v/>
      </c>
      <c r="F92" s="40">
        <f>IFERROR(IF('PRODUCTOS'!$G92&lt;&gt;"",'PRODUCTOS'!$AF92,""),"")</f>
        <v/>
      </c>
      <c r="G92" s="40">
        <f>IFERROR(IF('PRODUCTOS'!$G92&lt;&gt;"",'PRODUCTOS'!$AG92,""),"")</f>
        <v/>
      </c>
    </row>
    <row r="93">
      <c r="A93" s="39">
        <f>IFERROR(IF('PRODUCTOS'!$G93&lt;&gt;"",'PRODUCTOS'!$A93,""),"")</f>
        <v/>
      </c>
      <c r="B93" s="39">
        <f>IFERROR(IF('PRODUCTOS'!$G93&lt;&gt;"",'PRODUCTOS'!$G93,""),"")</f>
        <v/>
      </c>
      <c r="C93" s="39">
        <f>IFERROR(IF('PRODUCTOS'!$G93&lt;&gt;"",'PRODUCTOS'!$I93,""),"")</f>
        <v/>
      </c>
      <c r="D93" s="39">
        <f>IFERROR(IF('PRODUCTOS'!$G93&lt;&gt;"",'PRODUCTOS'!$J93,""),"")</f>
        <v/>
      </c>
      <c r="E93" s="39">
        <f>IFERROR(IF('PRODUCTOS'!$G93&lt;&gt;"",'PRODUCTOS'!$X93,""),"")</f>
        <v/>
      </c>
      <c r="F93" s="40">
        <f>IFERROR(IF('PRODUCTOS'!$G93&lt;&gt;"",'PRODUCTOS'!$AF93,""),"")</f>
        <v/>
      </c>
      <c r="G93" s="40">
        <f>IFERROR(IF('PRODUCTOS'!$G93&lt;&gt;"",'PRODUCTOS'!$AG93,""),"")</f>
        <v/>
      </c>
    </row>
    <row r="94">
      <c r="A94" s="39">
        <f>IFERROR(IF('PRODUCTOS'!$G94&lt;&gt;"",'PRODUCTOS'!$A94,""),"")</f>
        <v/>
      </c>
      <c r="B94" s="39">
        <f>IFERROR(IF('PRODUCTOS'!$G94&lt;&gt;"",'PRODUCTOS'!$G94,""),"")</f>
        <v/>
      </c>
      <c r="C94" s="39">
        <f>IFERROR(IF('PRODUCTOS'!$G94&lt;&gt;"",'PRODUCTOS'!$I94,""),"")</f>
        <v/>
      </c>
      <c r="D94" s="39">
        <f>IFERROR(IF('PRODUCTOS'!$G94&lt;&gt;"",'PRODUCTOS'!$J94,""),"")</f>
        <v/>
      </c>
      <c r="E94" s="39">
        <f>IFERROR(IF('PRODUCTOS'!$G94&lt;&gt;"",'PRODUCTOS'!$X94,""),"")</f>
        <v/>
      </c>
      <c r="F94" s="40">
        <f>IFERROR(IF('PRODUCTOS'!$G94&lt;&gt;"",'PRODUCTOS'!$AF94,""),"")</f>
        <v/>
      </c>
      <c r="G94" s="40">
        <f>IFERROR(IF('PRODUCTOS'!$G94&lt;&gt;"",'PRODUCTOS'!$AG94,""),"")</f>
        <v/>
      </c>
    </row>
    <row r="95">
      <c r="A95" s="39">
        <f>IFERROR(IF('PRODUCTOS'!$G95&lt;&gt;"",'PRODUCTOS'!$A95,""),"")</f>
        <v/>
      </c>
      <c r="B95" s="39">
        <f>IFERROR(IF('PRODUCTOS'!$G95&lt;&gt;"",'PRODUCTOS'!$G95,""),"")</f>
        <v/>
      </c>
      <c r="C95" s="39">
        <f>IFERROR(IF('PRODUCTOS'!$G95&lt;&gt;"",'PRODUCTOS'!$I95,""),"")</f>
        <v/>
      </c>
      <c r="D95" s="39">
        <f>IFERROR(IF('PRODUCTOS'!$G95&lt;&gt;"",'PRODUCTOS'!$J95,""),"")</f>
        <v/>
      </c>
      <c r="E95" s="39">
        <f>IFERROR(IF('PRODUCTOS'!$G95&lt;&gt;"",'PRODUCTOS'!$X95,""),"")</f>
        <v/>
      </c>
      <c r="F95" s="40">
        <f>IFERROR(IF('PRODUCTOS'!$G95&lt;&gt;"",'PRODUCTOS'!$AF95,""),"")</f>
        <v/>
      </c>
      <c r="G95" s="40">
        <f>IFERROR(IF('PRODUCTOS'!$G95&lt;&gt;"",'PRODUCTOS'!$AG95,""),"")</f>
        <v/>
      </c>
    </row>
    <row r="96">
      <c r="A96" s="39">
        <f>IFERROR(IF('PRODUCTOS'!$G96&lt;&gt;"",'PRODUCTOS'!$A96,""),"")</f>
        <v/>
      </c>
      <c r="B96" s="39">
        <f>IFERROR(IF('PRODUCTOS'!$G96&lt;&gt;"",'PRODUCTOS'!$G96,""),"")</f>
        <v/>
      </c>
      <c r="C96" s="39">
        <f>IFERROR(IF('PRODUCTOS'!$G96&lt;&gt;"",'PRODUCTOS'!$I96,""),"")</f>
        <v/>
      </c>
      <c r="D96" s="39">
        <f>IFERROR(IF('PRODUCTOS'!$G96&lt;&gt;"",'PRODUCTOS'!$J96,""),"")</f>
        <v/>
      </c>
      <c r="E96" s="39">
        <f>IFERROR(IF('PRODUCTOS'!$G96&lt;&gt;"",'PRODUCTOS'!$X96,""),"")</f>
        <v/>
      </c>
      <c r="F96" s="40">
        <f>IFERROR(IF('PRODUCTOS'!$G96&lt;&gt;"",'PRODUCTOS'!$AF96,""),"")</f>
        <v/>
      </c>
      <c r="G96" s="40">
        <f>IFERROR(IF('PRODUCTOS'!$G96&lt;&gt;"",'PRODUCTOS'!$AG96,""),"")</f>
        <v/>
      </c>
    </row>
    <row r="97">
      <c r="A97" s="39">
        <f>IFERROR(IF('PRODUCTOS'!$G97&lt;&gt;"",'PRODUCTOS'!$A97,""),"")</f>
        <v/>
      </c>
      <c r="B97" s="39">
        <f>IFERROR(IF('PRODUCTOS'!$G97&lt;&gt;"",'PRODUCTOS'!$G97,""),"")</f>
        <v/>
      </c>
      <c r="C97" s="39">
        <f>IFERROR(IF('PRODUCTOS'!$G97&lt;&gt;"",'PRODUCTOS'!$I97,""),"")</f>
        <v/>
      </c>
      <c r="D97" s="39">
        <f>IFERROR(IF('PRODUCTOS'!$G97&lt;&gt;"",'PRODUCTOS'!$J97,""),"")</f>
        <v/>
      </c>
      <c r="E97" s="39">
        <f>IFERROR(IF('PRODUCTOS'!$G97&lt;&gt;"",'PRODUCTOS'!$X97,""),"")</f>
        <v/>
      </c>
      <c r="F97" s="40">
        <f>IFERROR(IF('PRODUCTOS'!$G97&lt;&gt;"",'PRODUCTOS'!$AF97,""),"")</f>
        <v/>
      </c>
      <c r="G97" s="40">
        <f>IFERROR(IF('PRODUCTOS'!$G97&lt;&gt;"",'PRODUCTOS'!$AG97,""),"")</f>
        <v/>
      </c>
    </row>
    <row r="98">
      <c r="A98" s="39">
        <f>IFERROR(IF('PRODUCTOS'!$G98&lt;&gt;"",'PRODUCTOS'!$A98,""),"")</f>
        <v/>
      </c>
      <c r="B98" s="39">
        <f>IFERROR(IF('PRODUCTOS'!$G98&lt;&gt;"",'PRODUCTOS'!$G98,""),"")</f>
        <v/>
      </c>
      <c r="C98" s="39">
        <f>IFERROR(IF('PRODUCTOS'!$G98&lt;&gt;"",'PRODUCTOS'!$I98,""),"")</f>
        <v/>
      </c>
      <c r="D98" s="39">
        <f>IFERROR(IF('PRODUCTOS'!$G98&lt;&gt;"",'PRODUCTOS'!$J98,""),"")</f>
        <v/>
      </c>
      <c r="E98" s="39">
        <f>IFERROR(IF('PRODUCTOS'!$G98&lt;&gt;"",'PRODUCTOS'!$X98,""),"")</f>
        <v/>
      </c>
      <c r="F98" s="40">
        <f>IFERROR(IF('PRODUCTOS'!$G98&lt;&gt;"",'PRODUCTOS'!$AF98,""),"")</f>
        <v/>
      </c>
      <c r="G98" s="40">
        <f>IFERROR(IF('PRODUCTOS'!$G98&lt;&gt;"",'PRODUCTOS'!$AG98,""),"")</f>
        <v/>
      </c>
    </row>
    <row r="99">
      <c r="A99" s="39">
        <f>IFERROR(IF('PRODUCTOS'!$G99&lt;&gt;"",'PRODUCTOS'!$A99,""),"")</f>
        <v/>
      </c>
      <c r="B99" s="39">
        <f>IFERROR(IF('PRODUCTOS'!$G99&lt;&gt;"",'PRODUCTOS'!$G99,""),"")</f>
        <v/>
      </c>
      <c r="C99" s="39">
        <f>IFERROR(IF('PRODUCTOS'!$G99&lt;&gt;"",'PRODUCTOS'!$I99,""),"")</f>
        <v/>
      </c>
      <c r="D99" s="39">
        <f>IFERROR(IF('PRODUCTOS'!$G99&lt;&gt;"",'PRODUCTOS'!$J99,""),"")</f>
        <v/>
      </c>
      <c r="E99" s="39">
        <f>IFERROR(IF('PRODUCTOS'!$G99&lt;&gt;"",'PRODUCTOS'!$X99,""),"")</f>
        <v/>
      </c>
      <c r="F99" s="40">
        <f>IFERROR(IF('PRODUCTOS'!$G99&lt;&gt;"",'PRODUCTOS'!$AF99,""),"")</f>
        <v/>
      </c>
      <c r="G99" s="40">
        <f>IFERROR(IF('PRODUCTOS'!$G99&lt;&gt;"",'PRODUCTOS'!$AG99,""),"")</f>
        <v/>
      </c>
    </row>
    <row r="100">
      <c r="A100" s="39">
        <f>IFERROR(IF('PRODUCTOS'!$G100&lt;&gt;"",'PRODUCTOS'!$A100,""),"")</f>
        <v/>
      </c>
      <c r="B100" s="39">
        <f>IFERROR(IF('PRODUCTOS'!$G100&lt;&gt;"",'PRODUCTOS'!$G100,""),"")</f>
        <v/>
      </c>
      <c r="C100" s="39">
        <f>IFERROR(IF('PRODUCTOS'!$G100&lt;&gt;"",'PRODUCTOS'!$I100,""),"")</f>
        <v/>
      </c>
      <c r="D100" s="39">
        <f>IFERROR(IF('PRODUCTOS'!$G100&lt;&gt;"",'PRODUCTOS'!$J100,""),"")</f>
        <v/>
      </c>
      <c r="E100" s="39">
        <f>IFERROR(IF('PRODUCTOS'!$G100&lt;&gt;"",'PRODUCTOS'!$X100,""),"")</f>
        <v/>
      </c>
      <c r="F100" s="40">
        <f>IFERROR(IF('PRODUCTOS'!$G100&lt;&gt;"",'PRODUCTOS'!$AF100,""),"")</f>
        <v/>
      </c>
      <c r="G100" s="40">
        <f>IFERROR(IF('PRODUCTOS'!$G100&lt;&gt;"",'PRODUCTOS'!$AG100,""),"")</f>
        <v/>
      </c>
    </row>
    <row r="101">
      <c r="A101" s="39">
        <f>IFERROR(IF('PRODUCTOS'!$G101&lt;&gt;"",'PRODUCTOS'!$A101,""),"")</f>
        <v/>
      </c>
      <c r="B101" s="39">
        <f>IFERROR(IF('PRODUCTOS'!$G101&lt;&gt;"",'PRODUCTOS'!$G101,""),"")</f>
        <v/>
      </c>
      <c r="C101" s="39">
        <f>IFERROR(IF('PRODUCTOS'!$G101&lt;&gt;"",'PRODUCTOS'!$I101,""),"")</f>
        <v/>
      </c>
      <c r="D101" s="39">
        <f>IFERROR(IF('PRODUCTOS'!$G101&lt;&gt;"",'PRODUCTOS'!$J101,""),"")</f>
        <v/>
      </c>
      <c r="E101" s="39">
        <f>IFERROR(IF('PRODUCTOS'!$G101&lt;&gt;"",'PRODUCTOS'!$X101,""),"")</f>
        <v/>
      </c>
      <c r="F101" s="40">
        <f>IFERROR(IF('PRODUCTOS'!$G101&lt;&gt;"",'PRODUCTOS'!$AF101,""),"")</f>
        <v/>
      </c>
      <c r="G101" s="40">
        <f>IFERROR(IF('PRODUCTOS'!$G101&lt;&gt;"",'PRODUCTOS'!$AG101,""),"")</f>
        <v/>
      </c>
    </row>
    <row r="102">
      <c r="A102" s="39">
        <f>IFERROR(IF('PRODUCTOS'!$G102&lt;&gt;"",'PRODUCTOS'!$A102,""),"")</f>
        <v/>
      </c>
      <c r="B102" s="39">
        <f>IFERROR(IF('PRODUCTOS'!$G102&lt;&gt;"",'PRODUCTOS'!$G102,""),"")</f>
        <v/>
      </c>
      <c r="C102" s="39">
        <f>IFERROR(IF('PRODUCTOS'!$G102&lt;&gt;"",'PRODUCTOS'!$I102,""),"")</f>
        <v/>
      </c>
      <c r="D102" s="39">
        <f>IFERROR(IF('PRODUCTOS'!$G102&lt;&gt;"",'PRODUCTOS'!$J102,""),"")</f>
        <v/>
      </c>
      <c r="E102" s="39">
        <f>IFERROR(IF('PRODUCTOS'!$G102&lt;&gt;"",'PRODUCTOS'!$X102,""),"")</f>
        <v/>
      </c>
      <c r="F102" s="40">
        <f>IFERROR(IF('PRODUCTOS'!$G102&lt;&gt;"",'PRODUCTOS'!$AF102,""),"")</f>
        <v/>
      </c>
      <c r="G102" s="40">
        <f>IFERROR(IF('PRODUCTOS'!$G102&lt;&gt;"",'PRODUCTOS'!$AG102,""),"")</f>
        <v/>
      </c>
    </row>
    <row r="103">
      <c r="A103" s="39">
        <f>IFERROR(IF('PRODUCTOS'!$G103&lt;&gt;"",'PRODUCTOS'!$A103,""),"")</f>
        <v/>
      </c>
      <c r="B103" s="39">
        <f>IFERROR(IF('PRODUCTOS'!$G103&lt;&gt;"",'PRODUCTOS'!$G103,""),"")</f>
        <v/>
      </c>
      <c r="C103" s="39">
        <f>IFERROR(IF('PRODUCTOS'!$G103&lt;&gt;"",'PRODUCTOS'!$I103,""),"")</f>
        <v/>
      </c>
      <c r="D103" s="39">
        <f>IFERROR(IF('PRODUCTOS'!$G103&lt;&gt;"",'PRODUCTOS'!$J103,""),"")</f>
        <v/>
      </c>
      <c r="E103" s="39">
        <f>IFERROR(IF('PRODUCTOS'!$G103&lt;&gt;"",'PRODUCTOS'!$X103,""),"")</f>
        <v/>
      </c>
      <c r="F103" s="40">
        <f>IFERROR(IF('PRODUCTOS'!$G103&lt;&gt;"",'PRODUCTOS'!$AF103,""),"")</f>
        <v/>
      </c>
      <c r="G103" s="40">
        <f>IFERROR(IF('PRODUCTOS'!$G103&lt;&gt;"",'PRODUCTOS'!$AG103,""),"")</f>
        <v/>
      </c>
    </row>
    <row r="104">
      <c r="A104" s="39">
        <f>IFERROR(IF('PRODUCTOS'!$G104&lt;&gt;"",'PRODUCTOS'!$A104,""),"")</f>
        <v/>
      </c>
      <c r="B104" s="39">
        <f>IFERROR(IF('PRODUCTOS'!$G104&lt;&gt;"",'PRODUCTOS'!$G104,""),"")</f>
        <v/>
      </c>
      <c r="C104" s="39">
        <f>IFERROR(IF('PRODUCTOS'!$G104&lt;&gt;"",'PRODUCTOS'!$I104,""),"")</f>
        <v/>
      </c>
      <c r="D104" s="39">
        <f>IFERROR(IF('PRODUCTOS'!$G104&lt;&gt;"",'PRODUCTOS'!$J104,""),"")</f>
        <v/>
      </c>
      <c r="E104" s="39">
        <f>IFERROR(IF('PRODUCTOS'!$G104&lt;&gt;"",'PRODUCTOS'!$X104,""),"")</f>
        <v/>
      </c>
      <c r="F104" s="40">
        <f>IFERROR(IF('PRODUCTOS'!$G104&lt;&gt;"",'PRODUCTOS'!$AF104,""),"")</f>
        <v/>
      </c>
      <c r="G104" s="40">
        <f>IFERROR(IF('PRODUCTOS'!$G104&lt;&gt;"",'PRODUCTOS'!$AG104,""),"")</f>
        <v/>
      </c>
    </row>
    <row r="105">
      <c r="A105" s="39">
        <f>IFERROR(IF('PRODUCTOS'!$G105&lt;&gt;"",'PRODUCTOS'!$A105,""),"")</f>
        <v/>
      </c>
      <c r="B105" s="39">
        <f>IFERROR(IF('PRODUCTOS'!$G105&lt;&gt;"",'PRODUCTOS'!$G105,""),"")</f>
        <v/>
      </c>
      <c r="C105" s="39">
        <f>IFERROR(IF('PRODUCTOS'!$G105&lt;&gt;"",'PRODUCTOS'!$I105,""),"")</f>
        <v/>
      </c>
      <c r="D105" s="39">
        <f>IFERROR(IF('PRODUCTOS'!$G105&lt;&gt;"",'PRODUCTOS'!$J105,""),"")</f>
        <v/>
      </c>
      <c r="E105" s="39">
        <f>IFERROR(IF('PRODUCTOS'!$G105&lt;&gt;"",'PRODUCTOS'!$X105,""),"")</f>
        <v/>
      </c>
      <c r="F105" s="40">
        <f>IFERROR(IF('PRODUCTOS'!$G105&lt;&gt;"",'PRODUCTOS'!$AF105,""),"")</f>
        <v/>
      </c>
      <c r="G105" s="40">
        <f>IFERROR(IF('PRODUCTOS'!$G105&lt;&gt;"",'PRODUCTOS'!$AG105,""),"")</f>
        <v/>
      </c>
    </row>
    <row r="106">
      <c r="A106" s="39">
        <f>IFERROR(IF('PRODUCTOS'!$G106&lt;&gt;"",'PRODUCTOS'!$A106,""),"")</f>
        <v/>
      </c>
      <c r="B106" s="39">
        <f>IFERROR(IF('PRODUCTOS'!$G106&lt;&gt;"",'PRODUCTOS'!$G106,""),"")</f>
        <v/>
      </c>
      <c r="C106" s="39">
        <f>IFERROR(IF('PRODUCTOS'!$G106&lt;&gt;"",'PRODUCTOS'!$I106,""),"")</f>
        <v/>
      </c>
      <c r="D106" s="39">
        <f>IFERROR(IF('PRODUCTOS'!$G106&lt;&gt;"",'PRODUCTOS'!$J106,""),"")</f>
        <v/>
      </c>
      <c r="E106" s="39">
        <f>IFERROR(IF('PRODUCTOS'!$G106&lt;&gt;"",'PRODUCTOS'!$X106,""),"")</f>
        <v/>
      </c>
      <c r="F106" s="40">
        <f>IFERROR(IF('PRODUCTOS'!$G106&lt;&gt;"",'PRODUCTOS'!$AF106,""),"")</f>
        <v/>
      </c>
      <c r="G106" s="40">
        <f>IFERROR(IF('PRODUCTOS'!$G106&lt;&gt;"",'PRODUCTOS'!$AG106,""),"")</f>
        <v/>
      </c>
    </row>
    <row r="107">
      <c r="A107" s="39">
        <f>IFERROR(IF('PRODUCTOS'!$G107&lt;&gt;"",'PRODUCTOS'!$A107,""),"")</f>
        <v/>
      </c>
      <c r="B107" s="39">
        <f>IFERROR(IF('PRODUCTOS'!$G107&lt;&gt;"",'PRODUCTOS'!$G107,""),"")</f>
        <v/>
      </c>
      <c r="C107" s="39">
        <f>IFERROR(IF('PRODUCTOS'!$G107&lt;&gt;"",'PRODUCTOS'!$I107,""),"")</f>
        <v/>
      </c>
      <c r="D107" s="39">
        <f>IFERROR(IF('PRODUCTOS'!$G107&lt;&gt;"",'PRODUCTOS'!$J107,""),"")</f>
        <v/>
      </c>
      <c r="E107" s="39">
        <f>IFERROR(IF('PRODUCTOS'!$G107&lt;&gt;"",'PRODUCTOS'!$X107,""),"")</f>
        <v/>
      </c>
      <c r="F107" s="40">
        <f>IFERROR(IF('PRODUCTOS'!$G107&lt;&gt;"",'PRODUCTOS'!$AF107,""),"")</f>
        <v/>
      </c>
      <c r="G107" s="40">
        <f>IFERROR(IF('PRODUCTOS'!$G107&lt;&gt;"",'PRODUCTOS'!$AG107,""),"")</f>
        <v/>
      </c>
    </row>
    <row r="108">
      <c r="A108" s="39">
        <f>IFERROR(IF('PRODUCTOS'!$G108&lt;&gt;"",'PRODUCTOS'!$A108,""),"")</f>
        <v/>
      </c>
      <c r="B108" s="39">
        <f>IFERROR(IF('PRODUCTOS'!$G108&lt;&gt;"",'PRODUCTOS'!$G108,""),"")</f>
        <v/>
      </c>
      <c r="C108" s="39">
        <f>IFERROR(IF('PRODUCTOS'!$G108&lt;&gt;"",'PRODUCTOS'!$I108,""),"")</f>
        <v/>
      </c>
      <c r="D108" s="39">
        <f>IFERROR(IF('PRODUCTOS'!$G108&lt;&gt;"",'PRODUCTOS'!$J108,""),"")</f>
        <v/>
      </c>
      <c r="E108" s="39">
        <f>IFERROR(IF('PRODUCTOS'!$G108&lt;&gt;"",'PRODUCTOS'!$X108,""),"")</f>
        <v/>
      </c>
      <c r="F108" s="40">
        <f>IFERROR(IF('PRODUCTOS'!$G108&lt;&gt;"",'PRODUCTOS'!$AF108,""),"")</f>
        <v/>
      </c>
      <c r="G108" s="40">
        <f>IFERROR(IF('PRODUCTOS'!$G108&lt;&gt;"",'PRODUCTOS'!$AG108,""),"")</f>
        <v/>
      </c>
    </row>
    <row r="109">
      <c r="A109" s="39">
        <f>IFERROR(IF('PRODUCTOS'!$G109&lt;&gt;"",'PRODUCTOS'!$A109,""),"")</f>
        <v/>
      </c>
      <c r="B109" s="39">
        <f>IFERROR(IF('PRODUCTOS'!$G109&lt;&gt;"",'PRODUCTOS'!$G109,""),"")</f>
        <v/>
      </c>
      <c r="C109" s="39">
        <f>IFERROR(IF('PRODUCTOS'!$G109&lt;&gt;"",'PRODUCTOS'!$I109,""),"")</f>
        <v/>
      </c>
      <c r="D109" s="39">
        <f>IFERROR(IF('PRODUCTOS'!$G109&lt;&gt;"",'PRODUCTOS'!$J109,""),"")</f>
        <v/>
      </c>
      <c r="E109" s="39">
        <f>IFERROR(IF('PRODUCTOS'!$G109&lt;&gt;"",'PRODUCTOS'!$X109,""),"")</f>
        <v/>
      </c>
      <c r="F109" s="40">
        <f>IFERROR(IF('PRODUCTOS'!$G109&lt;&gt;"",'PRODUCTOS'!$AF109,""),"")</f>
        <v/>
      </c>
      <c r="G109" s="40">
        <f>IFERROR(IF('PRODUCTOS'!$G109&lt;&gt;"",'PRODUCTOS'!$AG109,""),"")</f>
        <v/>
      </c>
    </row>
    <row r="110">
      <c r="A110" s="39">
        <f>IFERROR(IF('PRODUCTOS'!$G110&lt;&gt;"",'PRODUCTOS'!$A110,""),"")</f>
        <v/>
      </c>
      <c r="B110" s="39">
        <f>IFERROR(IF('PRODUCTOS'!$G110&lt;&gt;"",'PRODUCTOS'!$G110,""),"")</f>
        <v/>
      </c>
      <c r="C110" s="39">
        <f>IFERROR(IF('PRODUCTOS'!$G110&lt;&gt;"",'PRODUCTOS'!$I110,""),"")</f>
        <v/>
      </c>
      <c r="D110" s="39">
        <f>IFERROR(IF('PRODUCTOS'!$G110&lt;&gt;"",'PRODUCTOS'!$J110,""),"")</f>
        <v/>
      </c>
      <c r="E110" s="39">
        <f>IFERROR(IF('PRODUCTOS'!$G110&lt;&gt;"",'PRODUCTOS'!$X110,""),"")</f>
        <v/>
      </c>
      <c r="F110" s="40">
        <f>IFERROR(IF('PRODUCTOS'!$G110&lt;&gt;"",'PRODUCTOS'!$AF110,""),"")</f>
        <v/>
      </c>
      <c r="G110" s="40">
        <f>IFERROR(IF('PRODUCTOS'!$G110&lt;&gt;"",'PRODUCTOS'!$AG110,""),"")</f>
        <v/>
      </c>
    </row>
    <row r="111">
      <c r="A111" s="39">
        <f>IFERROR(IF('PRODUCTOS'!$G111&lt;&gt;"",'PRODUCTOS'!$A111,""),"")</f>
        <v/>
      </c>
      <c r="B111" s="39">
        <f>IFERROR(IF('PRODUCTOS'!$G111&lt;&gt;"",'PRODUCTOS'!$G111,""),"")</f>
        <v/>
      </c>
      <c r="C111" s="39">
        <f>IFERROR(IF('PRODUCTOS'!$G111&lt;&gt;"",'PRODUCTOS'!$I111,""),"")</f>
        <v/>
      </c>
      <c r="D111" s="39">
        <f>IFERROR(IF('PRODUCTOS'!$G111&lt;&gt;"",'PRODUCTOS'!$J111,""),"")</f>
        <v/>
      </c>
      <c r="E111" s="39">
        <f>IFERROR(IF('PRODUCTOS'!$G111&lt;&gt;"",'PRODUCTOS'!$X111,""),"")</f>
        <v/>
      </c>
      <c r="F111" s="40">
        <f>IFERROR(IF('PRODUCTOS'!$G111&lt;&gt;"",'PRODUCTOS'!$AF111,""),"")</f>
        <v/>
      </c>
      <c r="G111" s="40">
        <f>IFERROR(IF('PRODUCTOS'!$G111&lt;&gt;"",'PRODUCTOS'!$AG111,""),"")</f>
        <v/>
      </c>
    </row>
    <row r="112">
      <c r="A112" s="39">
        <f>IFERROR(IF('PRODUCTOS'!$G112&lt;&gt;"",'PRODUCTOS'!$A112,""),"")</f>
        <v/>
      </c>
      <c r="B112" s="39">
        <f>IFERROR(IF('PRODUCTOS'!$G112&lt;&gt;"",'PRODUCTOS'!$G112,""),"")</f>
        <v/>
      </c>
      <c r="C112" s="39">
        <f>IFERROR(IF('PRODUCTOS'!$G112&lt;&gt;"",'PRODUCTOS'!$I112,""),"")</f>
        <v/>
      </c>
      <c r="D112" s="39">
        <f>IFERROR(IF('PRODUCTOS'!$G112&lt;&gt;"",'PRODUCTOS'!$J112,""),"")</f>
        <v/>
      </c>
      <c r="E112" s="39">
        <f>IFERROR(IF('PRODUCTOS'!$G112&lt;&gt;"",'PRODUCTOS'!$X112,""),"")</f>
        <v/>
      </c>
      <c r="F112" s="40">
        <f>IFERROR(IF('PRODUCTOS'!$G112&lt;&gt;"",'PRODUCTOS'!$AF112,""),"")</f>
        <v/>
      </c>
      <c r="G112" s="40">
        <f>IFERROR(IF('PRODUCTOS'!$G112&lt;&gt;"",'PRODUCTOS'!$AG112,""),"")</f>
        <v/>
      </c>
    </row>
    <row r="113">
      <c r="A113" s="39">
        <f>IFERROR(IF('PRODUCTOS'!$G113&lt;&gt;"",'PRODUCTOS'!$A113,""),"")</f>
        <v/>
      </c>
      <c r="B113" s="39">
        <f>IFERROR(IF('PRODUCTOS'!$G113&lt;&gt;"",'PRODUCTOS'!$G113,""),"")</f>
        <v/>
      </c>
      <c r="C113" s="39">
        <f>IFERROR(IF('PRODUCTOS'!$G113&lt;&gt;"",'PRODUCTOS'!$I113,""),"")</f>
        <v/>
      </c>
      <c r="D113" s="39">
        <f>IFERROR(IF('PRODUCTOS'!$G113&lt;&gt;"",'PRODUCTOS'!$J113,""),"")</f>
        <v/>
      </c>
      <c r="E113" s="39">
        <f>IFERROR(IF('PRODUCTOS'!$G113&lt;&gt;"",'PRODUCTOS'!$X113,""),"")</f>
        <v/>
      </c>
      <c r="F113" s="40">
        <f>IFERROR(IF('PRODUCTOS'!$G113&lt;&gt;"",'PRODUCTOS'!$AF113,""),"")</f>
        <v/>
      </c>
      <c r="G113" s="40">
        <f>IFERROR(IF('PRODUCTOS'!$G113&lt;&gt;"",'PRODUCTOS'!$AG113,""),"")</f>
        <v/>
      </c>
    </row>
    <row r="114">
      <c r="A114" s="39">
        <f>IFERROR(IF('PRODUCTOS'!$G114&lt;&gt;"",'PRODUCTOS'!$A114,""),"")</f>
        <v/>
      </c>
      <c r="B114" s="39">
        <f>IFERROR(IF('PRODUCTOS'!$G114&lt;&gt;"",'PRODUCTOS'!$G114,""),"")</f>
        <v/>
      </c>
      <c r="C114" s="39">
        <f>IFERROR(IF('PRODUCTOS'!$G114&lt;&gt;"",'PRODUCTOS'!$I114,""),"")</f>
        <v/>
      </c>
      <c r="D114" s="39">
        <f>IFERROR(IF('PRODUCTOS'!$G114&lt;&gt;"",'PRODUCTOS'!$J114,""),"")</f>
        <v/>
      </c>
      <c r="E114" s="39">
        <f>IFERROR(IF('PRODUCTOS'!$G114&lt;&gt;"",'PRODUCTOS'!$X114,""),"")</f>
        <v/>
      </c>
      <c r="F114" s="40">
        <f>IFERROR(IF('PRODUCTOS'!$G114&lt;&gt;"",'PRODUCTOS'!$AF114,""),"")</f>
        <v/>
      </c>
      <c r="G114" s="40">
        <f>IFERROR(IF('PRODUCTOS'!$G114&lt;&gt;"",'PRODUCTOS'!$AG114,""),"")</f>
        <v/>
      </c>
    </row>
    <row r="115">
      <c r="A115" s="39">
        <f>IFERROR(IF('PRODUCTOS'!$G115&lt;&gt;"",'PRODUCTOS'!$A115,""),"")</f>
        <v/>
      </c>
      <c r="B115" s="39">
        <f>IFERROR(IF('PRODUCTOS'!$G115&lt;&gt;"",'PRODUCTOS'!$G115,""),"")</f>
        <v/>
      </c>
      <c r="C115" s="39">
        <f>IFERROR(IF('PRODUCTOS'!$G115&lt;&gt;"",'PRODUCTOS'!$I115,""),"")</f>
        <v/>
      </c>
      <c r="D115" s="39">
        <f>IFERROR(IF('PRODUCTOS'!$G115&lt;&gt;"",'PRODUCTOS'!$J115,""),"")</f>
        <v/>
      </c>
      <c r="E115" s="39">
        <f>IFERROR(IF('PRODUCTOS'!$G115&lt;&gt;"",'PRODUCTOS'!$X115,""),"")</f>
        <v/>
      </c>
      <c r="F115" s="40">
        <f>IFERROR(IF('PRODUCTOS'!$G115&lt;&gt;"",'PRODUCTOS'!$AF115,""),"")</f>
        <v/>
      </c>
      <c r="G115" s="40">
        <f>IFERROR(IF('PRODUCTOS'!$G115&lt;&gt;"",'PRODUCTOS'!$AG115,""),"")</f>
        <v/>
      </c>
    </row>
    <row r="116">
      <c r="A116" s="39">
        <f>IFERROR(IF('PRODUCTOS'!$G116&lt;&gt;"",'PRODUCTOS'!$A116,""),"")</f>
        <v/>
      </c>
      <c r="B116" s="39">
        <f>IFERROR(IF('PRODUCTOS'!$G116&lt;&gt;"",'PRODUCTOS'!$G116,""),"")</f>
        <v/>
      </c>
      <c r="C116" s="39">
        <f>IFERROR(IF('PRODUCTOS'!$G116&lt;&gt;"",'PRODUCTOS'!$I116,""),"")</f>
        <v/>
      </c>
      <c r="D116" s="39">
        <f>IFERROR(IF('PRODUCTOS'!$G116&lt;&gt;"",'PRODUCTOS'!$J116,""),"")</f>
        <v/>
      </c>
      <c r="E116" s="39">
        <f>IFERROR(IF('PRODUCTOS'!$G116&lt;&gt;"",'PRODUCTOS'!$X116,""),"")</f>
        <v/>
      </c>
      <c r="F116" s="40">
        <f>IFERROR(IF('PRODUCTOS'!$G116&lt;&gt;"",'PRODUCTOS'!$AF116,""),"")</f>
        <v/>
      </c>
      <c r="G116" s="40">
        <f>IFERROR(IF('PRODUCTOS'!$G116&lt;&gt;"",'PRODUCTOS'!$AG116,""),"")</f>
        <v/>
      </c>
    </row>
    <row r="117">
      <c r="A117" s="39">
        <f>IFERROR(IF('PRODUCTOS'!$G117&lt;&gt;"",'PRODUCTOS'!$A117,""),"")</f>
        <v/>
      </c>
      <c r="B117" s="39">
        <f>IFERROR(IF('PRODUCTOS'!$G117&lt;&gt;"",'PRODUCTOS'!$G117,""),"")</f>
        <v/>
      </c>
      <c r="C117" s="39">
        <f>IFERROR(IF('PRODUCTOS'!$G117&lt;&gt;"",'PRODUCTOS'!$I117,""),"")</f>
        <v/>
      </c>
      <c r="D117" s="39">
        <f>IFERROR(IF('PRODUCTOS'!$G117&lt;&gt;"",'PRODUCTOS'!$J117,""),"")</f>
        <v/>
      </c>
      <c r="E117" s="39">
        <f>IFERROR(IF('PRODUCTOS'!$G117&lt;&gt;"",'PRODUCTOS'!$X117,""),"")</f>
        <v/>
      </c>
      <c r="F117" s="40">
        <f>IFERROR(IF('PRODUCTOS'!$G117&lt;&gt;"",'PRODUCTOS'!$AF117,""),"")</f>
        <v/>
      </c>
      <c r="G117" s="40">
        <f>IFERROR(IF('PRODUCTOS'!$G117&lt;&gt;"",'PRODUCTOS'!$AG117,""),"")</f>
        <v/>
      </c>
    </row>
    <row r="118">
      <c r="A118" s="39">
        <f>IFERROR(IF('PRODUCTOS'!$G118&lt;&gt;"",'PRODUCTOS'!$A118,""),"")</f>
        <v/>
      </c>
      <c r="B118" s="39">
        <f>IFERROR(IF('PRODUCTOS'!$G118&lt;&gt;"",'PRODUCTOS'!$G118,""),"")</f>
        <v/>
      </c>
      <c r="C118" s="39">
        <f>IFERROR(IF('PRODUCTOS'!$G118&lt;&gt;"",'PRODUCTOS'!$I118,""),"")</f>
        <v/>
      </c>
      <c r="D118" s="39">
        <f>IFERROR(IF('PRODUCTOS'!$G118&lt;&gt;"",'PRODUCTOS'!$J118,""),"")</f>
        <v/>
      </c>
      <c r="E118" s="39">
        <f>IFERROR(IF('PRODUCTOS'!$G118&lt;&gt;"",'PRODUCTOS'!$X118,""),"")</f>
        <v/>
      </c>
      <c r="F118" s="40">
        <f>IFERROR(IF('PRODUCTOS'!$G118&lt;&gt;"",'PRODUCTOS'!$AF118,""),"")</f>
        <v/>
      </c>
      <c r="G118" s="40">
        <f>IFERROR(IF('PRODUCTOS'!$G118&lt;&gt;"",'PRODUCTOS'!$AG118,""),"")</f>
        <v/>
      </c>
    </row>
    <row r="119">
      <c r="A119" s="39">
        <f>IFERROR(IF('PRODUCTOS'!$G119&lt;&gt;"",'PRODUCTOS'!$A119,""),"")</f>
        <v/>
      </c>
      <c r="B119" s="39">
        <f>IFERROR(IF('PRODUCTOS'!$G119&lt;&gt;"",'PRODUCTOS'!$G119,""),"")</f>
        <v/>
      </c>
      <c r="C119" s="39">
        <f>IFERROR(IF('PRODUCTOS'!$G119&lt;&gt;"",'PRODUCTOS'!$I119,""),"")</f>
        <v/>
      </c>
      <c r="D119" s="39">
        <f>IFERROR(IF('PRODUCTOS'!$G119&lt;&gt;"",'PRODUCTOS'!$J119,""),"")</f>
        <v/>
      </c>
      <c r="E119" s="39">
        <f>IFERROR(IF('PRODUCTOS'!$G119&lt;&gt;"",'PRODUCTOS'!$X119,""),"")</f>
        <v/>
      </c>
      <c r="F119" s="40">
        <f>IFERROR(IF('PRODUCTOS'!$G119&lt;&gt;"",'PRODUCTOS'!$AF119,""),"")</f>
        <v/>
      </c>
      <c r="G119" s="40">
        <f>IFERROR(IF('PRODUCTOS'!$G119&lt;&gt;"",'PRODUCTOS'!$AG119,""),"")</f>
        <v/>
      </c>
    </row>
    <row r="120">
      <c r="A120" s="39">
        <f>IFERROR(IF('PRODUCTOS'!$G120&lt;&gt;"",'PRODUCTOS'!$A120,""),"")</f>
        <v/>
      </c>
      <c r="B120" s="39">
        <f>IFERROR(IF('PRODUCTOS'!$G120&lt;&gt;"",'PRODUCTOS'!$G120,""),"")</f>
        <v/>
      </c>
      <c r="C120" s="39">
        <f>IFERROR(IF('PRODUCTOS'!$G120&lt;&gt;"",'PRODUCTOS'!$I120,""),"")</f>
        <v/>
      </c>
      <c r="D120" s="39">
        <f>IFERROR(IF('PRODUCTOS'!$G120&lt;&gt;"",'PRODUCTOS'!$J120,""),"")</f>
        <v/>
      </c>
      <c r="E120" s="39">
        <f>IFERROR(IF('PRODUCTOS'!$G120&lt;&gt;"",'PRODUCTOS'!$X120,""),"")</f>
        <v/>
      </c>
      <c r="F120" s="40">
        <f>IFERROR(IF('PRODUCTOS'!$G120&lt;&gt;"",'PRODUCTOS'!$AF120,""),"")</f>
        <v/>
      </c>
      <c r="G120" s="40">
        <f>IFERROR(IF('PRODUCTOS'!$G120&lt;&gt;"",'PRODUCTOS'!$AG120,""),"")</f>
        <v/>
      </c>
    </row>
    <row r="121">
      <c r="A121" s="39">
        <f>IFERROR(IF('PRODUCTOS'!$G121&lt;&gt;"",'PRODUCTOS'!$A121,""),"")</f>
        <v/>
      </c>
      <c r="B121" s="39">
        <f>IFERROR(IF('PRODUCTOS'!$G121&lt;&gt;"",'PRODUCTOS'!$G121,""),"")</f>
        <v/>
      </c>
      <c r="C121" s="39">
        <f>IFERROR(IF('PRODUCTOS'!$G121&lt;&gt;"",'PRODUCTOS'!$I121,""),"")</f>
        <v/>
      </c>
      <c r="D121" s="39">
        <f>IFERROR(IF('PRODUCTOS'!$G121&lt;&gt;"",'PRODUCTOS'!$J121,""),"")</f>
        <v/>
      </c>
      <c r="E121" s="39">
        <f>IFERROR(IF('PRODUCTOS'!$G121&lt;&gt;"",'PRODUCTOS'!$X121,""),"")</f>
        <v/>
      </c>
      <c r="F121" s="40">
        <f>IFERROR(IF('PRODUCTOS'!$G121&lt;&gt;"",'PRODUCTOS'!$AF121,""),"")</f>
        <v/>
      </c>
      <c r="G121" s="40">
        <f>IFERROR(IF('PRODUCTOS'!$G121&lt;&gt;"",'PRODUCTOS'!$AG121,""),"")</f>
        <v/>
      </c>
    </row>
    <row r="122">
      <c r="A122" s="39">
        <f>IFERROR(IF('PRODUCTOS'!$G122&lt;&gt;"",'PRODUCTOS'!$A122,""),"")</f>
        <v/>
      </c>
      <c r="B122" s="39">
        <f>IFERROR(IF('PRODUCTOS'!$G122&lt;&gt;"",'PRODUCTOS'!$G122,""),"")</f>
        <v/>
      </c>
      <c r="C122" s="39">
        <f>IFERROR(IF('PRODUCTOS'!$G122&lt;&gt;"",'PRODUCTOS'!$I122,""),"")</f>
        <v/>
      </c>
      <c r="D122" s="39">
        <f>IFERROR(IF('PRODUCTOS'!$G122&lt;&gt;"",'PRODUCTOS'!$J122,""),"")</f>
        <v/>
      </c>
      <c r="E122" s="39">
        <f>IFERROR(IF('PRODUCTOS'!$G122&lt;&gt;"",'PRODUCTOS'!$X122,""),"")</f>
        <v/>
      </c>
      <c r="F122" s="40">
        <f>IFERROR(IF('PRODUCTOS'!$G122&lt;&gt;"",'PRODUCTOS'!$AF122,""),"")</f>
        <v/>
      </c>
      <c r="G122" s="40">
        <f>IFERROR(IF('PRODUCTOS'!$G122&lt;&gt;"",'PRODUCTOS'!$AG122,""),"")</f>
        <v/>
      </c>
    </row>
    <row r="123">
      <c r="A123" s="39">
        <f>IFERROR(IF('PRODUCTOS'!$G123&lt;&gt;"",'PRODUCTOS'!$A123,""),"")</f>
        <v/>
      </c>
      <c r="B123" s="39">
        <f>IFERROR(IF('PRODUCTOS'!$G123&lt;&gt;"",'PRODUCTOS'!$G123,""),"")</f>
        <v/>
      </c>
      <c r="C123" s="39">
        <f>IFERROR(IF('PRODUCTOS'!$G123&lt;&gt;"",'PRODUCTOS'!$I123,""),"")</f>
        <v/>
      </c>
      <c r="D123" s="39">
        <f>IFERROR(IF('PRODUCTOS'!$G123&lt;&gt;"",'PRODUCTOS'!$J123,""),"")</f>
        <v/>
      </c>
      <c r="E123" s="39">
        <f>IFERROR(IF('PRODUCTOS'!$G123&lt;&gt;"",'PRODUCTOS'!$X123,""),"")</f>
        <v/>
      </c>
      <c r="F123" s="40">
        <f>IFERROR(IF('PRODUCTOS'!$G123&lt;&gt;"",'PRODUCTOS'!$AF123,""),"")</f>
        <v/>
      </c>
      <c r="G123" s="40">
        <f>IFERROR(IF('PRODUCTOS'!$G123&lt;&gt;"",'PRODUCTOS'!$AG123,""),"")</f>
        <v/>
      </c>
    </row>
    <row r="124">
      <c r="A124" s="39">
        <f>IFERROR(IF('PRODUCTOS'!$G124&lt;&gt;"",'PRODUCTOS'!$A124,""),"")</f>
        <v/>
      </c>
      <c r="B124" s="39">
        <f>IFERROR(IF('PRODUCTOS'!$G124&lt;&gt;"",'PRODUCTOS'!$G124,""),"")</f>
        <v/>
      </c>
      <c r="C124" s="39">
        <f>IFERROR(IF('PRODUCTOS'!$G124&lt;&gt;"",'PRODUCTOS'!$I124,""),"")</f>
        <v/>
      </c>
      <c r="D124" s="39">
        <f>IFERROR(IF('PRODUCTOS'!$G124&lt;&gt;"",'PRODUCTOS'!$J124,""),"")</f>
        <v/>
      </c>
      <c r="E124" s="39">
        <f>IFERROR(IF('PRODUCTOS'!$G124&lt;&gt;"",'PRODUCTOS'!$X124,""),"")</f>
        <v/>
      </c>
      <c r="F124" s="40">
        <f>IFERROR(IF('PRODUCTOS'!$G124&lt;&gt;"",'PRODUCTOS'!$AF124,""),"")</f>
        <v/>
      </c>
      <c r="G124" s="40">
        <f>IFERROR(IF('PRODUCTOS'!$G124&lt;&gt;"",'PRODUCTOS'!$AG124,""),"")</f>
        <v/>
      </c>
    </row>
    <row r="125">
      <c r="A125" s="39">
        <f>IFERROR(IF('PRODUCTOS'!$G125&lt;&gt;"",'PRODUCTOS'!$A125,""),"")</f>
        <v/>
      </c>
      <c r="B125" s="39">
        <f>IFERROR(IF('PRODUCTOS'!$G125&lt;&gt;"",'PRODUCTOS'!$G125,""),"")</f>
        <v/>
      </c>
      <c r="C125" s="39">
        <f>IFERROR(IF('PRODUCTOS'!$G125&lt;&gt;"",'PRODUCTOS'!$I125,""),"")</f>
        <v/>
      </c>
      <c r="D125" s="39">
        <f>IFERROR(IF('PRODUCTOS'!$G125&lt;&gt;"",'PRODUCTOS'!$J125,""),"")</f>
        <v/>
      </c>
      <c r="E125" s="39">
        <f>IFERROR(IF('PRODUCTOS'!$G125&lt;&gt;"",'PRODUCTOS'!$X125,""),"")</f>
        <v/>
      </c>
      <c r="F125" s="40">
        <f>IFERROR(IF('PRODUCTOS'!$G125&lt;&gt;"",'PRODUCTOS'!$AF125,""),"")</f>
        <v/>
      </c>
      <c r="G125" s="40">
        <f>IFERROR(IF('PRODUCTOS'!$G125&lt;&gt;"",'PRODUCTOS'!$AG125,""),"")</f>
        <v/>
      </c>
    </row>
    <row r="126">
      <c r="A126" s="39">
        <f>IFERROR(IF('PRODUCTOS'!$G126&lt;&gt;"",'PRODUCTOS'!$A126,""),"")</f>
        <v/>
      </c>
      <c r="B126" s="39">
        <f>IFERROR(IF('PRODUCTOS'!$G126&lt;&gt;"",'PRODUCTOS'!$G126,""),"")</f>
        <v/>
      </c>
      <c r="C126" s="39">
        <f>IFERROR(IF('PRODUCTOS'!$G126&lt;&gt;"",'PRODUCTOS'!$I126,""),"")</f>
        <v/>
      </c>
      <c r="D126" s="39">
        <f>IFERROR(IF('PRODUCTOS'!$G126&lt;&gt;"",'PRODUCTOS'!$J126,""),"")</f>
        <v/>
      </c>
      <c r="E126" s="39">
        <f>IFERROR(IF('PRODUCTOS'!$G126&lt;&gt;"",'PRODUCTOS'!$X126,""),"")</f>
        <v/>
      </c>
      <c r="F126" s="40">
        <f>IFERROR(IF('PRODUCTOS'!$G126&lt;&gt;"",'PRODUCTOS'!$AF126,""),"")</f>
        <v/>
      </c>
      <c r="G126" s="40">
        <f>IFERROR(IF('PRODUCTOS'!$G126&lt;&gt;"",'PRODUCTOS'!$AG126,""),"")</f>
        <v/>
      </c>
    </row>
    <row r="127">
      <c r="A127" s="39">
        <f>IFERROR(IF('PRODUCTOS'!$G127&lt;&gt;"",'PRODUCTOS'!$A127,""),"")</f>
        <v/>
      </c>
      <c r="B127" s="39">
        <f>IFERROR(IF('PRODUCTOS'!$G127&lt;&gt;"",'PRODUCTOS'!$G127,""),"")</f>
        <v/>
      </c>
      <c r="C127" s="39">
        <f>IFERROR(IF('PRODUCTOS'!$G127&lt;&gt;"",'PRODUCTOS'!$I127,""),"")</f>
        <v/>
      </c>
      <c r="D127" s="39">
        <f>IFERROR(IF('PRODUCTOS'!$G127&lt;&gt;"",'PRODUCTOS'!$J127,""),"")</f>
        <v/>
      </c>
      <c r="E127" s="39">
        <f>IFERROR(IF('PRODUCTOS'!$G127&lt;&gt;"",'PRODUCTOS'!$X127,""),"")</f>
        <v/>
      </c>
      <c r="F127" s="40">
        <f>IFERROR(IF('PRODUCTOS'!$G127&lt;&gt;"",'PRODUCTOS'!$AF127,""),"")</f>
        <v/>
      </c>
      <c r="G127" s="40">
        <f>IFERROR(IF('PRODUCTOS'!$G127&lt;&gt;"",'PRODUCTOS'!$AG127,""),"")</f>
        <v/>
      </c>
    </row>
    <row r="128">
      <c r="A128" s="39">
        <f>IFERROR(IF('PRODUCTOS'!$G128&lt;&gt;"",'PRODUCTOS'!$A128,""),"")</f>
        <v/>
      </c>
      <c r="B128" s="39">
        <f>IFERROR(IF('PRODUCTOS'!$G128&lt;&gt;"",'PRODUCTOS'!$G128,""),"")</f>
        <v/>
      </c>
      <c r="C128" s="39">
        <f>IFERROR(IF('PRODUCTOS'!$G128&lt;&gt;"",'PRODUCTOS'!$I128,""),"")</f>
        <v/>
      </c>
      <c r="D128" s="39">
        <f>IFERROR(IF('PRODUCTOS'!$G128&lt;&gt;"",'PRODUCTOS'!$J128,""),"")</f>
        <v/>
      </c>
      <c r="E128" s="39">
        <f>IFERROR(IF('PRODUCTOS'!$G128&lt;&gt;"",'PRODUCTOS'!$X128,""),"")</f>
        <v/>
      </c>
      <c r="F128" s="40">
        <f>IFERROR(IF('PRODUCTOS'!$G128&lt;&gt;"",'PRODUCTOS'!$AF128,""),"")</f>
        <v/>
      </c>
      <c r="G128" s="40">
        <f>IFERROR(IF('PRODUCTOS'!$G128&lt;&gt;"",'PRODUCTOS'!$AG128,""),"")</f>
        <v/>
      </c>
    </row>
    <row r="129">
      <c r="A129" s="39">
        <f>IFERROR(IF('PRODUCTOS'!$G129&lt;&gt;"",'PRODUCTOS'!$A129,""),"")</f>
        <v/>
      </c>
      <c r="B129" s="39">
        <f>IFERROR(IF('PRODUCTOS'!$G129&lt;&gt;"",'PRODUCTOS'!$G129,""),"")</f>
        <v/>
      </c>
      <c r="C129" s="39">
        <f>IFERROR(IF('PRODUCTOS'!$G129&lt;&gt;"",'PRODUCTOS'!$I129,""),"")</f>
        <v/>
      </c>
      <c r="D129" s="39">
        <f>IFERROR(IF('PRODUCTOS'!$G129&lt;&gt;"",'PRODUCTOS'!$J129,""),"")</f>
        <v/>
      </c>
      <c r="E129" s="39">
        <f>IFERROR(IF('PRODUCTOS'!$G129&lt;&gt;"",'PRODUCTOS'!$X129,""),"")</f>
        <v/>
      </c>
      <c r="F129" s="40">
        <f>IFERROR(IF('PRODUCTOS'!$G129&lt;&gt;"",'PRODUCTOS'!$AF129,""),"")</f>
        <v/>
      </c>
      <c r="G129" s="40">
        <f>IFERROR(IF('PRODUCTOS'!$G129&lt;&gt;"",'PRODUCTOS'!$AG129,""),"")</f>
        <v/>
      </c>
    </row>
    <row r="130">
      <c r="A130" s="39">
        <f>IFERROR(IF('PRODUCTOS'!$G130&lt;&gt;"",'PRODUCTOS'!$A130,""),"")</f>
        <v/>
      </c>
      <c r="B130" s="39">
        <f>IFERROR(IF('PRODUCTOS'!$G130&lt;&gt;"",'PRODUCTOS'!$G130,""),"")</f>
        <v/>
      </c>
      <c r="C130" s="39">
        <f>IFERROR(IF('PRODUCTOS'!$G130&lt;&gt;"",'PRODUCTOS'!$I130,""),"")</f>
        <v/>
      </c>
      <c r="D130" s="39">
        <f>IFERROR(IF('PRODUCTOS'!$G130&lt;&gt;"",'PRODUCTOS'!$J130,""),"")</f>
        <v/>
      </c>
      <c r="E130" s="39">
        <f>IFERROR(IF('PRODUCTOS'!$G130&lt;&gt;"",'PRODUCTOS'!$X130,""),"")</f>
        <v/>
      </c>
      <c r="F130" s="40">
        <f>IFERROR(IF('PRODUCTOS'!$G130&lt;&gt;"",'PRODUCTOS'!$AF130,""),"")</f>
        <v/>
      </c>
      <c r="G130" s="40">
        <f>IFERROR(IF('PRODUCTOS'!$G130&lt;&gt;"",'PRODUCTOS'!$AG130,""),"")</f>
        <v/>
      </c>
    </row>
    <row r="131">
      <c r="A131" s="39">
        <f>IFERROR(IF('PRODUCTOS'!$G131&lt;&gt;"",'PRODUCTOS'!$A131,""),"")</f>
        <v/>
      </c>
      <c r="B131" s="39">
        <f>IFERROR(IF('PRODUCTOS'!$G131&lt;&gt;"",'PRODUCTOS'!$G131,""),"")</f>
        <v/>
      </c>
      <c r="C131" s="39">
        <f>IFERROR(IF('PRODUCTOS'!$G131&lt;&gt;"",'PRODUCTOS'!$I131,""),"")</f>
        <v/>
      </c>
      <c r="D131" s="39">
        <f>IFERROR(IF('PRODUCTOS'!$G131&lt;&gt;"",'PRODUCTOS'!$J131,""),"")</f>
        <v/>
      </c>
      <c r="E131" s="39">
        <f>IFERROR(IF('PRODUCTOS'!$G131&lt;&gt;"",'PRODUCTOS'!$X131,""),"")</f>
        <v/>
      </c>
      <c r="F131" s="40">
        <f>IFERROR(IF('PRODUCTOS'!$G131&lt;&gt;"",'PRODUCTOS'!$AF131,""),"")</f>
        <v/>
      </c>
      <c r="G131" s="40">
        <f>IFERROR(IF('PRODUCTOS'!$G131&lt;&gt;"",'PRODUCTOS'!$AG131,""),"")</f>
        <v/>
      </c>
    </row>
    <row r="132">
      <c r="A132" s="39">
        <f>IFERROR(IF('PRODUCTOS'!$G132&lt;&gt;"",'PRODUCTOS'!$A132,""),"")</f>
        <v/>
      </c>
      <c r="B132" s="39">
        <f>IFERROR(IF('PRODUCTOS'!$G132&lt;&gt;"",'PRODUCTOS'!$G132,""),"")</f>
        <v/>
      </c>
      <c r="C132" s="39">
        <f>IFERROR(IF('PRODUCTOS'!$G132&lt;&gt;"",'PRODUCTOS'!$I132,""),"")</f>
        <v/>
      </c>
      <c r="D132" s="39">
        <f>IFERROR(IF('PRODUCTOS'!$G132&lt;&gt;"",'PRODUCTOS'!$J132,""),"")</f>
        <v/>
      </c>
      <c r="E132" s="39">
        <f>IFERROR(IF('PRODUCTOS'!$G132&lt;&gt;"",'PRODUCTOS'!$X132,""),"")</f>
        <v/>
      </c>
      <c r="F132" s="40">
        <f>IFERROR(IF('PRODUCTOS'!$G132&lt;&gt;"",'PRODUCTOS'!$AF132,""),"")</f>
        <v/>
      </c>
      <c r="G132" s="40">
        <f>IFERROR(IF('PRODUCTOS'!$G132&lt;&gt;"",'PRODUCTOS'!$AG132,""),"")</f>
        <v/>
      </c>
    </row>
    <row r="133">
      <c r="A133" s="39">
        <f>IFERROR(IF('PRODUCTOS'!$G133&lt;&gt;"",'PRODUCTOS'!$A133,""),"")</f>
        <v/>
      </c>
      <c r="B133" s="39">
        <f>IFERROR(IF('PRODUCTOS'!$G133&lt;&gt;"",'PRODUCTOS'!$G133,""),"")</f>
        <v/>
      </c>
      <c r="C133" s="39">
        <f>IFERROR(IF('PRODUCTOS'!$G133&lt;&gt;"",'PRODUCTOS'!$I133,""),"")</f>
        <v/>
      </c>
      <c r="D133" s="39">
        <f>IFERROR(IF('PRODUCTOS'!$G133&lt;&gt;"",'PRODUCTOS'!$J133,""),"")</f>
        <v/>
      </c>
      <c r="E133" s="39">
        <f>IFERROR(IF('PRODUCTOS'!$G133&lt;&gt;"",'PRODUCTOS'!$X133,""),"")</f>
        <v/>
      </c>
      <c r="F133" s="40">
        <f>IFERROR(IF('PRODUCTOS'!$G133&lt;&gt;"",'PRODUCTOS'!$AF133,""),"")</f>
        <v/>
      </c>
      <c r="G133" s="40">
        <f>IFERROR(IF('PRODUCTOS'!$G133&lt;&gt;"",'PRODUCTOS'!$AG133,""),"")</f>
        <v/>
      </c>
    </row>
    <row r="134">
      <c r="A134" s="39">
        <f>IFERROR(IF('PRODUCTOS'!$G134&lt;&gt;"",'PRODUCTOS'!$A134,""),"")</f>
        <v/>
      </c>
      <c r="B134" s="39">
        <f>IFERROR(IF('PRODUCTOS'!$G134&lt;&gt;"",'PRODUCTOS'!$G134,""),"")</f>
        <v/>
      </c>
      <c r="C134" s="39">
        <f>IFERROR(IF('PRODUCTOS'!$G134&lt;&gt;"",'PRODUCTOS'!$I134,""),"")</f>
        <v/>
      </c>
      <c r="D134" s="39">
        <f>IFERROR(IF('PRODUCTOS'!$G134&lt;&gt;"",'PRODUCTOS'!$J134,""),"")</f>
        <v/>
      </c>
      <c r="E134" s="39">
        <f>IFERROR(IF('PRODUCTOS'!$G134&lt;&gt;"",'PRODUCTOS'!$X134,""),"")</f>
        <v/>
      </c>
      <c r="F134" s="40">
        <f>IFERROR(IF('PRODUCTOS'!$G134&lt;&gt;"",'PRODUCTOS'!$AF134,""),"")</f>
        <v/>
      </c>
      <c r="G134" s="40">
        <f>IFERROR(IF('PRODUCTOS'!$G134&lt;&gt;"",'PRODUCTOS'!$AG134,""),"")</f>
        <v/>
      </c>
    </row>
    <row r="135">
      <c r="A135" s="39">
        <f>IFERROR(IF('PRODUCTOS'!$G135&lt;&gt;"",'PRODUCTOS'!$A135,""),"")</f>
        <v/>
      </c>
      <c r="B135" s="39">
        <f>IFERROR(IF('PRODUCTOS'!$G135&lt;&gt;"",'PRODUCTOS'!$G135,""),"")</f>
        <v/>
      </c>
      <c r="C135" s="39">
        <f>IFERROR(IF('PRODUCTOS'!$G135&lt;&gt;"",'PRODUCTOS'!$I135,""),"")</f>
        <v/>
      </c>
      <c r="D135" s="39">
        <f>IFERROR(IF('PRODUCTOS'!$G135&lt;&gt;"",'PRODUCTOS'!$J135,""),"")</f>
        <v/>
      </c>
      <c r="E135" s="39">
        <f>IFERROR(IF('PRODUCTOS'!$G135&lt;&gt;"",'PRODUCTOS'!$X135,""),"")</f>
        <v/>
      </c>
      <c r="F135" s="40">
        <f>IFERROR(IF('PRODUCTOS'!$G135&lt;&gt;"",'PRODUCTOS'!$AF135,""),"")</f>
        <v/>
      </c>
      <c r="G135" s="40">
        <f>IFERROR(IF('PRODUCTOS'!$G135&lt;&gt;"",'PRODUCTOS'!$AG135,""),"")</f>
        <v/>
      </c>
    </row>
    <row r="136">
      <c r="A136" s="39">
        <f>IFERROR(IF('PRODUCTOS'!$G136&lt;&gt;"",'PRODUCTOS'!$A136,""),"")</f>
        <v/>
      </c>
      <c r="B136" s="39">
        <f>IFERROR(IF('PRODUCTOS'!$G136&lt;&gt;"",'PRODUCTOS'!$G136,""),"")</f>
        <v/>
      </c>
      <c r="C136" s="39">
        <f>IFERROR(IF('PRODUCTOS'!$G136&lt;&gt;"",'PRODUCTOS'!$I136,""),"")</f>
        <v/>
      </c>
      <c r="D136" s="39">
        <f>IFERROR(IF('PRODUCTOS'!$G136&lt;&gt;"",'PRODUCTOS'!$J136,""),"")</f>
        <v/>
      </c>
      <c r="E136" s="39">
        <f>IFERROR(IF('PRODUCTOS'!$G136&lt;&gt;"",'PRODUCTOS'!$X136,""),"")</f>
        <v/>
      </c>
      <c r="F136" s="40">
        <f>IFERROR(IF('PRODUCTOS'!$G136&lt;&gt;"",'PRODUCTOS'!$AF136,""),"")</f>
        <v/>
      </c>
      <c r="G136" s="40">
        <f>IFERROR(IF('PRODUCTOS'!$G136&lt;&gt;"",'PRODUCTOS'!$AG136,""),"")</f>
        <v/>
      </c>
    </row>
    <row r="137">
      <c r="A137" s="39">
        <f>IFERROR(IF('PRODUCTOS'!$G137&lt;&gt;"",'PRODUCTOS'!$A137,""),"")</f>
        <v/>
      </c>
      <c r="B137" s="39">
        <f>IFERROR(IF('PRODUCTOS'!$G137&lt;&gt;"",'PRODUCTOS'!$G137,""),"")</f>
        <v/>
      </c>
      <c r="C137" s="39">
        <f>IFERROR(IF('PRODUCTOS'!$G137&lt;&gt;"",'PRODUCTOS'!$I137,""),"")</f>
        <v/>
      </c>
      <c r="D137" s="39">
        <f>IFERROR(IF('PRODUCTOS'!$G137&lt;&gt;"",'PRODUCTOS'!$J137,""),"")</f>
        <v/>
      </c>
      <c r="E137" s="39">
        <f>IFERROR(IF('PRODUCTOS'!$G137&lt;&gt;"",'PRODUCTOS'!$X137,""),"")</f>
        <v/>
      </c>
      <c r="F137" s="40">
        <f>IFERROR(IF('PRODUCTOS'!$G137&lt;&gt;"",'PRODUCTOS'!$AF137,""),"")</f>
        <v/>
      </c>
      <c r="G137" s="40">
        <f>IFERROR(IF('PRODUCTOS'!$G137&lt;&gt;"",'PRODUCTOS'!$AG137,""),"")</f>
        <v/>
      </c>
    </row>
    <row r="138">
      <c r="A138" s="39">
        <f>IFERROR(IF('PRODUCTOS'!$G138&lt;&gt;"",'PRODUCTOS'!$A138,""),"")</f>
        <v/>
      </c>
      <c r="B138" s="39">
        <f>IFERROR(IF('PRODUCTOS'!$G138&lt;&gt;"",'PRODUCTOS'!$G138,""),"")</f>
        <v/>
      </c>
      <c r="C138" s="39">
        <f>IFERROR(IF('PRODUCTOS'!$G138&lt;&gt;"",'PRODUCTOS'!$I138,""),"")</f>
        <v/>
      </c>
      <c r="D138" s="39">
        <f>IFERROR(IF('PRODUCTOS'!$G138&lt;&gt;"",'PRODUCTOS'!$J138,""),"")</f>
        <v/>
      </c>
      <c r="E138" s="39">
        <f>IFERROR(IF('PRODUCTOS'!$G138&lt;&gt;"",'PRODUCTOS'!$X138,""),"")</f>
        <v/>
      </c>
      <c r="F138" s="40">
        <f>IFERROR(IF('PRODUCTOS'!$G138&lt;&gt;"",'PRODUCTOS'!$AF138,""),"")</f>
        <v/>
      </c>
      <c r="G138" s="40">
        <f>IFERROR(IF('PRODUCTOS'!$G138&lt;&gt;"",'PRODUCTOS'!$AG138,""),"")</f>
        <v/>
      </c>
    </row>
    <row r="139">
      <c r="A139" s="39">
        <f>IFERROR(IF('PRODUCTOS'!$G139&lt;&gt;"",'PRODUCTOS'!$A139,""),"")</f>
        <v/>
      </c>
      <c r="B139" s="39">
        <f>IFERROR(IF('PRODUCTOS'!$G139&lt;&gt;"",'PRODUCTOS'!$G139,""),"")</f>
        <v/>
      </c>
      <c r="C139" s="39">
        <f>IFERROR(IF('PRODUCTOS'!$G139&lt;&gt;"",'PRODUCTOS'!$I139,""),"")</f>
        <v/>
      </c>
      <c r="D139" s="39">
        <f>IFERROR(IF('PRODUCTOS'!$G139&lt;&gt;"",'PRODUCTOS'!$J139,""),"")</f>
        <v/>
      </c>
      <c r="E139" s="39">
        <f>IFERROR(IF('PRODUCTOS'!$G139&lt;&gt;"",'PRODUCTOS'!$X139,""),"")</f>
        <v/>
      </c>
      <c r="F139" s="40">
        <f>IFERROR(IF('PRODUCTOS'!$G139&lt;&gt;"",'PRODUCTOS'!$AF139,""),"")</f>
        <v/>
      </c>
      <c r="G139" s="40">
        <f>IFERROR(IF('PRODUCTOS'!$G139&lt;&gt;"",'PRODUCTOS'!$AG139,""),"")</f>
        <v/>
      </c>
    </row>
    <row r="140">
      <c r="A140" s="39">
        <f>IFERROR(IF('PRODUCTOS'!$G140&lt;&gt;"",'PRODUCTOS'!$A140,""),"")</f>
        <v/>
      </c>
      <c r="B140" s="39">
        <f>IFERROR(IF('PRODUCTOS'!$G140&lt;&gt;"",'PRODUCTOS'!$G140,""),"")</f>
        <v/>
      </c>
      <c r="C140" s="39">
        <f>IFERROR(IF('PRODUCTOS'!$G140&lt;&gt;"",'PRODUCTOS'!$I140,""),"")</f>
        <v/>
      </c>
      <c r="D140" s="39">
        <f>IFERROR(IF('PRODUCTOS'!$G140&lt;&gt;"",'PRODUCTOS'!$J140,""),"")</f>
        <v/>
      </c>
      <c r="E140" s="39">
        <f>IFERROR(IF('PRODUCTOS'!$G140&lt;&gt;"",'PRODUCTOS'!$X140,""),"")</f>
        <v/>
      </c>
      <c r="F140" s="40">
        <f>IFERROR(IF('PRODUCTOS'!$G140&lt;&gt;"",'PRODUCTOS'!$AF140,""),"")</f>
        <v/>
      </c>
      <c r="G140" s="40">
        <f>IFERROR(IF('PRODUCTOS'!$G140&lt;&gt;"",'PRODUCTOS'!$AG140,""),"")</f>
        <v/>
      </c>
    </row>
    <row r="141">
      <c r="A141" s="39">
        <f>IFERROR(IF('PRODUCTOS'!$G141&lt;&gt;"",'PRODUCTOS'!$A141,""),"")</f>
        <v/>
      </c>
      <c r="B141" s="39">
        <f>IFERROR(IF('PRODUCTOS'!$G141&lt;&gt;"",'PRODUCTOS'!$G141,""),"")</f>
        <v/>
      </c>
      <c r="C141" s="39">
        <f>IFERROR(IF('PRODUCTOS'!$G141&lt;&gt;"",'PRODUCTOS'!$I141,""),"")</f>
        <v/>
      </c>
      <c r="D141" s="39">
        <f>IFERROR(IF('PRODUCTOS'!$G141&lt;&gt;"",'PRODUCTOS'!$J141,""),"")</f>
        <v/>
      </c>
      <c r="E141" s="39">
        <f>IFERROR(IF('PRODUCTOS'!$G141&lt;&gt;"",'PRODUCTOS'!$X141,""),"")</f>
        <v/>
      </c>
      <c r="F141" s="40">
        <f>IFERROR(IF('PRODUCTOS'!$G141&lt;&gt;"",'PRODUCTOS'!$AF141,""),"")</f>
        <v/>
      </c>
      <c r="G141" s="40">
        <f>IFERROR(IF('PRODUCTOS'!$G141&lt;&gt;"",'PRODUCTOS'!$AG141,""),"")</f>
        <v/>
      </c>
    </row>
    <row r="142">
      <c r="A142" s="39">
        <f>IFERROR(IF('PRODUCTOS'!$G142&lt;&gt;"",'PRODUCTOS'!$A142,""),"")</f>
        <v/>
      </c>
      <c r="B142" s="39">
        <f>IFERROR(IF('PRODUCTOS'!$G142&lt;&gt;"",'PRODUCTOS'!$G142,""),"")</f>
        <v/>
      </c>
      <c r="C142" s="39">
        <f>IFERROR(IF('PRODUCTOS'!$G142&lt;&gt;"",'PRODUCTOS'!$I142,""),"")</f>
        <v/>
      </c>
      <c r="D142" s="39">
        <f>IFERROR(IF('PRODUCTOS'!$G142&lt;&gt;"",'PRODUCTOS'!$J142,""),"")</f>
        <v/>
      </c>
      <c r="E142" s="39">
        <f>IFERROR(IF('PRODUCTOS'!$G142&lt;&gt;"",'PRODUCTOS'!$X142,""),"")</f>
        <v/>
      </c>
      <c r="F142" s="40">
        <f>IFERROR(IF('PRODUCTOS'!$G142&lt;&gt;"",'PRODUCTOS'!$AF142,""),"")</f>
        <v/>
      </c>
      <c r="G142" s="40">
        <f>IFERROR(IF('PRODUCTOS'!$G142&lt;&gt;"",'PRODUCTOS'!$AG142,""),"")</f>
        <v/>
      </c>
    </row>
    <row r="143">
      <c r="A143" s="39">
        <f>IFERROR(IF('PRODUCTOS'!$G143&lt;&gt;"",'PRODUCTOS'!$A143,""),"")</f>
        <v/>
      </c>
      <c r="B143" s="39">
        <f>IFERROR(IF('PRODUCTOS'!$G143&lt;&gt;"",'PRODUCTOS'!$G143,""),"")</f>
        <v/>
      </c>
      <c r="C143" s="39">
        <f>IFERROR(IF('PRODUCTOS'!$G143&lt;&gt;"",'PRODUCTOS'!$I143,""),"")</f>
        <v/>
      </c>
      <c r="D143" s="39">
        <f>IFERROR(IF('PRODUCTOS'!$G143&lt;&gt;"",'PRODUCTOS'!$J143,""),"")</f>
        <v/>
      </c>
      <c r="E143" s="39">
        <f>IFERROR(IF('PRODUCTOS'!$G143&lt;&gt;"",'PRODUCTOS'!$X143,""),"")</f>
        <v/>
      </c>
      <c r="F143" s="40">
        <f>IFERROR(IF('PRODUCTOS'!$G143&lt;&gt;"",'PRODUCTOS'!$AF143,""),"")</f>
        <v/>
      </c>
      <c r="G143" s="40">
        <f>IFERROR(IF('PRODUCTOS'!$G143&lt;&gt;"",'PRODUCTOS'!$AG143,""),"")</f>
        <v/>
      </c>
    </row>
    <row r="144">
      <c r="A144" s="39">
        <f>IFERROR(IF('PRODUCTOS'!$G144&lt;&gt;"",'PRODUCTOS'!$A144,""),"")</f>
        <v/>
      </c>
      <c r="B144" s="39">
        <f>IFERROR(IF('PRODUCTOS'!$G144&lt;&gt;"",'PRODUCTOS'!$G144,""),"")</f>
        <v/>
      </c>
      <c r="C144" s="39">
        <f>IFERROR(IF('PRODUCTOS'!$G144&lt;&gt;"",'PRODUCTOS'!$I144,""),"")</f>
        <v/>
      </c>
      <c r="D144" s="39">
        <f>IFERROR(IF('PRODUCTOS'!$G144&lt;&gt;"",'PRODUCTOS'!$J144,""),"")</f>
        <v/>
      </c>
      <c r="E144" s="39">
        <f>IFERROR(IF('PRODUCTOS'!$G144&lt;&gt;"",'PRODUCTOS'!$X144,""),"")</f>
        <v/>
      </c>
      <c r="F144" s="40">
        <f>IFERROR(IF('PRODUCTOS'!$G144&lt;&gt;"",'PRODUCTOS'!$AF144,""),"")</f>
        <v/>
      </c>
      <c r="G144" s="40">
        <f>IFERROR(IF('PRODUCTOS'!$G144&lt;&gt;"",'PRODUCTOS'!$AG144,""),"")</f>
        <v/>
      </c>
    </row>
    <row r="145">
      <c r="A145" s="39">
        <f>IFERROR(IF('PRODUCTOS'!$G145&lt;&gt;"",'PRODUCTOS'!$A145,""),"")</f>
        <v/>
      </c>
      <c r="B145" s="39">
        <f>IFERROR(IF('PRODUCTOS'!$G145&lt;&gt;"",'PRODUCTOS'!$G145,""),"")</f>
        <v/>
      </c>
      <c r="C145" s="39">
        <f>IFERROR(IF('PRODUCTOS'!$G145&lt;&gt;"",'PRODUCTOS'!$I145,""),"")</f>
        <v/>
      </c>
      <c r="D145" s="39">
        <f>IFERROR(IF('PRODUCTOS'!$G145&lt;&gt;"",'PRODUCTOS'!$J145,""),"")</f>
        <v/>
      </c>
      <c r="E145" s="39">
        <f>IFERROR(IF('PRODUCTOS'!$G145&lt;&gt;"",'PRODUCTOS'!$X145,""),"")</f>
        <v/>
      </c>
      <c r="F145" s="40">
        <f>IFERROR(IF('PRODUCTOS'!$G145&lt;&gt;"",'PRODUCTOS'!$AF145,""),"")</f>
        <v/>
      </c>
      <c r="G145" s="40">
        <f>IFERROR(IF('PRODUCTOS'!$G145&lt;&gt;"",'PRODUCTOS'!$AG145,""),"")</f>
        <v/>
      </c>
    </row>
    <row r="146">
      <c r="A146" s="39">
        <f>IFERROR(IF('PRODUCTOS'!$G146&lt;&gt;"",'PRODUCTOS'!$A146,""),"")</f>
        <v/>
      </c>
      <c r="B146" s="39">
        <f>IFERROR(IF('PRODUCTOS'!$G146&lt;&gt;"",'PRODUCTOS'!$G146,""),"")</f>
        <v/>
      </c>
      <c r="C146" s="39">
        <f>IFERROR(IF('PRODUCTOS'!$G146&lt;&gt;"",'PRODUCTOS'!$I146,""),"")</f>
        <v/>
      </c>
      <c r="D146" s="39">
        <f>IFERROR(IF('PRODUCTOS'!$G146&lt;&gt;"",'PRODUCTOS'!$J146,""),"")</f>
        <v/>
      </c>
      <c r="E146" s="39">
        <f>IFERROR(IF('PRODUCTOS'!$G146&lt;&gt;"",'PRODUCTOS'!$X146,""),"")</f>
        <v/>
      </c>
      <c r="F146" s="40">
        <f>IFERROR(IF('PRODUCTOS'!$G146&lt;&gt;"",'PRODUCTOS'!$AF146,""),"")</f>
        <v/>
      </c>
      <c r="G146" s="40">
        <f>IFERROR(IF('PRODUCTOS'!$G146&lt;&gt;"",'PRODUCTOS'!$AG146,""),"")</f>
        <v/>
      </c>
    </row>
    <row r="147">
      <c r="A147" s="39">
        <f>IFERROR(IF('PRODUCTOS'!$G147&lt;&gt;"",'PRODUCTOS'!$A147,""),"")</f>
        <v/>
      </c>
      <c r="B147" s="39">
        <f>IFERROR(IF('PRODUCTOS'!$G147&lt;&gt;"",'PRODUCTOS'!$G147,""),"")</f>
        <v/>
      </c>
      <c r="C147" s="39">
        <f>IFERROR(IF('PRODUCTOS'!$G147&lt;&gt;"",'PRODUCTOS'!$I147,""),"")</f>
        <v/>
      </c>
      <c r="D147" s="39">
        <f>IFERROR(IF('PRODUCTOS'!$G147&lt;&gt;"",'PRODUCTOS'!$J147,""),"")</f>
        <v/>
      </c>
      <c r="E147" s="39">
        <f>IFERROR(IF('PRODUCTOS'!$G147&lt;&gt;"",'PRODUCTOS'!$X147,""),"")</f>
        <v/>
      </c>
      <c r="F147" s="40">
        <f>IFERROR(IF('PRODUCTOS'!$G147&lt;&gt;"",'PRODUCTOS'!$AF147,""),"")</f>
        <v/>
      </c>
      <c r="G147" s="40">
        <f>IFERROR(IF('PRODUCTOS'!$G147&lt;&gt;"",'PRODUCTOS'!$AG147,""),"")</f>
        <v/>
      </c>
    </row>
    <row r="148">
      <c r="A148" s="39">
        <f>IFERROR(IF('PRODUCTOS'!$G148&lt;&gt;"",'PRODUCTOS'!$A148,""),"")</f>
        <v/>
      </c>
      <c r="B148" s="39">
        <f>IFERROR(IF('PRODUCTOS'!$G148&lt;&gt;"",'PRODUCTOS'!$G148,""),"")</f>
        <v/>
      </c>
      <c r="C148" s="39">
        <f>IFERROR(IF('PRODUCTOS'!$G148&lt;&gt;"",'PRODUCTOS'!$I148,""),"")</f>
        <v/>
      </c>
      <c r="D148" s="39">
        <f>IFERROR(IF('PRODUCTOS'!$G148&lt;&gt;"",'PRODUCTOS'!$J148,""),"")</f>
        <v/>
      </c>
      <c r="E148" s="39">
        <f>IFERROR(IF('PRODUCTOS'!$G148&lt;&gt;"",'PRODUCTOS'!$X148,""),"")</f>
        <v/>
      </c>
      <c r="F148" s="40">
        <f>IFERROR(IF('PRODUCTOS'!$G148&lt;&gt;"",'PRODUCTOS'!$AF148,""),"")</f>
        <v/>
      </c>
      <c r="G148" s="40">
        <f>IFERROR(IF('PRODUCTOS'!$G148&lt;&gt;"",'PRODUCTOS'!$AG148,""),"")</f>
        <v/>
      </c>
    </row>
    <row r="149">
      <c r="A149" s="39">
        <f>IFERROR(IF('PRODUCTOS'!$G149&lt;&gt;"",'PRODUCTOS'!$A149,""),"")</f>
        <v/>
      </c>
      <c r="B149" s="39">
        <f>IFERROR(IF('PRODUCTOS'!$G149&lt;&gt;"",'PRODUCTOS'!$G149,""),"")</f>
        <v/>
      </c>
      <c r="C149" s="39">
        <f>IFERROR(IF('PRODUCTOS'!$G149&lt;&gt;"",'PRODUCTOS'!$I149,""),"")</f>
        <v/>
      </c>
      <c r="D149" s="39">
        <f>IFERROR(IF('PRODUCTOS'!$G149&lt;&gt;"",'PRODUCTOS'!$J149,""),"")</f>
        <v/>
      </c>
      <c r="E149" s="39">
        <f>IFERROR(IF('PRODUCTOS'!$G149&lt;&gt;"",'PRODUCTOS'!$X149,""),"")</f>
        <v/>
      </c>
      <c r="F149" s="40">
        <f>IFERROR(IF('PRODUCTOS'!$G149&lt;&gt;"",'PRODUCTOS'!$AF149,""),"")</f>
        <v/>
      </c>
      <c r="G149" s="40">
        <f>IFERROR(IF('PRODUCTOS'!$G149&lt;&gt;"",'PRODUCTOS'!$AG149,""),"")</f>
        <v/>
      </c>
    </row>
    <row r="150">
      <c r="A150" s="39">
        <f>IFERROR(IF('PRODUCTOS'!$G150&lt;&gt;"",'PRODUCTOS'!$A150,""),"")</f>
        <v/>
      </c>
      <c r="B150" s="39">
        <f>IFERROR(IF('PRODUCTOS'!$G150&lt;&gt;"",'PRODUCTOS'!$G150,""),"")</f>
        <v/>
      </c>
      <c r="C150" s="39">
        <f>IFERROR(IF('PRODUCTOS'!$G150&lt;&gt;"",'PRODUCTOS'!$I150,""),"")</f>
        <v/>
      </c>
      <c r="D150" s="39">
        <f>IFERROR(IF('PRODUCTOS'!$G150&lt;&gt;"",'PRODUCTOS'!$J150,""),"")</f>
        <v/>
      </c>
      <c r="E150" s="39">
        <f>IFERROR(IF('PRODUCTOS'!$G150&lt;&gt;"",'PRODUCTOS'!$X150,""),"")</f>
        <v/>
      </c>
      <c r="F150" s="40">
        <f>IFERROR(IF('PRODUCTOS'!$G150&lt;&gt;"",'PRODUCTOS'!$AF150,""),"")</f>
        <v/>
      </c>
      <c r="G150" s="40">
        <f>IFERROR(IF('PRODUCTOS'!$G150&lt;&gt;"",'PRODUCTOS'!$AG150,""),"")</f>
        <v/>
      </c>
    </row>
    <row r="151">
      <c r="A151" s="39">
        <f>IFERROR(IF('PRODUCTOS'!$G151&lt;&gt;"",'PRODUCTOS'!$A151,""),"")</f>
        <v/>
      </c>
      <c r="B151" s="39">
        <f>IFERROR(IF('PRODUCTOS'!$G151&lt;&gt;"",'PRODUCTOS'!$G151,""),"")</f>
        <v/>
      </c>
      <c r="C151" s="39">
        <f>IFERROR(IF('PRODUCTOS'!$G151&lt;&gt;"",'PRODUCTOS'!$I151,""),"")</f>
        <v/>
      </c>
      <c r="D151" s="39">
        <f>IFERROR(IF('PRODUCTOS'!$G151&lt;&gt;"",'PRODUCTOS'!$J151,""),"")</f>
        <v/>
      </c>
      <c r="E151" s="39">
        <f>IFERROR(IF('PRODUCTOS'!$G151&lt;&gt;"",'PRODUCTOS'!$X151,""),"")</f>
        <v/>
      </c>
      <c r="F151" s="40">
        <f>IFERROR(IF('PRODUCTOS'!$G151&lt;&gt;"",'PRODUCTOS'!$AF151,""),"")</f>
        <v/>
      </c>
      <c r="G151" s="40">
        <f>IFERROR(IF('PRODUCTOS'!$G151&lt;&gt;"",'PRODUCTOS'!$AG151,""),"")</f>
        <v/>
      </c>
    </row>
    <row r="152">
      <c r="A152" s="39">
        <f>IFERROR(IF('PRODUCTOS'!$G152&lt;&gt;"",'PRODUCTOS'!$A152,""),"")</f>
        <v/>
      </c>
      <c r="B152" s="39">
        <f>IFERROR(IF('PRODUCTOS'!$G152&lt;&gt;"",'PRODUCTOS'!$G152,""),"")</f>
        <v/>
      </c>
      <c r="C152" s="39">
        <f>IFERROR(IF('PRODUCTOS'!$G152&lt;&gt;"",'PRODUCTOS'!$I152,""),"")</f>
        <v/>
      </c>
      <c r="D152" s="39">
        <f>IFERROR(IF('PRODUCTOS'!$G152&lt;&gt;"",'PRODUCTOS'!$J152,""),"")</f>
        <v/>
      </c>
      <c r="E152" s="39">
        <f>IFERROR(IF('PRODUCTOS'!$G152&lt;&gt;"",'PRODUCTOS'!$X152,""),"")</f>
        <v/>
      </c>
      <c r="F152" s="40">
        <f>IFERROR(IF('PRODUCTOS'!$G152&lt;&gt;"",'PRODUCTOS'!$AF152,""),"")</f>
        <v/>
      </c>
      <c r="G152" s="40">
        <f>IFERROR(IF('PRODUCTOS'!$G152&lt;&gt;"",'PRODUCTOS'!$AG152,""),"")</f>
        <v/>
      </c>
    </row>
    <row r="153">
      <c r="A153" s="39">
        <f>IFERROR(IF('PRODUCTOS'!$G153&lt;&gt;"",'PRODUCTOS'!$A153,""),"")</f>
        <v/>
      </c>
      <c r="B153" s="39">
        <f>IFERROR(IF('PRODUCTOS'!$G153&lt;&gt;"",'PRODUCTOS'!$G153,""),"")</f>
        <v/>
      </c>
      <c r="C153" s="39">
        <f>IFERROR(IF('PRODUCTOS'!$G153&lt;&gt;"",'PRODUCTOS'!$I153,""),"")</f>
        <v/>
      </c>
      <c r="D153" s="39">
        <f>IFERROR(IF('PRODUCTOS'!$G153&lt;&gt;"",'PRODUCTOS'!$J153,""),"")</f>
        <v/>
      </c>
      <c r="E153" s="39">
        <f>IFERROR(IF('PRODUCTOS'!$G153&lt;&gt;"",'PRODUCTOS'!$X153,""),"")</f>
        <v/>
      </c>
      <c r="F153" s="40">
        <f>IFERROR(IF('PRODUCTOS'!$G153&lt;&gt;"",'PRODUCTOS'!$AF153,""),"")</f>
        <v/>
      </c>
      <c r="G153" s="40">
        <f>IFERROR(IF('PRODUCTOS'!$G153&lt;&gt;"",'PRODUCTOS'!$AG153,""),"")</f>
        <v/>
      </c>
    </row>
    <row r="154">
      <c r="A154" s="39">
        <f>IFERROR(IF('PRODUCTOS'!$G154&lt;&gt;"",'PRODUCTOS'!$A154,""),"")</f>
        <v/>
      </c>
      <c r="B154" s="39">
        <f>IFERROR(IF('PRODUCTOS'!$G154&lt;&gt;"",'PRODUCTOS'!$G154,""),"")</f>
        <v/>
      </c>
      <c r="C154" s="39">
        <f>IFERROR(IF('PRODUCTOS'!$G154&lt;&gt;"",'PRODUCTOS'!$I154,""),"")</f>
        <v/>
      </c>
      <c r="D154" s="39">
        <f>IFERROR(IF('PRODUCTOS'!$G154&lt;&gt;"",'PRODUCTOS'!$J154,""),"")</f>
        <v/>
      </c>
      <c r="E154" s="39">
        <f>IFERROR(IF('PRODUCTOS'!$G154&lt;&gt;"",'PRODUCTOS'!$X154,""),"")</f>
        <v/>
      </c>
      <c r="F154" s="40">
        <f>IFERROR(IF('PRODUCTOS'!$G154&lt;&gt;"",'PRODUCTOS'!$AF154,""),"")</f>
        <v/>
      </c>
      <c r="G154" s="40">
        <f>IFERROR(IF('PRODUCTOS'!$G154&lt;&gt;"",'PRODUCTOS'!$AG154,""),"")</f>
        <v/>
      </c>
    </row>
    <row r="155">
      <c r="A155" s="39">
        <f>IFERROR(IF('PRODUCTOS'!$G155&lt;&gt;"",'PRODUCTOS'!$A155,""),"")</f>
        <v/>
      </c>
      <c r="B155" s="39">
        <f>IFERROR(IF('PRODUCTOS'!$G155&lt;&gt;"",'PRODUCTOS'!$G155,""),"")</f>
        <v/>
      </c>
      <c r="C155" s="39">
        <f>IFERROR(IF('PRODUCTOS'!$G155&lt;&gt;"",'PRODUCTOS'!$I155,""),"")</f>
        <v/>
      </c>
      <c r="D155" s="39">
        <f>IFERROR(IF('PRODUCTOS'!$G155&lt;&gt;"",'PRODUCTOS'!$J155,""),"")</f>
        <v/>
      </c>
      <c r="E155" s="39">
        <f>IFERROR(IF('PRODUCTOS'!$G155&lt;&gt;"",'PRODUCTOS'!$X155,""),"")</f>
        <v/>
      </c>
      <c r="F155" s="40">
        <f>IFERROR(IF('PRODUCTOS'!$G155&lt;&gt;"",'PRODUCTOS'!$AF155,""),"")</f>
        <v/>
      </c>
      <c r="G155" s="40">
        <f>IFERROR(IF('PRODUCTOS'!$G155&lt;&gt;"",'PRODUCTOS'!$AG155,""),"")</f>
        <v/>
      </c>
    </row>
    <row r="156">
      <c r="A156" s="39">
        <f>IFERROR(IF('PRODUCTOS'!$G156&lt;&gt;"",'PRODUCTOS'!$A156,""),"")</f>
        <v/>
      </c>
      <c r="B156" s="39">
        <f>IFERROR(IF('PRODUCTOS'!$G156&lt;&gt;"",'PRODUCTOS'!$G156,""),"")</f>
        <v/>
      </c>
      <c r="C156" s="39">
        <f>IFERROR(IF('PRODUCTOS'!$G156&lt;&gt;"",'PRODUCTOS'!$I156,""),"")</f>
        <v/>
      </c>
      <c r="D156" s="39">
        <f>IFERROR(IF('PRODUCTOS'!$G156&lt;&gt;"",'PRODUCTOS'!$J156,""),"")</f>
        <v/>
      </c>
      <c r="E156" s="39">
        <f>IFERROR(IF('PRODUCTOS'!$G156&lt;&gt;"",'PRODUCTOS'!$X156,""),"")</f>
        <v/>
      </c>
      <c r="F156" s="40">
        <f>IFERROR(IF('PRODUCTOS'!$G156&lt;&gt;"",'PRODUCTOS'!$AF156,""),"")</f>
        <v/>
      </c>
      <c r="G156" s="40">
        <f>IFERROR(IF('PRODUCTOS'!$G156&lt;&gt;"",'PRODUCTOS'!$AG156,""),"")</f>
        <v/>
      </c>
    </row>
    <row r="157">
      <c r="A157" s="39">
        <f>IFERROR(IF('PRODUCTOS'!$G157&lt;&gt;"",'PRODUCTOS'!$A157,""),"")</f>
        <v/>
      </c>
      <c r="B157" s="39">
        <f>IFERROR(IF('PRODUCTOS'!$G157&lt;&gt;"",'PRODUCTOS'!$G157,""),"")</f>
        <v/>
      </c>
      <c r="C157" s="39">
        <f>IFERROR(IF('PRODUCTOS'!$G157&lt;&gt;"",'PRODUCTOS'!$I157,""),"")</f>
        <v/>
      </c>
      <c r="D157" s="39">
        <f>IFERROR(IF('PRODUCTOS'!$G157&lt;&gt;"",'PRODUCTOS'!$J157,""),"")</f>
        <v/>
      </c>
      <c r="E157" s="39">
        <f>IFERROR(IF('PRODUCTOS'!$G157&lt;&gt;"",'PRODUCTOS'!$X157,""),"")</f>
        <v/>
      </c>
      <c r="F157" s="40">
        <f>IFERROR(IF('PRODUCTOS'!$G157&lt;&gt;"",'PRODUCTOS'!$AF157,""),"")</f>
        <v/>
      </c>
      <c r="G157" s="40">
        <f>IFERROR(IF('PRODUCTOS'!$G157&lt;&gt;"",'PRODUCTOS'!$AG157,""),"")</f>
        <v/>
      </c>
    </row>
    <row r="158">
      <c r="A158" s="39">
        <f>IFERROR(IF('PRODUCTOS'!$G158&lt;&gt;"",'PRODUCTOS'!$A158,""),"")</f>
        <v/>
      </c>
      <c r="B158" s="39">
        <f>IFERROR(IF('PRODUCTOS'!$G158&lt;&gt;"",'PRODUCTOS'!$G158,""),"")</f>
        <v/>
      </c>
      <c r="C158" s="39">
        <f>IFERROR(IF('PRODUCTOS'!$G158&lt;&gt;"",'PRODUCTOS'!$I158,""),"")</f>
        <v/>
      </c>
      <c r="D158" s="39">
        <f>IFERROR(IF('PRODUCTOS'!$G158&lt;&gt;"",'PRODUCTOS'!$J158,""),"")</f>
        <v/>
      </c>
      <c r="E158" s="39">
        <f>IFERROR(IF('PRODUCTOS'!$G158&lt;&gt;"",'PRODUCTOS'!$X158,""),"")</f>
        <v/>
      </c>
      <c r="F158" s="40">
        <f>IFERROR(IF('PRODUCTOS'!$G158&lt;&gt;"",'PRODUCTOS'!$AF158,""),"")</f>
        <v/>
      </c>
      <c r="G158" s="40">
        <f>IFERROR(IF('PRODUCTOS'!$G158&lt;&gt;"",'PRODUCTOS'!$AG158,""),"")</f>
        <v/>
      </c>
    </row>
    <row r="159">
      <c r="A159" s="39">
        <f>IFERROR(IF('PRODUCTOS'!$G159&lt;&gt;"",'PRODUCTOS'!$A159,""),"")</f>
        <v/>
      </c>
      <c r="B159" s="39">
        <f>IFERROR(IF('PRODUCTOS'!$G159&lt;&gt;"",'PRODUCTOS'!$G159,""),"")</f>
        <v/>
      </c>
      <c r="C159" s="39">
        <f>IFERROR(IF('PRODUCTOS'!$G159&lt;&gt;"",'PRODUCTOS'!$I159,""),"")</f>
        <v/>
      </c>
      <c r="D159" s="39">
        <f>IFERROR(IF('PRODUCTOS'!$G159&lt;&gt;"",'PRODUCTOS'!$J159,""),"")</f>
        <v/>
      </c>
      <c r="E159" s="39">
        <f>IFERROR(IF('PRODUCTOS'!$G159&lt;&gt;"",'PRODUCTOS'!$X159,""),"")</f>
        <v/>
      </c>
      <c r="F159" s="40">
        <f>IFERROR(IF('PRODUCTOS'!$G159&lt;&gt;"",'PRODUCTOS'!$AF159,""),"")</f>
        <v/>
      </c>
      <c r="G159" s="40">
        <f>IFERROR(IF('PRODUCTOS'!$G159&lt;&gt;"",'PRODUCTOS'!$AG159,""),"")</f>
        <v/>
      </c>
    </row>
    <row r="160">
      <c r="A160" s="39">
        <f>IFERROR(IF('PRODUCTOS'!$G160&lt;&gt;"",'PRODUCTOS'!$A160,""),"")</f>
        <v/>
      </c>
      <c r="B160" s="39">
        <f>IFERROR(IF('PRODUCTOS'!$G160&lt;&gt;"",'PRODUCTOS'!$G160,""),"")</f>
        <v/>
      </c>
      <c r="C160" s="39">
        <f>IFERROR(IF('PRODUCTOS'!$G160&lt;&gt;"",'PRODUCTOS'!$I160,""),"")</f>
        <v/>
      </c>
      <c r="D160" s="39">
        <f>IFERROR(IF('PRODUCTOS'!$G160&lt;&gt;"",'PRODUCTOS'!$J160,""),"")</f>
        <v/>
      </c>
      <c r="E160" s="39">
        <f>IFERROR(IF('PRODUCTOS'!$G160&lt;&gt;"",'PRODUCTOS'!$X160,""),"")</f>
        <v/>
      </c>
      <c r="F160" s="40">
        <f>IFERROR(IF('PRODUCTOS'!$G160&lt;&gt;"",'PRODUCTOS'!$AF160,""),"")</f>
        <v/>
      </c>
      <c r="G160" s="40">
        <f>IFERROR(IF('PRODUCTOS'!$G160&lt;&gt;"",'PRODUCTOS'!$AG160,""),"")</f>
        <v/>
      </c>
    </row>
    <row r="161">
      <c r="A161" s="39">
        <f>IFERROR(IF('PRODUCTOS'!$G161&lt;&gt;"",'PRODUCTOS'!$A161,""),"")</f>
        <v/>
      </c>
      <c r="B161" s="39">
        <f>IFERROR(IF('PRODUCTOS'!$G161&lt;&gt;"",'PRODUCTOS'!$G161,""),"")</f>
        <v/>
      </c>
      <c r="C161" s="39">
        <f>IFERROR(IF('PRODUCTOS'!$G161&lt;&gt;"",'PRODUCTOS'!$I161,""),"")</f>
        <v/>
      </c>
      <c r="D161" s="39">
        <f>IFERROR(IF('PRODUCTOS'!$G161&lt;&gt;"",'PRODUCTOS'!$J161,""),"")</f>
        <v/>
      </c>
      <c r="E161" s="39">
        <f>IFERROR(IF('PRODUCTOS'!$G161&lt;&gt;"",'PRODUCTOS'!$X161,""),"")</f>
        <v/>
      </c>
      <c r="F161" s="40">
        <f>IFERROR(IF('PRODUCTOS'!$G161&lt;&gt;"",'PRODUCTOS'!$AF161,""),"")</f>
        <v/>
      </c>
      <c r="G161" s="40">
        <f>IFERROR(IF('PRODUCTOS'!$G161&lt;&gt;"",'PRODUCTOS'!$AG161,""),"")</f>
        <v/>
      </c>
    </row>
    <row r="162">
      <c r="A162" s="39">
        <f>IFERROR(IF('PRODUCTOS'!$G162&lt;&gt;"",'PRODUCTOS'!$A162,""),"")</f>
        <v/>
      </c>
      <c r="B162" s="39">
        <f>IFERROR(IF('PRODUCTOS'!$G162&lt;&gt;"",'PRODUCTOS'!$G162,""),"")</f>
        <v/>
      </c>
      <c r="C162" s="39">
        <f>IFERROR(IF('PRODUCTOS'!$G162&lt;&gt;"",'PRODUCTOS'!$I162,""),"")</f>
        <v/>
      </c>
      <c r="D162" s="39">
        <f>IFERROR(IF('PRODUCTOS'!$G162&lt;&gt;"",'PRODUCTOS'!$J162,""),"")</f>
        <v/>
      </c>
      <c r="E162" s="39">
        <f>IFERROR(IF('PRODUCTOS'!$G162&lt;&gt;"",'PRODUCTOS'!$X162,""),"")</f>
        <v/>
      </c>
      <c r="F162" s="40">
        <f>IFERROR(IF('PRODUCTOS'!$G162&lt;&gt;"",'PRODUCTOS'!$AF162,""),"")</f>
        <v/>
      </c>
      <c r="G162" s="40">
        <f>IFERROR(IF('PRODUCTOS'!$G162&lt;&gt;"",'PRODUCTOS'!$AG162,""),"")</f>
        <v/>
      </c>
    </row>
    <row r="163">
      <c r="A163" s="39">
        <f>IFERROR(IF('PRODUCTOS'!$G163&lt;&gt;"",'PRODUCTOS'!$A163,""),"")</f>
        <v/>
      </c>
      <c r="B163" s="39">
        <f>IFERROR(IF('PRODUCTOS'!$G163&lt;&gt;"",'PRODUCTOS'!$G163,""),"")</f>
        <v/>
      </c>
      <c r="C163" s="39">
        <f>IFERROR(IF('PRODUCTOS'!$G163&lt;&gt;"",'PRODUCTOS'!$I163,""),"")</f>
        <v/>
      </c>
      <c r="D163" s="39">
        <f>IFERROR(IF('PRODUCTOS'!$G163&lt;&gt;"",'PRODUCTOS'!$J163,""),"")</f>
        <v/>
      </c>
      <c r="E163" s="39">
        <f>IFERROR(IF('PRODUCTOS'!$G163&lt;&gt;"",'PRODUCTOS'!$X163,""),"")</f>
        <v/>
      </c>
      <c r="F163" s="40">
        <f>IFERROR(IF('PRODUCTOS'!$G163&lt;&gt;"",'PRODUCTOS'!$AF163,""),"")</f>
        <v/>
      </c>
      <c r="G163" s="40">
        <f>IFERROR(IF('PRODUCTOS'!$G163&lt;&gt;"",'PRODUCTOS'!$AG163,""),"")</f>
        <v/>
      </c>
    </row>
    <row r="164">
      <c r="A164" s="39">
        <f>IFERROR(IF('PRODUCTOS'!$G164&lt;&gt;"",'PRODUCTOS'!$A164,""),"")</f>
        <v/>
      </c>
      <c r="B164" s="39">
        <f>IFERROR(IF('PRODUCTOS'!$G164&lt;&gt;"",'PRODUCTOS'!$G164,""),"")</f>
        <v/>
      </c>
      <c r="C164" s="39">
        <f>IFERROR(IF('PRODUCTOS'!$G164&lt;&gt;"",'PRODUCTOS'!$I164,""),"")</f>
        <v/>
      </c>
      <c r="D164" s="39">
        <f>IFERROR(IF('PRODUCTOS'!$G164&lt;&gt;"",'PRODUCTOS'!$J164,""),"")</f>
        <v/>
      </c>
      <c r="E164" s="39">
        <f>IFERROR(IF('PRODUCTOS'!$G164&lt;&gt;"",'PRODUCTOS'!$X164,""),"")</f>
        <v/>
      </c>
      <c r="F164" s="40">
        <f>IFERROR(IF('PRODUCTOS'!$G164&lt;&gt;"",'PRODUCTOS'!$AF164,""),"")</f>
        <v/>
      </c>
      <c r="G164" s="40">
        <f>IFERROR(IF('PRODUCTOS'!$G164&lt;&gt;"",'PRODUCTOS'!$AG164,""),"")</f>
        <v/>
      </c>
    </row>
    <row r="165">
      <c r="A165" s="39">
        <f>IFERROR(IF('PRODUCTOS'!$G165&lt;&gt;"",'PRODUCTOS'!$A165,""),"")</f>
        <v/>
      </c>
      <c r="B165" s="39">
        <f>IFERROR(IF('PRODUCTOS'!$G165&lt;&gt;"",'PRODUCTOS'!$G165,""),"")</f>
        <v/>
      </c>
      <c r="C165" s="39">
        <f>IFERROR(IF('PRODUCTOS'!$G165&lt;&gt;"",'PRODUCTOS'!$I165,""),"")</f>
        <v/>
      </c>
      <c r="D165" s="39">
        <f>IFERROR(IF('PRODUCTOS'!$G165&lt;&gt;"",'PRODUCTOS'!$J165,""),"")</f>
        <v/>
      </c>
      <c r="E165" s="39">
        <f>IFERROR(IF('PRODUCTOS'!$G165&lt;&gt;"",'PRODUCTOS'!$X165,""),"")</f>
        <v/>
      </c>
      <c r="F165" s="40">
        <f>IFERROR(IF('PRODUCTOS'!$G165&lt;&gt;"",'PRODUCTOS'!$AF165,""),"")</f>
        <v/>
      </c>
      <c r="G165" s="40">
        <f>IFERROR(IF('PRODUCTOS'!$G165&lt;&gt;"",'PRODUCTOS'!$AG165,""),"")</f>
        <v/>
      </c>
    </row>
    <row r="166">
      <c r="A166" s="39">
        <f>IFERROR(IF('PRODUCTOS'!$G166&lt;&gt;"",'PRODUCTOS'!$A166,""),"")</f>
        <v/>
      </c>
      <c r="B166" s="39">
        <f>IFERROR(IF('PRODUCTOS'!$G166&lt;&gt;"",'PRODUCTOS'!$G166,""),"")</f>
        <v/>
      </c>
      <c r="C166" s="39">
        <f>IFERROR(IF('PRODUCTOS'!$G166&lt;&gt;"",'PRODUCTOS'!$I166,""),"")</f>
        <v/>
      </c>
      <c r="D166" s="39">
        <f>IFERROR(IF('PRODUCTOS'!$G166&lt;&gt;"",'PRODUCTOS'!$J166,""),"")</f>
        <v/>
      </c>
      <c r="E166" s="39">
        <f>IFERROR(IF('PRODUCTOS'!$G166&lt;&gt;"",'PRODUCTOS'!$X166,""),"")</f>
        <v/>
      </c>
      <c r="F166" s="40">
        <f>IFERROR(IF('PRODUCTOS'!$G166&lt;&gt;"",'PRODUCTOS'!$AF166,""),"")</f>
        <v/>
      </c>
      <c r="G166" s="40">
        <f>IFERROR(IF('PRODUCTOS'!$G166&lt;&gt;"",'PRODUCTOS'!$AG166,""),"")</f>
        <v/>
      </c>
    </row>
    <row r="167">
      <c r="A167" s="39">
        <f>IFERROR(IF('PRODUCTOS'!$G167&lt;&gt;"",'PRODUCTOS'!$A167,""),"")</f>
        <v/>
      </c>
      <c r="B167" s="39">
        <f>IFERROR(IF('PRODUCTOS'!$G167&lt;&gt;"",'PRODUCTOS'!$G167,""),"")</f>
        <v/>
      </c>
      <c r="C167" s="39">
        <f>IFERROR(IF('PRODUCTOS'!$G167&lt;&gt;"",'PRODUCTOS'!$I167,""),"")</f>
        <v/>
      </c>
      <c r="D167" s="39">
        <f>IFERROR(IF('PRODUCTOS'!$G167&lt;&gt;"",'PRODUCTOS'!$J167,""),"")</f>
        <v/>
      </c>
      <c r="E167" s="39">
        <f>IFERROR(IF('PRODUCTOS'!$G167&lt;&gt;"",'PRODUCTOS'!$X167,""),"")</f>
        <v/>
      </c>
      <c r="F167" s="40">
        <f>IFERROR(IF('PRODUCTOS'!$G167&lt;&gt;"",'PRODUCTOS'!$AF167,""),"")</f>
        <v/>
      </c>
      <c r="G167" s="40">
        <f>IFERROR(IF('PRODUCTOS'!$G167&lt;&gt;"",'PRODUCTOS'!$AG167,""),"")</f>
        <v/>
      </c>
    </row>
    <row r="168">
      <c r="A168" s="39">
        <f>IFERROR(IF('PRODUCTOS'!$G168&lt;&gt;"",'PRODUCTOS'!$A168,""),"")</f>
        <v/>
      </c>
      <c r="B168" s="39">
        <f>IFERROR(IF('PRODUCTOS'!$G168&lt;&gt;"",'PRODUCTOS'!$G168,""),"")</f>
        <v/>
      </c>
      <c r="C168" s="39">
        <f>IFERROR(IF('PRODUCTOS'!$G168&lt;&gt;"",'PRODUCTOS'!$I168,""),"")</f>
        <v/>
      </c>
      <c r="D168" s="39">
        <f>IFERROR(IF('PRODUCTOS'!$G168&lt;&gt;"",'PRODUCTOS'!$J168,""),"")</f>
        <v/>
      </c>
      <c r="E168" s="39">
        <f>IFERROR(IF('PRODUCTOS'!$G168&lt;&gt;"",'PRODUCTOS'!$X168,""),"")</f>
        <v/>
      </c>
      <c r="F168" s="40">
        <f>IFERROR(IF('PRODUCTOS'!$G168&lt;&gt;"",'PRODUCTOS'!$AF168,""),"")</f>
        <v/>
      </c>
      <c r="G168" s="40">
        <f>IFERROR(IF('PRODUCTOS'!$G168&lt;&gt;"",'PRODUCTOS'!$AG168,""),"")</f>
        <v/>
      </c>
    </row>
    <row r="169">
      <c r="A169" s="39">
        <f>IFERROR(IF('PRODUCTOS'!$G169&lt;&gt;"",'PRODUCTOS'!$A169,""),"")</f>
        <v/>
      </c>
      <c r="B169" s="39">
        <f>IFERROR(IF('PRODUCTOS'!$G169&lt;&gt;"",'PRODUCTOS'!$G169,""),"")</f>
        <v/>
      </c>
      <c r="C169" s="39">
        <f>IFERROR(IF('PRODUCTOS'!$G169&lt;&gt;"",'PRODUCTOS'!$I169,""),"")</f>
        <v/>
      </c>
      <c r="D169" s="39">
        <f>IFERROR(IF('PRODUCTOS'!$G169&lt;&gt;"",'PRODUCTOS'!$J169,""),"")</f>
        <v/>
      </c>
      <c r="E169" s="39">
        <f>IFERROR(IF('PRODUCTOS'!$G169&lt;&gt;"",'PRODUCTOS'!$X169,""),"")</f>
        <v/>
      </c>
      <c r="F169" s="40">
        <f>IFERROR(IF('PRODUCTOS'!$G169&lt;&gt;"",'PRODUCTOS'!$AF169,""),"")</f>
        <v/>
      </c>
      <c r="G169" s="40">
        <f>IFERROR(IF('PRODUCTOS'!$G169&lt;&gt;"",'PRODUCTOS'!$AG169,""),"")</f>
        <v/>
      </c>
    </row>
    <row r="170">
      <c r="A170" s="39">
        <f>IFERROR(IF('PRODUCTOS'!$G170&lt;&gt;"",'PRODUCTOS'!$A170,""),"")</f>
        <v/>
      </c>
      <c r="B170" s="39">
        <f>IFERROR(IF('PRODUCTOS'!$G170&lt;&gt;"",'PRODUCTOS'!$G170,""),"")</f>
        <v/>
      </c>
      <c r="C170" s="39">
        <f>IFERROR(IF('PRODUCTOS'!$G170&lt;&gt;"",'PRODUCTOS'!$I170,""),"")</f>
        <v/>
      </c>
      <c r="D170" s="39">
        <f>IFERROR(IF('PRODUCTOS'!$G170&lt;&gt;"",'PRODUCTOS'!$J170,""),"")</f>
        <v/>
      </c>
      <c r="E170" s="39">
        <f>IFERROR(IF('PRODUCTOS'!$G170&lt;&gt;"",'PRODUCTOS'!$X170,""),"")</f>
        <v/>
      </c>
      <c r="F170" s="40">
        <f>IFERROR(IF('PRODUCTOS'!$G170&lt;&gt;"",'PRODUCTOS'!$AF170,""),"")</f>
        <v/>
      </c>
      <c r="G170" s="40">
        <f>IFERROR(IF('PRODUCTOS'!$G170&lt;&gt;"",'PRODUCTOS'!$AG170,""),"")</f>
        <v/>
      </c>
    </row>
    <row r="171">
      <c r="A171" s="39">
        <f>IFERROR(IF('PRODUCTOS'!$G171&lt;&gt;"",'PRODUCTOS'!$A171,""),"")</f>
        <v/>
      </c>
      <c r="B171" s="39">
        <f>IFERROR(IF('PRODUCTOS'!$G171&lt;&gt;"",'PRODUCTOS'!$G171,""),"")</f>
        <v/>
      </c>
      <c r="C171" s="39">
        <f>IFERROR(IF('PRODUCTOS'!$G171&lt;&gt;"",'PRODUCTOS'!$I171,""),"")</f>
        <v/>
      </c>
      <c r="D171" s="39">
        <f>IFERROR(IF('PRODUCTOS'!$G171&lt;&gt;"",'PRODUCTOS'!$J171,""),"")</f>
        <v/>
      </c>
      <c r="E171" s="39">
        <f>IFERROR(IF('PRODUCTOS'!$G171&lt;&gt;"",'PRODUCTOS'!$X171,""),"")</f>
        <v/>
      </c>
      <c r="F171" s="40">
        <f>IFERROR(IF('PRODUCTOS'!$G171&lt;&gt;"",'PRODUCTOS'!$AF171,""),"")</f>
        <v/>
      </c>
      <c r="G171" s="40">
        <f>IFERROR(IF('PRODUCTOS'!$G171&lt;&gt;"",'PRODUCTOS'!$AG171,""),"")</f>
        <v/>
      </c>
    </row>
    <row r="172">
      <c r="A172" s="39">
        <f>IFERROR(IF('PRODUCTOS'!$G172&lt;&gt;"",'PRODUCTOS'!$A172,""),"")</f>
        <v/>
      </c>
      <c r="B172" s="39">
        <f>IFERROR(IF('PRODUCTOS'!$G172&lt;&gt;"",'PRODUCTOS'!$G172,""),"")</f>
        <v/>
      </c>
      <c r="C172" s="39">
        <f>IFERROR(IF('PRODUCTOS'!$G172&lt;&gt;"",'PRODUCTOS'!$I172,""),"")</f>
        <v/>
      </c>
      <c r="D172" s="39">
        <f>IFERROR(IF('PRODUCTOS'!$G172&lt;&gt;"",'PRODUCTOS'!$J172,""),"")</f>
        <v/>
      </c>
      <c r="E172" s="39">
        <f>IFERROR(IF('PRODUCTOS'!$G172&lt;&gt;"",'PRODUCTOS'!$X172,""),"")</f>
        <v/>
      </c>
      <c r="F172" s="40">
        <f>IFERROR(IF('PRODUCTOS'!$G172&lt;&gt;"",'PRODUCTOS'!$AF172,""),"")</f>
        <v/>
      </c>
      <c r="G172" s="40">
        <f>IFERROR(IF('PRODUCTOS'!$G172&lt;&gt;"",'PRODUCTOS'!$AG172,""),"")</f>
        <v/>
      </c>
    </row>
    <row r="173">
      <c r="A173" s="39">
        <f>IFERROR(IF('PRODUCTOS'!$G173&lt;&gt;"",'PRODUCTOS'!$A173,""),"")</f>
        <v/>
      </c>
      <c r="B173" s="39">
        <f>IFERROR(IF('PRODUCTOS'!$G173&lt;&gt;"",'PRODUCTOS'!$G173,""),"")</f>
        <v/>
      </c>
      <c r="C173" s="39">
        <f>IFERROR(IF('PRODUCTOS'!$G173&lt;&gt;"",'PRODUCTOS'!$I173,""),"")</f>
        <v/>
      </c>
      <c r="D173" s="39">
        <f>IFERROR(IF('PRODUCTOS'!$G173&lt;&gt;"",'PRODUCTOS'!$J173,""),"")</f>
        <v/>
      </c>
      <c r="E173" s="39">
        <f>IFERROR(IF('PRODUCTOS'!$G173&lt;&gt;"",'PRODUCTOS'!$X173,""),"")</f>
        <v/>
      </c>
      <c r="F173" s="40">
        <f>IFERROR(IF('PRODUCTOS'!$G173&lt;&gt;"",'PRODUCTOS'!$AF173,""),"")</f>
        <v/>
      </c>
      <c r="G173" s="40">
        <f>IFERROR(IF('PRODUCTOS'!$G173&lt;&gt;"",'PRODUCTOS'!$AG173,""),"")</f>
        <v/>
      </c>
    </row>
    <row r="174">
      <c r="A174" s="39">
        <f>IFERROR(IF('PRODUCTOS'!$G174&lt;&gt;"",'PRODUCTOS'!$A174,""),"")</f>
        <v/>
      </c>
      <c r="B174" s="39">
        <f>IFERROR(IF('PRODUCTOS'!$G174&lt;&gt;"",'PRODUCTOS'!$G174,""),"")</f>
        <v/>
      </c>
      <c r="C174" s="39">
        <f>IFERROR(IF('PRODUCTOS'!$G174&lt;&gt;"",'PRODUCTOS'!$I174,""),"")</f>
        <v/>
      </c>
      <c r="D174" s="39">
        <f>IFERROR(IF('PRODUCTOS'!$G174&lt;&gt;"",'PRODUCTOS'!$J174,""),"")</f>
        <v/>
      </c>
      <c r="E174" s="39">
        <f>IFERROR(IF('PRODUCTOS'!$G174&lt;&gt;"",'PRODUCTOS'!$X174,""),"")</f>
        <v/>
      </c>
      <c r="F174" s="40">
        <f>IFERROR(IF('PRODUCTOS'!$G174&lt;&gt;"",'PRODUCTOS'!$AF174,""),"")</f>
        <v/>
      </c>
      <c r="G174" s="40">
        <f>IFERROR(IF('PRODUCTOS'!$G174&lt;&gt;"",'PRODUCTOS'!$AG174,""),"")</f>
        <v/>
      </c>
    </row>
    <row r="175">
      <c r="A175" s="39">
        <f>IFERROR(IF('PRODUCTOS'!$G175&lt;&gt;"",'PRODUCTOS'!$A175,""),"")</f>
        <v/>
      </c>
      <c r="B175" s="39">
        <f>IFERROR(IF('PRODUCTOS'!$G175&lt;&gt;"",'PRODUCTOS'!$G175,""),"")</f>
        <v/>
      </c>
      <c r="C175" s="39">
        <f>IFERROR(IF('PRODUCTOS'!$G175&lt;&gt;"",'PRODUCTOS'!$I175,""),"")</f>
        <v/>
      </c>
      <c r="D175" s="39">
        <f>IFERROR(IF('PRODUCTOS'!$G175&lt;&gt;"",'PRODUCTOS'!$J175,""),"")</f>
        <v/>
      </c>
      <c r="E175" s="39">
        <f>IFERROR(IF('PRODUCTOS'!$G175&lt;&gt;"",'PRODUCTOS'!$X175,""),"")</f>
        <v/>
      </c>
      <c r="F175" s="40">
        <f>IFERROR(IF('PRODUCTOS'!$G175&lt;&gt;"",'PRODUCTOS'!$AF175,""),"")</f>
        <v/>
      </c>
      <c r="G175" s="40">
        <f>IFERROR(IF('PRODUCTOS'!$G175&lt;&gt;"",'PRODUCTOS'!$AG175,""),"")</f>
        <v/>
      </c>
    </row>
    <row r="176">
      <c r="A176" s="39">
        <f>IFERROR(IF('PRODUCTOS'!$G176&lt;&gt;"",'PRODUCTOS'!$A176,""),"")</f>
        <v/>
      </c>
      <c r="B176" s="39">
        <f>IFERROR(IF('PRODUCTOS'!$G176&lt;&gt;"",'PRODUCTOS'!$G176,""),"")</f>
        <v/>
      </c>
      <c r="C176" s="39">
        <f>IFERROR(IF('PRODUCTOS'!$G176&lt;&gt;"",'PRODUCTOS'!$I176,""),"")</f>
        <v/>
      </c>
      <c r="D176" s="39">
        <f>IFERROR(IF('PRODUCTOS'!$G176&lt;&gt;"",'PRODUCTOS'!$J176,""),"")</f>
        <v/>
      </c>
      <c r="E176" s="39">
        <f>IFERROR(IF('PRODUCTOS'!$G176&lt;&gt;"",'PRODUCTOS'!$X176,""),"")</f>
        <v/>
      </c>
      <c r="F176" s="40">
        <f>IFERROR(IF('PRODUCTOS'!$G176&lt;&gt;"",'PRODUCTOS'!$AF176,""),"")</f>
        <v/>
      </c>
      <c r="G176" s="40">
        <f>IFERROR(IF('PRODUCTOS'!$G176&lt;&gt;"",'PRODUCTOS'!$AG176,""),"")</f>
        <v/>
      </c>
    </row>
    <row r="177">
      <c r="A177" s="39">
        <f>IFERROR(IF('PRODUCTOS'!$G177&lt;&gt;"",'PRODUCTOS'!$A177,""),"")</f>
        <v/>
      </c>
      <c r="B177" s="39">
        <f>IFERROR(IF('PRODUCTOS'!$G177&lt;&gt;"",'PRODUCTOS'!$G177,""),"")</f>
        <v/>
      </c>
      <c r="C177" s="39">
        <f>IFERROR(IF('PRODUCTOS'!$G177&lt;&gt;"",'PRODUCTOS'!$I177,""),"")</f>
        <v/>
      </c>
      <c r="D177" s="39">
        <f>IFERROR(IF('PRODUCTOS'!$G177&lt;&gt;"",'PRODUCTOS'!$J177,""),"")</f>
        <v/>
      </c>
      <c r="E177" s="39">
        <f>IFERROR(IF('PRODUCTOS'!$G177&lt;&gt;"",'PRODUCTOS'!$X177,""),"")</f>
        <v/>
      </c>
      <c r="F177" s="40">
        <f>IFERROR(IF('PRODUCTOS'!$G177&lt;&gt;"",'PRODUCTOS'!$AF177,""),"")</f>
        <v/>
      </c>
      <c r="G177" s="40">
        <f>IFERROR(IF('PRODUCTOS'!$G177&lt;&gt;"",'PRODUCTOS'!$AG177,""),"")</f>
        <v/>
      </c>
    </row>
    <row r="178">
      <c r="A178" s="39">
        <f>IFERROR(IF('PRODUCTOS'!$G178&lt;&gt;"",'PRODUCTOS'!$A178,""),"")</f>
        <v/>
      </c>
      <c r="B178" s="39">
        <f>IFERROR(IF('PRODUCTOS'!$G178&lt;&gt;"",'PRODUCTOS'!$G178,""),"")</f>
        <v/>
      </c>
      <c r="C178" s="39">
        <f>IFERROR(IF('PRODUCTOS'!$G178&lt;&gt;"",'PRODUCTOS'!$I178,""),"")</f>
        <v/>
      </c>
      <c r="D178" s="39">
        <f>IFERROR(IF('PRODUCTOS'!$G178&lt;&gt;"",'PRODUCTOS'!$J178,""),"")</f>
        <v/>
      </c>
      <c r="E178" s="39">
        <f>IFERROR(IF('PRODUCTOS'!$G178&lt;&gt;"",'PRODUCTOS'!$X178,""),"")</f>
        <v/>
      </c>
      <c r="F178" s="40">
        <f>IFERROR(IF('PRODUCTOS'!$G178&lt;&gt;"",'PRODUCTOS'!$AF178,""),"")</f>
        <v/>
      </c>
      <c r="G178" s="40">
        <f>IFERROR(IF('PRODUCTOS'!$G178&lt;&gt;"",'PRODUCTOS'!$AG178,""),"")</f>
        <v/>
      </c>
    </row>
    <row r="179">
      <c r="A179" s="39">
        <f>IFERROR(IF('PRODUCTOS'!$G179&lt;&gt;"",'PRODUCTOS'!$A179,""),"")</f>
        <v/>
      </c>
      <c r="B179" s="39">
        <f>IFERROR(IF('PRODUCTOS'!$G179&lt;&gt;"",'PRODUCTOS'!$G179,""),"")</f>
        <v/>
      </c>
      <c r="C179" s="39">
        <f>IFERROR(IF('PRODUCTOS'!$G179&lt;&gt;"",'PRODUCTOS'!$I179,""),"")</f>
        <v/>
      </c>
      <c r="D179" s="39">
        <f>IFERROR(IF('PRODUCTOS'!$G179&lt;&gt;"",'PRODUCTOS'!$J179,""),"")</f>
        <v/>
      </c>
      <c r="E179" s="39">
        <f>IFERROR(IF('PRODUCTOS'!$G179&lt;&gt;"",'PRODUCTOS'!$X179,""),"")</f>
        <v/>
      </c>
      <c r="F179" s="40">
        <f>IFERROR(IF('PRODUCTOS'!$G179&lt;&gt;"",'PRODUCTOS'!$AF179,""),"")</f>
        <v/>
      </c>
      <c r="G179" s="40">
        <f>IFERROR(IF('PRODUCTOS'!$G179&lt;&gt;"",'PRODUCTOS'!$AG179,""),"")</f>
        <v/>
      </c>
    </row>
    <row r="180">
      <c r="A180" s="39">
        <f>IFERROR(IF('PRODUCTOS'!$G180&lt;&gt;"",'PRODUCTOS'!$A180,""),"")</f>
        <v/>
      </c>
      <c r="B180" s="39">
        <f>IFERROR(IF('PRODUCTOS'!$G180&lt;&gt;"",'PRODUCTOS'!$G180,""),"")</f>
        <v/>
      </c>
      <c r="C180" s="39">
        <f>IFERROR(IF('PRODUCTOS'!$G180&lt;&gt;"",'PRODUCTOS'!$I180,""),"")</f>
        <v/>
      </c>
      <c r="D180" s="39">
        <f>IFERROR(IF('PRODUCTOS'!$G180&lt;&gt;"",'PRODUCTOS'!$J180,""),"")</f>
        <v/>
      </c>
      <c r="E180" s="39">
        <f>IFERROR(IF('PRODUCTOS'!$G180&lt;&gt;"",'PRODUCTOS'!$X180,""),"")</f>
        <v/>
      </c>
      <c r="F180" s="40">
        <f>IFERROR(IF('PRODUCTOS'!$G180&lt;&gt;"",'PRODUCTOS'!$AF180,""),"")</f>
        <v/>
      </c>
      <c r="G180" s="40">
        <f>IFERROR(IF('PRODUCTOS'!$G180&lt;&gt;"",'PRODUCTOS'!$AG180,""),"")</f>
        <v/>
      </c>
    </row>
    <row r="181">
      <c r="A181" s="39">
        <f>IFERROR(IF('PRODUCTOS'!$G181&lt;&gt;"",'PRODUCTOS'!$A181,""),"")</f>
        <v/>
      </c>
      <c r="B181" s="39">
        <f>IFERROR(IF('PRODUCTOS'!$G181&lt;&gt;"",'PRODUCTOS'!$G181,""),"")</f>
        <v/>
      </c>
      <c r="C181" s="39">
        <f>IFERROR(IF('PRODUCTOS'!$G181&lt;&gt;"",'PRODUCTOS'!$I181,""),"")</f>
        <v/>
      </c>
      <c r="D181" s="39">
        <f>IFERROR(IF('PRODUCTOS'!$G181&lt;&gt;"",'PRODUCTOS'!$J181,""),"")</f>
        <v/>
      </c>
      <c r="E181" s="39">
        <f>IFERROR(IF('PRODUCTOS'!$G181&lt;&gt;"",'PRODUCTOS'!$X181,""),"")</f>
        <v/>
      </c>
      <c r="F181" s="40">
        <f>IFERROR(IF('PRODUCTOS'!$G181&lt;&gt;"",'PRODUCTOS'!$AF181,""),"")</f>
        <v/>
      </c>
      <c r="G181" s="40">
        <f>IFERROR(IF('PRODUCTOS'!$G181&lt;&gt;"",'PRODUCTOS'!$AG181,""),"")</f>
        <v/>
      </c>
    </row>
    <row r="182">
      <c r="A182" s="39">
        <f>IFERROR(IF('PRODUCTOS'!$G182&lt;&gt;"",'PRODUCTOS'!$A182,""),"")</f>
        <v/>
      </c>
      <c r="B182" s="39">
        <f>IFERROR(IF('PRODUCTOS'!$G182&lt;&gt;"",'PRODUCTOS'!$G182,""),"")</f>
        <v/>
      </c>
      <c r="C182" s="39">
        <f>IFERROR(IF('PRODUCTOS'!$G182&lt;&gt;"",'PRODUCTOS'!$I182,""),"")</f>
        <v/>
      </c>
      <c r="D182" s="39">
        <f>IFERROR(IF('PRODUCTOS'!$G182&lt;&gt;"",'PRODUCTOS'!$J182,""),"")</f>
        <v/>
      </c>
      <c r="E182" s="39">
        <f>IFERROR(IF('PRODUCTOS'!$G182&lt;&gt;"",'PRODUCTOS'!$X182,""),"")</f>
        <v/>
      </c>
      <c r="F182" s="40">
        <f>IFERROR(IF('PRODUCTOS'!$G182&lt;&gt;"",'PRODUCTOS'!$AF182,""),"")</f>
        <v/>
      </c>
      <c r="G182" s="40">
        <f>IFERROR(IF('PRODUCTOS'!$G182&lt;&gt;"",'PRODUCTOS'!$AG182,""),"")</f>
        <v/>
      </c>
    </row>
    <row r="183">
      <c r="A183" s="39">
        <f>IFERROR(IF('PRODUCTOS'!$G183&lt;&gt;"",'PRODUCTOS'!$A183,""),"")</f>
        <v/>
      </c>
      <c r="B183" s="39">
        <f>IFERROR(IF('PRODUCTOS'!$G183&lt;&gt;"",'PRODUCTOS'!$G183,""),"")</f>
        <v/>
      </c>
      <c r="C183" s="39">
        <f>IFERROR(IF('PRODUCTOS'!$G183&lt;&gt;"",'PRODUCTOS'!$I183,""),"")</f>
        <v/>
      </c>
      <c r="D183" s="39">
        <f>IFERROR(IF('PRODUCTOS'!$G183&lt;&gt;"",'PRODUCTOS'!$J183,""),"")</f>
        <v/>
      </c>
      <c r="E183" s="39">
        <f>IFERROR(IF('PRODUCTOS'!$G183&lt;&gt;"",'PRODUCTOS'!$X183,""),"")</f>
        <v/>
      </c>
      <c r="F183" s="40">
        <f>IFERROR(IF('PRODUCTOS'!$G183&lt;&gt;"",'PRODUCTOS'!$AF183,""),"")</f>
        <v/>
      </c>
      <c r="G183" s="40">
        <f>IFERROR(IF('PRODUCTOS'!$G183&lt;&gt;"",'PRODUCTOS'!$AG183,""),"")</f>
        <v/>
      </c>
    </row>
    <row r="184">
      <c r="A184" s="39">
        <f>IFERROR(IF('PRODUCTOS'!$G184&lt;&gt;"",'PRODUCTOS'!$A184,""),"")</f>
        <v/>
      </c>
      <c r="B184" s="39">
        <f>IFERROR(IF('PRODUCTOS'!$G184&lt;&gt;"",'PRODUCTOS'!$G184,""),"")</f>
        <v/>
      </c>
      <c r="C184" s="39">
        <f>IFERROR(IF('PRODUCTOS'!$G184&lt;&gt;"",'PRODUCTOS'!$I184,""),"")</f>
        <v/>
      </c>
      <c r="D184" s="39">
        <f>IFERROR(IF('PRODUCTOS'!$G184&lt;&gt;"",'PRODUCTOS'!$J184,""),"")</f>
        <v/>
      </c>
      <c r="E184" s="39">
        <f>IFERROR(IF('PRODUCTOS'!$G184&lt;&gt;"",'PRODUCTOS'!$X184,""),"")</f>
        <v/>
      </c>
      <c r="F184" s="40">
        <f>IFERROR(IF('PRODUCTOS'!$G184&lt;&gt;"",'PRODUCTOS'!$AF184,""),"")</f>
        <v/>
      </c>
      <c r="G184" s="40">
        <f>IFERROR(IF('PRODUCTOS'!$G184&lt;&gt;"",'PRODUCTOS'!$AG184,""),"")</f>
        <v/>
      </c>
    </row>
    <row r="185">
      <c r="A185" s="39">
        <f>IFERROR(IF('PRODUCTOS'!$G185&lt;&gt;"",'PRODUCTOS'!$A185,""),"")</f>
        <v/>
      </c>
      <c r="B185" s="39">
        <f>IFERROR(IF('PRODUCTOS'!$G185&lt;&gt;"",'PRODUCTOS'!$G185,""),"")</f>
        <v/>
      </c>
      <c r="C185" s="39">
        <f>IFERROR(IF('PRODUCTOS'!$G185&lt;&gt;"",'PRODUCTOS'!$I185,""),"")</f>
        <v/>
      </c>
      <c r="D185" s="39">
        <f>IFERROR(IF('PRODUCTOS'!$G185&lt;&gt;"",'PRODUCTOS'!$J185,""),"")</f>
        <v/>
      </c>
      <c r="E185" s="39">
        <f>IFERROR(IF('PRODUCTOS'!$G185&lt;&gt;"",'PRODUCTOS'!$X185,""),"")</f>
        <v/>
      </c>
      <c r="F185" s="40">
        <f>IFERROR(IF('PRODUCTOS'!$G185&lt;&gt;"",'PRODUCTOS'!$AF185,""),"")</f>
        <v/>
      </c>
      <c r="G185" s="40">
        <f>IFERROR(IF('PRODUCTOS'!$G185&lt;&gt;"",'PRODUCTOS'!$AG185,""),"")</f>
        <v/>
      </c>
    </row>
    <row r="186">
      <c r="A186" s="39">
        <f>IFERROR(IF('PRODUCTOS'!$G186&lt;&gt;"",'PRODUCTOS'!$A186,""),"")</f>
        <v/>
      </c>
      <c r="B186" s="39">
        <f>IFERROR(IF('PRODUCTOS'!$G186&lt;&gt;"",'PRODUCTOS'!$G186,""),"")</f>
        <v/>
      </c>
      <c r="C186" s="39">
        <f>IFERROR(IF('PRODUCTOS'!$G186&lt;&gt;"",'PRODUCTOS'!$I186,""),"")</f>
        <v/>
      </c>
      <c r="D186" s="39">
        <f>IFERROR(IF('PRODUCTOS'!$G186&lt;&gt;"",'PRODUCTOS'!$J186,""),"")</f>
        <v/>
      </c>
      <c r="E186" s="39">
        <f>IFERROR(IF('PRODUCTOS'!$G186&lt;&gt;"",'PRODUCTOS'!$X186,""),"")</f>
        <v/>
      </c>
      <c r="F186" s="40">
        <f>IFERROR(IF('PRODUCTOS'!$G186&lt;&gt;"",'PRODUCTOS'!$AF186,""),"")</f>
        <v/>
      </c>
      <c r="G186" s="40">
        <f>IFERROR(IF('PRODUCTOS'!$G186&lt;&gt;"",'PRODUCTOS'!$AG186,""),"")</f>
        <v/>
      </c>
    </row>
    <row r="187">
      <c r="A187" s="39">
        <f>IFERROR(IF('PRODUCTOS'!$G187&lt;&gt;"",'PRODUCTOS'!$A187,""),"")</f>
        <v/>
      </c>
      <c r="B187" s="39">
        <f>IFERROR(IF('PRODUCTOS'!$G187&lt;&gt;"",'PRODUCTOS'!$G187,""),"")</f>
        <v/>
      </c>
      <c r="C187" s="39">
        <f>IFERROR(IF('PRODUCTOS'!$G187&lt;&gt;"",'PRODUCTOS'!$I187,""),"")</f>
        <v/>
      </c>
      <c r="D187" s="39">
        <f>IFERROR(IF('PRODUCTOS'!$G187&lt;&gt;"",'PRODUCTOS'!$J187,""),"")</f>
        <v/>
      </c>
      <c r="E187" s="39">
        <f>IFERROR(IF('PRODUCTOS'!$G187&lt;&gt;"",'PRODUCTOS'!$X187,""),"")</f>
        <v/>
      </c>
      <c r="F187" s="40">
        <f>IFERROR(IF('PRODUCTOS'!$G187&lt;&gt;"",'PRODUCTOS'!$AF187,""),"")</f>
        <v/>
      </c>
      <c r="G187" s="40">
        <f>IFERROR(IF('PRODUCTOS'!$G187&lt;&gt;"",'PRODUCTOS'!$AG187,""),"")</f>
        <v/>
      </c>
    </row>
    <row r="188">
      <c r="A188" s="39">
        <f>IFERROR(IF('PRODUCTOS'!$G188&lt;&gt;"",'PRODUCTOS'!$A188,""),"")</f>
        <v/>
      </c>
      <c r="B188" s="39">
        <f>IFERROR(IF('PRODUCTOS'!$G188&lt;&gt;"",'PRODUCTOS'!$G188,""),"")</f>
        <v/>
      </c>
      <c r="C188" s="39">
        <f>IFERROR(IF('PRODUCTOS'!$G188&lt;&gt;"",'PRODUCTOS'!$I188,""),"")</f>
        <v/>
      </c>
      <c r="D188" s="39">
        <f>IFERROR(IF('PRODUCTOS'!$G188&lt;&gt;"",'PRODUCTOS'!$J188,""),"")</f>
        <v/>
      </c>
      <c r="E188" s="39">
        <f>IFERROR(IF('PRODUCTOS'!$G188&lt;&gt;"",'PRODUCTOS'!$X188,""),"")</f>
        <v/>
      </c>
      <c r="F188" s="40">
        <f>IFERROR(IF('PRODUCTOS'!$G188&lt;&gt;"",'PRODUCTOS'!$AF188,""),"")</f>
        <v/>
      </c>
      <c r="G188" s="40">
        <f>IFERROR(IF('PRODUCTOS'!$G188&lt;&gt;"",'PRODUCTOS'!$AG188,""),"")</f>
        <v/>
      </c>
    </row>
    <row r="189">
      <c r="A189" s="39">
        <f>IFERROR(IF('PRODUCTOS'!$G189&lt;&gt;"",'PRODUCTOS'!$A189,""),"")</f>
        <v/>
      </c>
      <c r="B189" s="39">
        <f>IFERROR(IF('PRODUCTOS'!$G189&lt;&gt;"",'PRODUCTOS'!$G189,""),"")</f>
        <v/>
      </c>
      <c r="C189" s="39">
        <f>IFERROR(IF('PRODUCTOS'!$G189&lt;&gt;"",'PRODUCTOS'!$I189,""),"")</f>
        <v/>
      </c>
      <c r="D189" s="39">
        <f>IFERROR(IF('PRODUCTOS'!$G189&lt;&gt;"",'PRODUCTOS'!$J189,""),"")</f>
        <v/>
      </c>
      <c r="E189" s="39">
        <f>IFERROR(IF('PRODUCTOS'!$G189&lt;&gt;"",'PRODUCTOS'!$X189,""),"")</f>
        <v/>
      </c>
      <c r="F189" s="40">
        <f>IFERROR(IF('PRODUCTOS'!$G189&lt;&gt;"",'PRODUCTOS'!$AF189,""),"")</f>
        <v/>
      </c>
      <c r="G189" s="40">
        <f>IFERROR(IF('PRODUCTOS'!$G189&lt;&gt;"",'PRODUCTOS'!$AG189,""),"")</f>
        <v/>
      </c>
    </row>
    <row r="190">
      <c r="A190" s="39">
        <f>IFERROR(IF('PRODUCTOS'!$G190&lt;&gt;"",'PRODUCTOS'!$A190,""),"")</f>
        <v/>
      </c>
      <c r="B190" s="39">
        <f>IFERROR(IF('PRODUCTOS'!$G190&lt;&gt;"",'PRODUCTOS'!$G190,""),"")</f>
        <v/>
      </c>
      <c r="C190" s="39">
        <f>IFERROR(IF('PRODUCTOS'!$G190&lt;&gt;"",'PRODUCTOS'!$I190,""),"")</f>
        <v/>
      </c>
      <c r="D190" s="39">
        <f>IFERROR(IF('PRODUCTOS'!$G190&lt;&gt;"",'PRODUCTOS'!$J190,""),"")</f>
        <v/>
      </c>
      <c r="E190" s="39">
        <f>IFERROR(IF('PRODUCTOS'!$G190&lt;&gt;"",'PRODUCTOS'!$X190,""),"")</f>
        <v/>
      </c>
      <c r="F190" s="40">
        <f>IFERROR(IF('PRODUCTOS'!$G190&lt;&gt;"",'PRODUCTOS'!$AF190,""),"")</f>
        <v/>
      </c>
      <c r="G190" s="40">
        <f>IFERROR(IF('PRODUCTOS'!$G190&lt;&gt;"",'PRODUCTOS'!$AG190,""),"")</f>
        <v/>
      </c>
    </row>
    <row r="191">
      <c r="A191" s="39">
        <f>IFERROR(IF('PRODUCTOS'!$G191&lt;&gt;"",'PRODUCTOS'!$A191,""),"")</f>
        <v/>
      </c>
      <c r="B191" s="39">
        <f>IFERROR(IF('PRODUCTOS'!$G191&lt;&gt;"",'PRODUCTOS'!$G191,""),"")</f>
        <v/>
      </c>
      <c r="C191" s="39">
        <f>IFERROR(IF('PRODUCTOS'!$G191&lt;&gt;"",'PRODUCTOS'!$I191,""),"")</f>
        <v/>
      </c>
      <c r="D191" s="39">
        <f>IFERROR(IF('PRODUCTOS'!$G191&lt;&gt;"",'PRODUCTOS'!$J191,""),"")</f>
        <v/>
      </c>
      <c r="E191" s="39">
        <f>IFERROR(IF('PRODUCTOS'!$G191&lt;&gt;"",'PRODUCTOS'!$X191,""),"")</f>
        <v/>
      </c>
      <c r="F191" s="40">
        <f>IFERROR(IF('PRODUCTOS'!$G191&lt;&gt;"",'PRODUCTOS'!$AF191,""),"")</f>
        <v/>
      </c>
      <c r="G191" s="40">
        <f>IFERROR(IF('PRODUCTOS'!$G191&lt;&gt;"",'PRODUCTOS'!$AG191,""),"")</f>
        <v/>
      </c>
    </row>
    <row r="192">
      <c r="A192" s="39">
        <f>IFERROR(IF('PRODUCTOS'!$G192&lt;&gt;"",'PRODUCTOS'!$A192,""),"")</f>
        <v/>
      </c>
      <c r="B192" s="39">
        <f>IFERROR(IF('PRODUCTOS'!$G192&lt;&gt;"",'PRODUCTOS'!$G192,""),"")</f>
        <v/>
      </c>
      <c r="C192" s="39">
        <f>IFERROR(IF('PRODUCTOS'!$G192&lt;&gt;"",'PRODUCTOS'!$I192,""),"")</f>
        <v/>
      </c>
      <c r="D192" s="39">
        <f>IFERROR(IF('PRODUCTOS'!$G192&lt;&gt;"",'PRODUCTOS'!$J192,""),"")</f>
        <v/>
      </c>
      <c r="E192" s="39">
        <f>IFERROR(IF('PRODUCTOS'!$G192&lt;&gt;"",'PRODUCTOS'!$X192,""),"")</f>
        <v/>
      </c>
      <c r="F192" s="40">
        <f>IFERROR(IF('PRODUCTOS'!$G192&lt;&gt;"",'PRODUCTOS'!$AF192,""),"")</f>
        <v/>
      </c>
      <c r="G192" s="40">
        <f>IFERROR(IF('PRODUCTOS'!$G192&lt;&gt;"",'PRODUCTOS'!$AG192,""),"")</f>
        <v/>
      </c>
    </row>
    <row r="193">
      <c r="A193" s="39">
        <f>IFERROR(IF('PRODUCTOS'!$G193&lt;&gt;"",'PRODUCTOS'!$A193,""),"")</f>
        <v/>
      </c>
      <c r="B193" s="39">
        <f>IFERROR(IF('PRODUCTOS'!$G193&lt;&gt;"",'PRODUCTOS'!$G193,""),"")</f>
        <v/>
      </c>
      <c r="C193" s="39">
        <f>IFERROR(IF('PRODUCTOS'!$G193&lt;&gt;"",'PRODUCTOS'!$I193,""),"")</f>
        <v/>
      </c>
      <c r="D193" s="39">
        <f>IFERROR(IF('PRODUCTOS'!$G193&lt;&gt;"",'PRODUCTOS'!$J193,""),"")</f>
        <v/>
      </c>
      <c r="E193" s="39">
        <f>IFERROR(IF('PRODUCTOS'!$G193&lt;&gt;"",'PRODUCTOS'!$X193,""),"")</f>
        <v/>
      </c>
      <c r="F193" s="40">
        <f>IFERROR(IF('PRODUCTOS'!$G193&lt;&gt;"",'PRODUCTOS'!$AF193,""),"")</f>
        <v/>
      </c>
      <c r="G193" s="40">
        <f>IFERROR(IF('PRODUCTOS'!$G193&lt;&gt;"",'PRODUCTOS'!$AG193,""),"")</f>
        <v/>
      </c>
    </row>
    <row r="194">
      <c r="A194" s="39">
        <f>IFERROR(IF('PRODUCTOS'!$G194&lt;&gt;"",'PRODUCTOS'!$A194,""),"")</f>
        <v/>
      </c>
      <c r="B194" s="39">
        <f>IFERROR(IF('PRODUCTOS'!$G194&lt;&gt;"",'PRODUCTOS'!$G194,""),"")</f>
        <v/>
      </c>
      <c r="C194" s="39">
        <f>IFERROR(IF('PRODUCTOS'!$G194&lt;&gt;"",'PRODUCTOS'!$I194,""),"")</f>
        <v/>
      </c>
      <c r="D194" s="39">
        <f>IFERROR(IF('PRODUCTOS'!$G194&lt;&gt;"",'PRODUCTOS'!$J194,""),"")</f>
        <v/>
      </c>
      <c r="E194" s="39">
        <f>IFERROR(IF('PRODUCTOS'!$G194&lt;&gt;"",'PRODUCTOS'!$X194,""),"")</f>
        <v/>
      </c>
      <c r="F194" s="40">
        <f>IFERROR(IF('PRODUCTOS'!$G194&lt;&gt;"",'PRODUCTOS'!$AF194,""),"")</f>
        <v/>
      </c>
      <c r="G194" s="40">
        <f>IFERROR(IF('PRODUCTOS'!$G194&lt;&gt;"",'PRODUCTOS'!$AG194,""),"")</f>
        <v/>
      </c>
    </row>
    <row r="195">
      <c r="A195" s="39">
        <f>IFERROR(IF('PRODUCTOS'!$G195&lt;&gt;"",'PRODUCTOS'!$A195,""),"")</f>
        <v/>
      </c>
      <c r="B195" s="39">
        <f>IFERROR(IF('PRODUCTOS'!$G195&lt;&gt;"",'PRODUCTOS'!$G195,""),"")</f>
        <v/>
      </c>
      <c r="C195" s="39">
        <f>IFERROR(IF('PRODUCTOS'!$G195&lt;&gt;"",'PRODUCTOS'!$I195,""),"")</f>
        <v/>
      </c>
      <c r="D195" s="39">
        <f>IFERROR(IF('PRODUCTOS'!$G195&lt;&gt;"",'PRODUCTOS'!$J195,""),"")</f>
        <v/>
      </c>
      <c r="E195" s="39">
        <f>IFERROR(IF('PRODUCTOS'!$G195&lt;&gt;"",'PRODUCTOS'!$X195,""),"")</f>
        <v/>
      </c>
      <c r="F195" s="40">
        <f>IFERROR(IF('PRODUCTOS'!$G195&lt;&gt;"",'PRODUCTOS'!$AF195,""),"")</f>
        <v/>
      </c>
      <c r="G195" s="40">
        <f>IFERROR(IF('PRODUCTOS'!$G195&lt;&gt;"",'PRODUCTOS'!$AG195,""),"")</f>
        <v/>
      </c>
    </row>
    <row r="196">
      <c r="A196" s="39">
        <f>IFERROR(IF('PRODUCTOS'!$G196&lt;&gt;"",'PRODUCTOS'!$A196,""),"")</f>
        <v/>
      </c>
      <c r="B196" s="39">
        <f>IFERROR(IF('PRODUCTOS'!$G196&lt;&gt;"",'PRODUCTOS'!$G196,""),"")</f>
        <v/>
      </c>
      <c r="C196" s="39">
        <f>IFERROR(IF('PRODUCTOS'!$G196&lt;&gt;"",'PRODUCTOS'!$I196,""),"")</f>
        <v/>
      </c>
      <c r="D196" s="39">
        <f>IFERROR(IF('PRODUCTOS'!$G196&lt;&gt;"",'PRODUCTOS'!$J196,""),"")</f>
        <v/>
      </c>
      <c r="E196" s="39">
        <f>IFERROR(IF('PRODUCTOS'!$G196&lt;&gt;"",'PRODUCTOS'!$X196,""),"")</f>
        <v/>
      </c>
      <c r="F196" s="40">
        <f>IFERROR(IF('PRODUCTOS'!$G196&lt;&gt;"",'PRODUCTOS'!$AF196,""),"")</f>
        <v/>
      </c>
      <c r="G196" s="40">
        <f>IFERROR(IF('PRODUCTOS'!$G196&lt;&gt;"",'PRODUCTOS'!$AG196,""),"")</f>
        <v/>
      </c>
    </row>
    <row r="197">
      <c r="A197" s="39">
        <f>IFERROR(IF('PRODUCTOS'!$G197&lt;&gt;"",'PRODUCTOS'!$A197,""),"")</f>
        <v/>
      </c>
      <c r="B197" s="39">
        <f>IFERROR(IF('PRODUCTOS'!$G197&lt;&gt;"",'PRODUCTOS'!$G197,""),"")</f>
        <v/>
      </c>
      <c r="C197" s="39">
        <f>IFERROR(IF('PRODUCTOS'!$G197&lt;&gt;"",'PRODUCTOS'!$I197,""),"")</f>
        <v/>
      </c>
      <c r="D197" s="39">
        <f>IFERROR(IF('PRODUCTOS'!$G197&lt;&gt;"",'PRODUCTOS'!$J197,""),"")</f>
        <v/>
      </c>
      <c r="E197" s="39">
        <f>IFERROR(IF('PRODUCTOS'!$G197&lt;&gt;"",'PRODUCTOS'!$X197,""),"")</f>
        <v/>
      </c>
      <c r="F197" s="40">
        <f>IFERROR(IF('PRODUCTOS'!$G197&lt;&gt;"",'PRODUCTOS'!$AF197,""),"")</f>
        <v/>
      </c>
      <c r="G197" s="40">
        <f>IFERROR(IF('PRODUCTOS'!$G197&lt;&gt;"",'PRODUCTOS'!$AG197,""),"")</f>
        <v/>
      </c>
    </row>
    <row r="198">
      <c r="A198" s="39">
        <f>IFERROR(IF('PRODUCTOS'!$G198&lt;&gt;"",'PRODUCTOS'!$A198,""),"")</f>
        <v/>
      </c>
      <c r="B198" s="39">
        <f>IFERROR(IF('PRODUCTOS'!$G198&lt;&gt;"",'PRODUCTOS'!$G198,""),"")</f>
        <v/>
      </c>
      <c r="C198" s="39">
        <f>IFERROR(IF('PRODUCTOS'!$G198&lt;&gt;"",'PRODUCTOS'!$I198,""),"")</f>
        <v/>
      </c>
      <c r="D198" s="39">
        <f>IFERROR(IF('PRODUCTOS'!$G198&lt;&gt;"",'PRODUCTOS'!$J198,""),"")</f>
        <v/>
      </c>
      <c r="E198" s="39">
        <f>IFERROR(IF('PRODUCTOS'!$G198&lt;&gt;"",'PRODUCTOS'!$X198,""),"")</f>
        <v/>
      </c>
      <c r="F198" s="40">
        <f>IFERROR(IF('PRODUCTOS'!$G198&lt;&gt;"",'PRODUCTOS'!$AF198,""),"")</f>
        <v/>
      </c>
      <c r="G198" s="40">
        <f>IFERROR(IF('PRODUCTOS'!$G198&lt;&gt;"",'PRODUCTOS'!$AG198,""),"")</f>
        <v/>
      </c>
    </row>
    <row r="199">
      <c r="A199" s="39">
        <f>IFERROR(IF('PRODUCTOS'!$G199&lt;&gt;"",'PRODUCTOS'!$A199,""),"")</f>
        <v/>
      </c>
      <c r="B199" s="39">
        <f>IFERROR(IF('PRODUCTOS'!$G199&lt;&gt;"",'PRODUCTOS'!$G199,""),"")</f>
        <v/>
      </c>
      <c r="C199" s="39">
        <f>IFERROR(IF('PRODUCTOS'!$G199&lt;&gt;"",'PRODUCTOS'!$I199,""),"")</f>
        <v/>
      </c>
      <c r="D199" s="39">
        <f>IFERROR(IF('PRODUCTOS'!$G199&lt;&gt;"",'PRODUCTOS'!$J199,""),"")</f>
        <v/>
      </c>
      <c r="E199" s="39">
        <f>IFERROR(IF('PRODUCTOS'!$G199&lt;&gt;"",'PRODUCTOS'!$X199,""),"")</f>
        <v/>
      </c>
      <c r="F199" s="40">
        <f>IFERROR(IF('PRODUCTOS'!$G199&lt;&gt;"",'PRODUCTOS'!$AF199,""),"")</f>
        <v/>
      </c>
      <c r="G199" s="40">
        <f>IFERROR(IF('PRODUCTOS'!$G199&lt;&gt;"",'PRODUCTOS'!$AG199,""),"")</f>
        <v/>
      </c>
    </row>
    <row r="200">
      <c r="A200" s="39">
        <f>IFERROR(IF('PRODUCTOS'!$G200&lt;&gt;"",'PRODUCTOS'!$A200,""),"")</f>
        <v/>
      </c>
      <c r="B200" s="39">
        <f>IFERROR(IF('PRODUCTOS'!$G200&lt;&gt;"",'PRODUCTOS'!$G200,""),"")</f>
        <v/>
      </c>
      <c r="C200" s="39">
        <f>IFERROR(IF('PRODUCTOS'!$G200&lt;&gt;"",'PRODUCTOS'!$I200,""),"")</f>
        <v/>
      </c>
      <c r="D200" s="39">
        <f>IFERROR(IF('PRODUCTOS'!$G200&lt;&gt;"",'PRODUCTOS'!$J200,""),"")</f>
        <v/>
      </c>
      <c r="E200" s="39">
        <f>IFERROR(IF('PRODUCTOS'!$G200&lt;&gt;"",'PRODUCTOS'!$X200,""),"")</f>
        <v/>
      </c>
      <c r="F200" s="40">
        <f>IFERROR(IF('PRODUCTOS'!$G200&lt;&gt;"",'PRODUCTOS'!$AF200,""),"")</f>
        <v/>
      </c>
      <c r="G200" s="40">
        <f>IFERROR(IF('PRODUCTOS'!$G200&lt;&gt;"",'PRODUCTOS'!$AG200,""),"")</f>
        <v/>
      </c>
    </row>
    <row r="201">
      <c r="A201" s="39">
        <f>IFERROR(IF('PRODUCTOS'!$G201&lt;&gt;"",'PRODUCTOS'!$A201,""),"")</f>
        <v/>
      </c>
      <c r="B201" s="39">
        <f>IFERROR(IF('PRODUCTOS'!$G201&lt;&gt;"",'PRODUCTOS'!$G201,""),"")</f>
        <v/>
      </c>
      <c r="C201" s="39">
        <f>IFERROR(IF('PRODUCTOS'!$G201&lt;&gt;"",'PRODUCTOS'!$I201,""),"")</f>
        <v/>
      </c>
      <c r="D201" s="39">
        <f>IFERROR(IF('PRODUCTOS'!$G201&lt;&gt;"",'PRODUCTOS'!$J201,""),"")</f>
        <v/>
      </c>
      <c r="E201" s="39">
        <f>IFERROR(IF('PRODUCTOS'!$G201&lt;&gt;"",'PRODUCTOS'!$X201,""),"")</f>
        <v/>
      </c>
      <c r="F201" s="40">
        <f>IFERROR(IF('PRODUCTOS'!$G201&lt;&gt;"",'PRODUCTOS'!$AF201,""),"")</f>
        <v/>
      </c>
      <c r="G201" s="40">
        <f>IFERROR(IF('PRODUCTOS'!$G201&lt;&gt;"",'PRODUCTOS'!$AG201,""),"")</f>
        <v/>
      </c>
    </row>
    <row r="202">
      <c r="A202" s="39">
        <f>IFERROR(IF('PRODUCTOS'!$G202&lt;&gt;"",'PRODUCTOS'!$A202,""),"")</f>
        <v/>
      </c>
      <c r="B202" s="39">
        <f>IFERROR(IF('PRODUCTOS'!$G202&lt;&gt;"",'PRODUCTOS'!$G202,""),"")</f>
        <v/>
      </c>
      <c r="C202" s="39">
        <f>IFERROR(IF('PRODUCTOS'!$G202&lt;&gt;"",'PRODUCTOS'!$I202,""),"")</f>
        <v/>
      </c>
      <c r="D202" s="39">
        <f>IFERROR(IF('PRODUCTOS'!$G202&lt;&gt;"",'PRODUCTOS'!$J202,""),"")</f>
        <v/>
      </c>
      <c r="E202" s="39">
        <f>IFERROR(IF('PRODUCTOS'!$G202&lt;&gt;"",'PRODUCTOS'!$X202,""),"")</f>
        <v/>
      </c>
      <c r="F202" s="40">
        <f>IFERROR(IF('PRODUCTOS'!$G202&lt;&gt;"",'PRODUCTOS'!$AF202,""),"")</f>
        <v/>
      </c>
      <c r="G202" s="40">
        <f>IFERROR(IF('PRODUCTOS'!$G202&lt;&gt;"",'PRODUCTOS'!$AG202,""),"")</f>
        <v/>
      </c>
    </row>
    <row r="203">
      <c r="A203" s="39">
        <f>IFERROR(IF('PRODUCTOS'!$G203&lt;&gt;"",'PRODUCTOS'!$A203,""),"")</f>
        <v/>
      </c>
      <c r="B203" s="39">
        <f>IFERROR(IF('PRODUCTOS'!$G203&lt;&gt;"",'PRODUCTOS'!$G203,""),"")</f>
        <v/>
      </c>
      <c r="C203" s="39">
        <f>IFERROR(IF('PRODUCTOS'!$G203&lt;&gt;"",'PRODUCTOS'!$I203,""),"")</f>
        <v/>
      </c>
      <c r="D203" s="39">
        <f>IFERROR(IF('PRODUCTOS'!$G203&lt;&gt;"",'PRODUCTOS'!$J203,""),"")</f>
        <v/>
      </c>
      <c r="E203" s="39">
        <f>IFERROR(IF('PRODUCTOS'!$G203&lt;&gt;"",'PRODUCTOS'!$X203,""),"")</f>
        <v/>
      </c>
      <c r="F203" s="40">
        <f>IFERROR(IF('PRODUCTOS'!$G203&lt;&gt;"",'PRODUCTOS'!$AF203,""),"")</f>
        <v/>
      </c>
      <c r="G203" s="40">
        <f>IFERROR(IF('PRODUCTOS'!$G203&lt;&gt;"",'PRODUCTOS'!$AG203,""),"")</f>
        <v/>
      </c>
    </row>
    <row r="204">
      <c r="A204" s="39">
        <f>IFERROR(IF('PRODUCTOS'!$G204&lt;&gt;"",'PRODUCTOS'!$A204,""),"")</f>
        <v/>
      </c>
      <c r="B204" s="39">
        <f>IFERROR(IF('PRODUCTOS'!$G204&lt;&gt;"",'PRODUCTOS'!$G204,""),"")</f>
        <v/>
      </c>
      <c r="C204" s="39">
        <f>IFERROR(IF('PRODUCTOS'!$G204&lt;&gt;"",'PRODUCTOS'!$I204,""),"")</f>
        <v/>
      </c>
      <c r="D204" s="39">
        <f>IFERROR(IF('PRODUCTOS'!$G204&lt;&gt;"",'PRODUCTOS'!$J204,""),"")</f>
        <v/>
      </c>
      <c r="E204" s="39">
        <f>IFERROR(IF('PRODUCTOS'!$G204&lt;&gt;"",'PRODUCTOS'!$X204,""),"")</f>
        <v/>
      </c>
      <c r="F204" s="40">
        <f>IFERROR(IF('PRODUCTOS'!$G204&lt;&gt;"",'PRODUCTOS'!$AF204,""),"")</f>
        <v/>
      </c>
      <c r="G204" s="40">
        <f>IFERROR(IF('PRODUCTOS'!$G204&lt;&gt;"",'PRODUCTOS'!$AG204,""),"")</f>
        <v/>
      </c>
    </row>
    <row r="205">
      <c r="A205" s="39">
        <f>IFERROR(IF('PRODUCTOS'!$G205&lt;&gt;"",'PRODUCTOS'!$A205,""),"")</f>
        <v/>
      </c>
      <c r="B205" s="39">
        <f>IFERROR(IF('PRODUCTOS'!$G205&lt;&gt;"",'PRODUCTOS'!$G205,""),"")</f>
        <v/>
      </c>
      <c r="C205" s="39">
        <f>IFERROR(IF('PRODUCTOS'!$G205&lt;&gt;"",'PRODUCTOS'!$I205,""),"")</f>
        <v/>
      </c>
      <c r="D205" s="39">
        <f>IFERROR(IF('PRODUCTOS'!$G205&lt;&gt;"",'PRODUCTOS'!$J205,""),"")</f>
        <v/>
      </c>
      <c r="E205" s="39">
        <f>IFERROR(IF('PRODUCTOS'!$G205&lt;&gt;"",'PRODUCTOS'!$X205,""),"")</f>
        <v/>
      </c>
      <c r="F205" s="40">
        <f>IFERROR(IF('PRODUCTOS'!$G205&lt;&gt;"",'PRODUCTOS'!$AF205,""),"")</f>
        <v/>
      </c>
      <c r="G205" s="40">
        <f>IFERROR(IF('PRODUCTOS'!$G205&lt;&gt;"",'PRODUCTOS'!$AG205,""),"")</f>
        <v/>
      </c>
    </row>
    <row r="206">
      <c r="A206" s="39">
        <f>IFERROR(IF('PRODUCTOS'!$G206&lt;&gt;"",'PRODUCTOS'!$A206,""),"")</f>
        <v/>
      </c>
      <c r="B206" s="39">
        <f>IFERROR(IF('PRODUCTOS'!$G206&lt;&gt;"",'PRODUCTOS'!$G206,""),"")</f>
        <v/>
      </c>
      <c r="C206" s="39">
        <f>IFERROR(IF('PRODUCTOS'!$G206&lt;&gt;"",'PRODUCTOS'!$I206,""),"")</f>
        <v/>
      </c>
      <c r="D206" s="39">
        <f>IFERROR(IF('PRODUCTOS'!$G206&lt;&gt;"",'PRODUCTOS'!$J206,""),"")</f>
        <v/>
      </c>
      <c r="E206" s="39">
        <f>IFERROR(IF('PRODUCTOS'!$G206&lt;&gt;"",'PRODUCTOS'!$X206,""),"")</f>
        <v/>
      </c>
      <c r="F206" s="40">
        <f>IFERROR(IF('PRODUCTOS'!$G206&lt;&gt;"",'PRODUCTOS'!$AF206,""),"")</f>
        <v/>
      </c>
      <c r="G206" s="40">
        <f>IFERROR(IF('PRODUCTOS'!$G206&lt;&gt;"",'PRODUCTOS'!$AG206,""),"")</f>
        <v/>
      </c>
    </row>
    <row r="207">
      <c r="A207" s="39">
        <f>IFERROR(IF('PRODUCTOS'!$G207&lt;&gt;"",'PRODUCTOS'!$A207,""),"")</f>
        <v/>
      </c>
      <c r="B207" s="39">
        <f>IFERROR(IF('PRODUCTOS'!$G207&lt;&gt;"",'PRODUCTOS'!$G207,""),"")</f>
        <v/>
      </c>
      <c r="C207" s="39">
        <f>IFERROR(IF('PRODUCTOS'!$G207&lt;&gt;"",'PRODUCTOS'!$I207,""),"")</f>
        <v/>
      </c>
      <c r="D207" s="39">
        <f>IFERROR(IF('PRODUCTOS'!$G207&lt;&gt;"",'PRODUCTOS'!$J207,""),"")</f>
        <v/>
      </c>
      <c r="E207" s="39">
        <f>IFERROR(IF('PRODUCTOS'!$G207&lt;&gt;"",'PRODUCTOS'!$X207,""),"")</f>
        <v/>
      </c>
      <c r="F207" s="40">
        <f>IFERROR(IF('PRODUCTOS'!$G207&lt;&gt;"",'PRODUCTOS'!$AF207,""),"")</f>
        <v/>
      </c>
      <c r="G207" s="40">
        <f>IFERROR(IF('PRODUCTOS'!$G207&lt;&gt;"",'PRODUCTOS'!$AG207,""),"")</f>
        <v/>
      </c>
    </row>
    <row r="208">
      <c r="A208" s="39">
        <f>IFERROR(IF('PRODUCTOS'!$G208&lt;&gt;"",'PRODUCTOS'!$A208,""),"")</f>
        <v/>
      </c>
      <c r="B208" s="39">
        <f>IFERROR(IF('PRODUCTOS'!$G208&lt;&gt;"",'PRODUCTOS'!$G208,""),"")</f>
        <v/>
      </c>
      <c r="C208" s="39">
        <f>IFERROR(IF('PRODUCTOS'!$G208&lt;&gt;"",'PRODUCTOS'!$I208,""),"")</f>
        <v/>
      </c>
      <c r="D208" s="39">
        <f>IFERROR(IF('PRODUCTOS'!$G208&lt;&gt;"",'PRODUCTOS'!$J208,""),"")</f>
        <v/>
      </c>
      <c r="E208" s="39">
        <f>IFERROR(IF('PRODUCTOS'!$G208&lt;&gt;"",'PRODUCTOS'!$X208,""),"")</f>
        <v/>
      </c>
      <c r="F208" s="40">
        <f>IFERROR(IF('PRODUCTOS'!$G208&lt;&gt;"",'PRODUCTOS'!$AF208,""),"")</f>
        <v/>
      </c>
      <c r="G208" s="40">
        <f>IFERROR(IF('PRODUCTOS'!$G208&lt;&gt;"",'PRODUCTOS'!$AG208,""),"")</f>
        <v/>
      </c>
    </row>
    <row r="209">
      <c r="A209" s="39">
        <f>IFERROR(IF('PRODUCTOS'!$G209&lt;&gt;"",'PRODUCTOS'!$A209,""),"")</f>
        <v/>
      </c>
      <c r="B209" s="39">
        <f>IFERROR(IF('PRODUCTOS'!$G209&lt;&gt;"",'PRODUCTOS'!$G209,""),"")</f>
        <v/>
      </c>
      <c r="C209" s="39">
        <f>IFERROR(IF('PRODUCTOS'!$G209&lt;&gt;"",'PRODUCTOS'!$I209,""),"")</f>
        <v/>
      </c>
      <c r="D209" s="39">
        <f>IFERROR(IF('PRODUCTOS'!$G209&lt;&gt;"",'PRODUCTOS'!$J209,""),"")</f>
        <v/>
      </c>
      <c r="E209" s="39">
        <f>IFERROR(IF('PRODUCTOS'!$G209&lt;&gt;"",'PRODUCTOS'!$X209,""),"")</f>
        <v/>
      </c>
      <c r="F209" s="40">
        <f>IFERROR(IF('PRODUCTOS'!$G209&lt;&gt;"",'PRODUCTOS'!$AF209,""),"")</f>
        <v/>
      </c>
      <c r="G209" s="40">
        <f>IFERROR(IF('PRODUCTOS'!$G209&lt;&gt;"",'PRODUCTOS'!$AG209,""),"")</f>
        <v/>
      </c>
    </row>
    <row r="210">
      <c r="A210" s="39">
        <f>IFERROR(IF('PRODUCTOS'!$G210&lt;&gt;"",'PRODUCTOS'!$A210,""),"")</f>
        <v/>
      </c>
      <c r="B210" s="39">
        <f>IFERROR(IF('PRODUCTOS'!$G210&lt;&gt;"",'PRODUCTOS'!$G210,""),"")</f>
        <v/>
      </c>
      <c r="C210" s="39">
        <f>IFERROR(IF('PRODUCTOS'!$G210&lt;&gt;"",'PRODUCTOS'!$I210,""),"")</f>
        <v/>
      </c>
      <c r="D210" s="39">
        <f>IFERROR(IF('PRODUCTOS'!$G210&lt;&gt;"",'PRODUCTOS'!$J210,""),"")</f>
        <v/>
      </c>
      <c r="E210" s="39">
        <f>IFERROR(IF('PRODUCTOS'!$G210&lt;&gt;"",'PRODUCTOS'!$X210,""),"")</f>
        <v/>
      </c>
      <c r="F210" s="40">
        <f>IFERROR(IF('PRODUCTOS'!$G210&lt;&gt;"",'PRODUCTOS'!$AF210,""),"")</f>
        <v/>
      </c>
      <c r="G210" s="40">
        <f>IFERROR(IF('PRODUCTOS'!$G210&lt;&gt;"",'PRODUCTOS'!$AG210,""),"")</f>
        <v/>
      </c>
    </row>
    <row r="211">
      <c r="A211" s="39">
        <f>IFERROR(IF('PRODUCTOS'!$G211&lt;&gt;"",'PRODUCTOS'!$A211,""),"")</f>
        <v/>
      </c>
      <c r="B211" s="39">
        <f>IFERROR(IF('PRODUCTOS'!$G211&lt;&gt;"",'PRODUCTOS'!$G211,""),"")</f>
        <v/>
      </c>
      <c r="C211" s="39">
        <f>IFERROR(IF('PRODUCTOS'!$G211&lt;&gt;"",'PRODUCTOS'!$I211,""),"")</f>
        <v/>
      </c>
      <c r="D211" s="39">
        <f>IFERROR(IF('PRODUCTOS'!$G211&lt;&gt;"",'PRODUCTOS'!$J211,""),"")</f>
        <v/>
      </c>
      <c r="E211" s="39">
        <f>IFERROR(IF('PRODUCTOS'!$G211&lt;&gt;"",'PRODUCTOS'!$X211,""),"")</f>
        <v/>
      </c>
      <c r="F211" s="40">
        <f>IFERROR(IF('PRODUCTOS'!$G211&lt;&gt;"",'PRODUCTOS'!$AF211,""),"")</f>
        <v/>
      </c>
      <c r="G211" s="40">
        <f>IFERROR(IF('PRODUCTOS'!$G211&lt;&gt;"",'PRODUCTOS'!$AG211,""),"")</f>
        <v/>
      </c>
    </row>
    <row r="212">
      <c r="A212" s="39">
        <f>IFERROR(IF('PRODUCTOS'!$G212&lt;&gt;"",'PRODUCTOS'!$A212,""),"")</f>
        <v/>
      </c>
      <c r="B212" s="39">
        <f>IFERROR(IF('PRODUCTOS'!$G212&lt;&gt;"",'PRODUCTOS'!$G212,""),"")</f>
        <v/>
      </c>
      <c r="C212" s="39">
        <f>IFERROR(IF('PRODUCTOS'!$G212&lt;&gt;"",'PRODUCTOS'!$I212,""),"")</f>
        <v/>
      </c>
      <c r="D212" s="39">
        <f>IFERROR(IF('PRODUCTOS'!$G212&lt;&gt;"",'PRODUCTOS'!$J212,""),"")</f>
        <v/>
      </c>
      <c r="E212" s="39">
        <f>IFERROR(IF('PRODUCTOS'!$G212&lt;&gt;"",'PRODUCTOS'!$X212,""),"")</f>
        <v/>
      </c>
      <c r="F212" s="40">
        <f>IFERROR(IF('PRODUCTOS'!$G212&lt;&gt;"",'PRODUCTOS'!$AF212,""),"")</f>
        <v/>
      </c>
      <c r="G212" s="40">
        <f>IFERROR(IF('PRODUCTOS'!$G212&lt;&gt;"",'PRODUCTOS'!$AG212,""),"")</f>
        <v/>
      </c>
    </row>
    <row r="213">
      <c r="A213" s="39">
        <f>IFERROR(IF('PRODUCTOS'!$G213&lt;&gt;"",'PRODUCTOS'!$A213,""),"")</f>
        <v/>
      </c>
      <c r="B213" s="39">
        <f>IFERROR(IF('PRODUCTOS'!$G213&lt;&gt;"",'PRODUCTOS'!$G213,""),"")</f>
        <v/>
      </c>
      <c r="C213" s="39">
        <f>IFERROR(IF('PRODUCTOS'!$G213&lt;&gt;"",'PRODUCTOS'!$I213,""),"")</f>
        <v/>
      </c>
      <c r="D213" s="39">
        <f>IFERROR(IF('PRODUCTOS'!$G213&lt;&gt;"",'PRODUCTOS'!$J213,""),"")</f>
        <v/>
      </c>
      <c r="E213" s="39">
        <f>IFERROR(IF('PRODUCTOS'!$G213&lt;&gt;"",'PRODUCTOS'!$X213,""),"")</f>
        <v/>
      </c>
      <c r="F213" s="40">
        <f>IFERROR(IF('PRODUCTOS'!$G213&lt;&gt;"",'PRODUCTOS'!$AF213,""),"")</f>
        <v/>
      </c>
      <c r="G213" s="40">
        <f>IFERROR(IF('PRODUCTOS'!$G213&lt;&gt;"",'PRODUCTOS'!$AG213,""),"")</f>
        <v/>
      </c>
    </row>
    <row r="214">
      <c r="A214" s="39">
        <f>IFERROR(IF('PRODUCTOS'!$G214&lt;&gt;"",'PRODUCTOS'!$A214,""),"")</f>
        <v/>
      </c>
      <c r="B214" s="39">
        <f>IFERROR(IF('PRODUCTOS'!$G214&lt;&gt;"",'PRODUCTOS'!$G214,""),"")</f>
        <v/>
      </c>
      <c r="C214" s="39">
        <f>IFERROR(IF('PRODUCTOS'!$G214&lt;&gt;"",'PRODUCTOS'!$I214,""),"")</f>
        <v/>
      </c>
      <c r="D214" s="39">
        <f>IFERROR(IF('PRODUCTOS'!$G214&lt;&gt;"",'PRODUCTOS'!$J214,""),"")</f>
        <v/>
      </c>
      <c r="E214" s="39">
        <f>IFERROR(IF('PRODUCTOS'!$G214&lt;&gt;"",'PRODUCTOS'!$X214,""),"")</f>
        <v/>
      </c>
      <c r="F214" s="40">
        <f>IFERROR(IF('PRODUCTOS'!$G214&lt;&gt;"",'PRODUCTOS'!$AF214,""),"")</f>
        <v/>
      </c>
      <c r="G214" s="40">
        <f>IFERROR(IF('PRODUCTOS'!$G214&lt;&gt;"",'PRODUCTOS'!$AG214,""),"")</f>
        <v/>
      </c>
    </row>
    <row r="215">
      <c r="A215" s="39">
        <f>IFERROR(IF('PRODUCTOS'!$G215&lt;&gt;"",'PRODUCTOS'!$A215,""),"")</f>
        <v/>
      </c>
      <c r="B215" s="39">
        <f>IFERROR(IF('PRODUCTOS'!$G215&lt;&gt;"",'PRODUCTOS'!$G215,""),"")</f>
        <v/>
      </c>
      <c r="C215" s="39">
        <f>IFERROR(IF('PRODUCTOS'!$G215&lt;&gt;"",'PRODUCTOS'!$I215,""),"")</f>
        <v/>
      </c>
      <c r="D215" s="39">
        <f>IFERROR(IF('PRODUCTOS'!$G215&lt;&gt;"",'PRODUCTOS'!$J215,""),"")</f>
        <v/>
      </c>
      <c r="E215" s="39">
        <f>IFERROR(IF('PRODUCTOS'!$G215&lt;&gt;"",'PRODUCTOS'!$X215,""),"")</f>
        <v/>
      </c>
      <c r="F215" s="40">
        <f>IFERROR(IF('PRODUCTOS'!$G215&lt;&gt;"",'PRODUCTOS'!$AF215,""),"")</f>
        <v/>
      </c>
      <c r="G215" s="40">
        <f>IFERROR(IF('PRODUCTOS'!$G215&lt;&gt;"",'PRODUCTOS'!$AG215,""),"")</f>
        <v/>
      </c>
    </row>
    <row r="216">
      <c r="A216" s="39">
        <f>IFERROR(IF('PRODUCTOS'!$G216&lt;&gt;"",'PRODUCTOS'!$A216,""),"")</f>
        <v/>
      </c>
      <c r="B216" s="39">
        <f>IFERROR(IF('PRODUCTOS'!$G216&lt;&gt;"",'PRODUCTOS'!$G216,""),"")</f>
        <v/>
      </c>
      <c r="C216" s="39">
        <f>IFERROR(IF('PRODUCTOS'!$G216&lt;&gt;"",'PRODUCTOS'!$I216,""),"")</f>
        <v/>
      </c>
      <c r="D216" s="39">
        <f>IFERROR(IF('PRODUCTOS'!$G216&lt;&gt;"",'PRODUCTOS'!$J216,""),"")</f>
        <v/>
      </c>
      <c r="E216" s="39">
        <f>IFERROR(IF('PRODUCTOS'!$G216&lt;&gt;"",'PRODUCTOS'!$X216,""),"")</f>
        <v/>
      </c>
      <c r="F216" s="40">
        <f>IFERROR(IF('PRODUCTOS'!$G216&lt;&gt;"",'PRODUCTOS'!$AF216,""),"")</f>
        <v/>
      </c>
      <c r="G216" s="40">
        <f>IFERROR(IF('PRODUCTOS'!$G216&lt;&gt;"",'PRODUCTOS'!$AG216,""),"")</f>
        <v/>
      </c>
    </row>
    <row r="217">
      <c r="A217" s="39">
        <f>IFERROR(IF('PRODUCTOS'!$G217&lt;&gt;"",'PRODUCTOS'!$A217,""),"")</f>
        <v/>
      </c>
      <c r="B217" s="39">
        <f>IFERROR(IF('PRODUCTOS'!$G217&lt;&gt;"",'PRODUCTOS'!$G217,""),"")</f>
        <v/>
      </c>
      <c r="C217" s="39">
        <f>IFERROR(IF('PRODUCTOS'!$G217&lt;&gt;"",'PRODUCTOS'!$I217,""),"")</f>
        <v/>
      </c>
      <c r="D217" s="39">
        <f>IFERROR(IF('PRODUCTOS'!$G217&lt;&gt;"",'PRODUCTOS'!$J217,""),"")</f>
        <v/>
      </c>
      <c r="E217" s="39">
        <f>IFERROR(IF('PRODUCTOS'!$G217&lt;&gt;"",'PRODUCTOS'!$X217,""),"")</f>
        <v/>
      </c>
      <c r="F217" s="40">
        <f>IFERROR(IF('PRODUCTOS'!$G217&lt;&gt;"",'PRODUCTOS'!$AF217,""),"")</f>
        <v/>
      </c>
      <c r="G217" s="40">
        <f>IFERROR(IF('PRODUCTOS'!$G217&lt;&gt;"",'PRODUCTOS'!$AG217,""),"")</f>
        <v/>
      </c>
    </row>
    <row r="218">
      <c r="A218" s="39">
        <f>IFERROR(IF('PRODUCTOS'!$G218&lt;&gt;"",'PRODUCTOS'!$A218,""),"")</f>
        <v/>
      </c>
      <c r="B218" s="39">
        <f>IFERROR(IF('PRODUCTOS'!$G218&lt;&gt;"",'PRODUCTOS'!$G218,""),"")</f>
        <v/>
      </c>
      <c r="C218" s="39">
        <f>IFERROR(IF('PRODUCTOS'!$G218&lt;&gt;"",'PRODUCTOS'!$I218,""),"")</f>
        <v/>
      </c>
      <c r="D218" s="39">
        <f>IFERROR(IF('PRODUCTOS'!$G218&lt;&gt;"",'PRODUCTOS'!$J218,""),"")</f>
        <v/>
      </c>
      <c r="E218" s="39">
        <f>IFERROR(IF('PRODUCTOS'!$G218&lt;&gt;"",'PRODUCTOS'!$X218,""),"")</f>
        <v/>
      </c>
      <c r="F218" s="40">
        <f>IFERROR(IF('PRODUCTOS'!$G218&lt;&gt;"",'PRODUCTOS'!$AF218,""),"")</f>
        <v/>
      </c>
      <c r="G218" s="40">
        <f>IFERROR(IF('PRODUCTOS'!$G218&lt;&gt;"",'PRODUCTOS'!$AG218,""),"")</f>
        <v/>
      </c>
    </row>
    <row r="219">
      <c r="A219" s="39">
        <f>IFERROR(IF('PRODUCTOS'!$G219&lt;&gt;"",'PRODUCTOS'!$A219,""),"")</f>
        <v/>
      </c>
      <c r="B219" s="39">
        <f>IFERROR(IF('PRODUCTOS'!$G219&lt;&gt;"",'PRODUCTOS'!$G219,""),"")</f>
        <v/>
      </c>
      <c r="C219" s="39">
        <f>IFERROR(IF('PRODUCTOS'!$G219&lt;&gt;"",'PRODUCTOS'!$I219,""),"")</f>
        <v/>
      </c>
      <c r="D219" s="39">
        <f>IFERROR(IF('PRODUCTOS'!$G219&lt;&gt;"",'PRODUCTOS'!$J219,""),"")</f>
        <v/>
      </c>
      <c r="E219" s="39">
        <f>IFERROR(IF('PRODUCTOS'!$G219&lt;&gt;"",'PRODUCTOS'!$X219,""),"")</f>
        <v/>
      </c>
      <c r="F219" s="40">
        <f>IFERROR(IF('PRODUCTOS'!$G219&lt;&gt;"",'PRODUCTOS'!$AF219,""),"")</f>
        <v/>
      </c>
      <c r="G219" s="40">
        <f>IFERROR(IF('PRODUCTOS'!$G219&lt;&gt;"",'PRODUCTOS'!$AG219,""),"")</f>
        <v/>
      </c>
    </row>
    <row r="220">
      <c r="A220" s="39">
        <f>IFERROR(IF('PRODUCTOS'!$G220&lt;&gt;"",'PRODUCTOS'!$A220,""),"")</f>
        <v/>
      </c>
      <c r="B220" s="39">
        <f>IFERROR(IF('PRODUCTOS'!$G220&lt;&gt;"",'PRODUCTOS'!$G220,""),"")</f>
        <v/>
      </c>
      <c r="C220" s="39">
        <f>IFERROR(IF('PRODUCTOS'!$G220&lt;&gt;"",'PRODUCTOS'!$I220,""),"")</f>
        <v/>
      </c>
      <c r="D220" s="39">
        <f>IFERROR(IF('PRODUCTOS'!$G220&lt;&gt;"",'PRODUCTOS'!$J220,""),"")</f>
        <v/>
      </c>
      <c r="E220" s="39">
        <f>IFERROR(IF('PRODUCTOS'!$G220&lt;&gt;"",'PRODUCTOS'!$X220,""),"")</f>
        <v/>
      </c>
      <c r="F220" s="40">
        <f>IFERROR(IF('PRODUCTOS'!$G220&lt;&gt;"",'PRODUCTOS'!$AF220,""),"")</f>
        <v/>
      </c>
      <c r="G220" s="40">
        <f>IFERROR(IF('PRODUCTOS'!$G220&lt;&gt;"",'PRODUCTOS'!$AG220,""),"")</f>
        <v/>
      </c>
    </row>
    <row r="221">
      <c r="A221" s="39">
        <f>IFERROR(IF('PRODUCTOS'!$G221&lt;&gt;"",'PRODUCTOS'!$A221,""),"")</f>
        <v/>
      </c>
      <c r="B221" s="39">
        <f>IFERROR(IF('PRODUCTOS'!$G221&lt;&gt;"",'PRODUCTOS'!$G221,""),"")</f>
        <v/>
      </c>
      <c r="C221" s="39">
        <f>IFERROR(IF('PRODUCTOS'!$G221&lt;&gt;"",'PRODUCTOS'!$I221,""),"")</f>
        <v/>
      </c>
      <c r="D221" s="39">
        <f>IFERROR(IF('PRODUCTOS'!$G221&lt;&gt;"",'PRODUCTOS'!$J221,""),"")</f>
        <v/>
      </c>
      <c r="E221" s="39">
        <f>IFERROR(IF('PRODUCTOS'!$G221&lt;&gt;"",'PRODUCTOS'!$X221,""),"")</f>
        <v/>
      </c>
      <c r="F221" s="40">
        <f>IFERROR(IF('PRODUCTOS'!$G221&lt;&gt;"",'PRODUCTOS'!$AF221,""),"")</f>
        <v/>
      </c>
      <c r="G221" s="40">
        <f>IFERROR(IF('PRODUCTOS'!$G221&lt;&gt;"",'PRODUCTOS'!$AG221,""),"")</f>
        <v/>
      </c>
    </row>
    <row r="222">
      <c r="A222" s="39">
        <f>IFERROR(IF('PRODUCTOS'!$G222&lt;&gt;"",'PRODUCTOS'!$A222,""),"")</f>
        <v/>
      </c>
      <c r="B222" s="39">
        <f>IFERROR(IF('PRODUCTOS'!$G222&lt;&gt;"",'PRODUCTOS'!$G222,""),"")</f>
        <v/>
      </c>
      <c r="C222" s="39">
        <f>IFERROR(IF('PRODUCTOS'!$G222&lt;&gt;"",'PRODUCTOS'!$I222,""),"")</f>
        <v/>
      </c>
      <c r="D222" s="39">
        <f>IFERROR(IF('PRODUCTOS'!$G222&lt;&gt;"",'PRODUCTOS'!$J222,""),"")</f>
        <v/>
      </c>
      <c r="E222" s="39">
        <f>IFERROR(IF('PRODUCTOS'!$G222&lt;&gt;"",'PRODUCTOS'!$X222,""),"")</f>
        <v/>
      </c>
      <c r="F222" s="40">
        <f>IFERROR(IF('PRODUCTOS'!$G222&lt;&gt;"",'PRODUCTOS'!$AF222,""),"")</f>
        <v/>
      </c>
      <c r="G222" s="40">
        <f>IFERROR(IF('PRODUCTOS'!$G222&lt;&gt;"",'PRODUCTOS'!$AG222,""),"")</f>
        <v/>
      </c>
    </row>
    <row r="223">
      <c r="A223" s="39">
        <f>IFERROR(IF('PRODUCTOS'!$G223&lt;&gt;"",'PRODUCTOS'!$A223,""),"")</f>
        <v/>
      </c>
      <c r="B223" s="39">
        <f>IFERROR(IF('PRODUCTOS'!$G223&lt;&gt;"",'PRODUCTOS'!$G223,""),"")</f>
        <v/>
      </c>
      <c r="C223" s="39">
        <f>IFERROR(IF('PRODUCTOS'!$G223&lt;&gt;"",'PRODUCTOS'!$I223,""),"")</f>
        <v/>
      </c>
      <c r="D223" s="39">
        <f>IFERROR(IF('PRODUCTOS'!$G223&lt;&gt;"",'PRODUCTOS'!$J223,""),"")</f>
        <v/>
      </c>
      <c r="E223" s="39">
        <f>IFERROR(IF('PRODUCTOS'!$G223&lt;&gt;"",'PRODUCTOS'!$X223,""),"")</f>
        <v/>
      </c>
      <c r="F223" s="40">
        <f>IFERROR(IF('PRODUCTOS'!$G223&lt;&gt;"",'PRODUCTOS'!$AF223,""),"")</f>
        <v/>
      </c>
      <c r="G223" s="40">
        <f>IFERROR(IF('PRODUCTOS'!$G223&lt;&gt;"",'PRODUCTOS'!$AG223,""),"")</f>
        <v/>
      </c>
    </row>
    <row r="224">
      <c r="A224" s="39">
        <f>IFERROR(IF('PRODUCTOS'!$G224&lt;&gt;"",'PRODUCTOS'!$A224,""),"")</f>
        <v/>
      </c>
      <c r="B224" s="39">
        <f>IFERROR(IF('PRODUCTOS'!$G224&lt;&gt;"",'PRODUCTOS'!$G224,""),"")</f>
        <v/>
      </c>
      <c r="C224" s="39">
        <f>IFERROR(IF('PRODUCTOS'!$G224&lt;&gt;"",'PRODUCTOS'!$I224,""),"")</f>
        <v/>
      </c>
      <c r="D224" s="39">
        <f>IFERROR(IF('PRODUCTOS'!$G224&lt;&gt;"",'PRODUCTOS'!$J224,""),"")</f>
        <v/>
      </c>
      <c r="E224" s="39">
        <f>IFERROR(IF('PRODUCTOS'!$G224&lt;&gt;"",'PRODUCTOS'!$X224,""),"")</f>
        <v/>
      </c>
      <c r="F224" s="40">
        <f>IFERROR(IF('PRODUCTOS'!$G224&lt;&gt;"",'PRODUCTOS'!$AF224,""),"")</f>
        <v/>
      </c>
      <c r="G224" s="40">
        <f>IFERROR(IF('PRODUCTOS'!$G224&lt;&gt;"",'PRODUCTOS'!$AG224,""),"")</f>
        <v/>
      </c>
    </row>
    <row r="225">
      <c r="A225" s="39">
        <f>IFERROR(IF('PRODUCTOS'!$G225&lt;&gt;"",'PRODUCTOS'!$A225,""),"")</f>
        <v/>
      </c>
      <c r="B225" s="39">
        <f>IFERROR(IF('PRODUCTOS'!$G225&lt;&gt;"",'PRODUCTOS'!$G225,""),"")</f>
        <v/>
      </c>
      <c r="C225" s="39">
        <f>IFERROR(IF('PRODUCTOS'!$G225&lt;&gt;"",'PRODUCTOS'!$I225,""),"")</f>
        <v/>
      </c>
      <c r="D225" s="39">
        <f>IFERROR(IF('PRODUCTOS'!$G225&lt;&gt;"",'PRODUCTOS'!$J225,""),"")</f>
        <v/>
      </c>
      <c r="E225" s="39">
        <f>IFERROR(IF('PRODUCTOS'!$G225&lt;&gt;"",'PRODUCTOS'!$X225,""),"")</f>
        <v/>
      </c>
      <c r="F225" s="40">
        <f>IFERROR(IF('PRODUCTOS'!$G225&lt;&gt;"",'PRODUCTOS'!$AF225,""),"")</f>
        <v/>
      </c>
      <c r="G225" s="40">
        <f>IFERROR(IF('PRODUCTOS'!$G225&lt;&gt;"",'PRODUCTOS'!$AG225,""),"")</f>
        <v/>
      </c>
    </row>
    <row r="226">
      <c r="A226" s="39">
        <f>IFERROR(IF('PRODUCTOS'!$G226&lt;&gt;"",'PRODUCTOS'!$A226,""),"")</f>
        <v/>
      </c>
      <c r="B226" s="39">
        <f>IFERROR(IF('PRODUCTOS'!$G226&lt;&gt;"",'PRODUCTOS'!$G226,""),"")</f>
        <v/>
      </c>
      <c r="C226" s="39">
        <f>IFERROR(IF('PRODUCTOS'!$G226&lt;&gt;"",'PRODUCTOS'!$I226,""),"")</f>
        <v/>
      </c>
      <c r="D226" s="39">
        <f>IFERROR(IF('PRODUCTOS'!$G226&lt;&gt;"",'PRODUCTOS'!$J226,""),"")</f>
        <v/>
      </c>
      <c r="E226" s="39">
        <f>IFERROR(IF('PRODUCTOS'!$G226&lt;&gt;"",'PRODUCTOS'!$X226,""),"")</f>
        <v/>
      </c>
      <c r="F226" s="40">
        <f>IFERROR(IF('PRODUCTOS'!$G226&lt;&gt;"",'PRODUCTOS'!$AF226,""),"")</f>
        <v/>
      </c>
      <c r="G226" s="40">
        <f>IFERROR(IF('PRODUCTOS'!$G226&lt;&gt;"",'PRODUCTOS'!$AG226,""),"")</f>
        <v/>
      </c>
    </row>
    <row r="227">
      <c r="A227" s="39">
        <f>IFERROR(IF('PRODUCTOS'!$G227&lt;&gt;"",'PRODUCTOS'!$A227,""),"")</f>
        <v/>
      </c>
      <c r="B227" s="39">
        <f>IFERROR(IF('PRODUCTOS'!$G227&lt;&gt;"",'PRODUCTOS'!$G227,""),"")</f>
        <v/>
      </c>
      <c r="C227" s="39">
        <f>IFERROR(IF('PRODUCTOS'!$G227&lt;&gt;"",'PRODUCTOS'!$I227,""),"")</f>
        <v/>
      </c>
      <c r="D227" s="39">
        <f>IFERROR(IF('PRODUCTOS'!$G227&lt;&gt;"",'PRODUCTOS'!$J227,""),"")</f>
        <v/>
      </c>
      <c r="E227" s="39">
        <f>IFERROR(IF('PRODUCTOS'!$G227&lt;&gt;"",'PRODUCTOS'!$X227,""),"")</f>
        <v/>
      </c>
      <c r="F227" s="40">
        <f>IFERROR(IF('PRODUCTOS'!$G227&lt;&gt;"",'PRODUCTOS'!$AF227,""),"")</f>
        <v/>
      </c>
      <c r="G227" s="40">
        <f>IFERROR(IF('PRODUCTOS'!$G227&lt;&gt;"",'PRODUCTOS'!$AG227,""),"")</f>
        <v/>
      </c>
    </row>
    <row r="228">
      <c r="A228" s="39">
        <f>IFERROR(IF('PRODUCTOS'!$G228&lt;&gt;"",'PRODUCTOS'!$A228,""),"")</f>
        <v/>
      </c>
      <c r="B228" s="39">
        <f>IFERROR(IF('PRODUCTOS'!$G228&lt;&gt;"",'PRODUCTOS'!$G228,""),"")</f>
        <v/>
      </c>
      <c r="C228" s="39">
        <f>IFERROR(IF('PRODUCTOS'!$G228&lt;&gt;"",'PRODUCTOS'!$I228,""),"")</f>
        <v/>
      </c>
      <c r="D228" s="39">
        <f>IFERROR(IF('PRODUCTOS'!$G228&lt;&gt;"",'PRODUCTOS'!$J228,""),"")</f>
        <v/>
      </c>
      <c r="E228" s="39">
        <f>IFERROR(IF('PRODUCTOS'!$G228&lt;&gt;"",'PRODUCTOS'!$X228,""),"")</f>
        <v/>
      </c>
      <c r="F228" s="40">
        <f>IFERROR(IF('PRODUCTOS'!$G228&lt;&gt;"",'PRODUCTOS'!$AF228,""),"")</f>
        <v/>
      </c>
      <c r="G228" s="40">
        <f>IFERROR(IF('PRODUCTOS'!$G228&lt;&gt;"",'PRODUCTOS'!$AG228,""),"")</f>
        <v/>
      </c>
    </row>
    <row r="229">
      <c r="A229" s="39">
        <f>IFERROR(IF('PRODUCTOS'!$G229&lt;&gt;"",'PRODUCTOS'!$A229,""),"")</f>
        <v/>
      </c>
      <c r="B229" s="39">
        <f>IFERROR(IF('PRODUCTOS'!$G229&lt;&gt;"",'PRODUCTOS'!$G229,""),"")</f>
        <v/>
      </c>
      <c r="C229" s="39">
        <f>IFERROR(IF('PRODUCTOS'!$G229&lt;&gt;"",'PRODUCTOS'!$I229,""),"")</f>
        <v/>
      </c>
      <c r="D229" s="39">
        <f>IFERROR(IF('PRODUCTOS'!$G229&lt;&gt;"",'PRODUCTOS'!$J229,""),"")</f>
        <v/>
      </c>
      <c r="E229" s="39">
        <f>IFERROR(IF('PRODUCTOS'!$G229&lt;&gt;"",'PRODUCTOS'!$X229,""),"")</f>
        <v/>
      </c>
      <c r="F229" s="40">
        <f>IFERROR(IF('PRODUCTOS'!$G229&lt;&gt;"",'PRODUCTOS'!$AF229,""),"")</f>
        <v/>
      </c>
      <c r="G229" s="40">
        <f>IFERROR(IF('PRODUCTOS'!$G229&lt;&gt;"",'PRODUCTOS'!$AG229,""),"")</f>
        <v/>
      </c>
    </row>
    <row r="230">
      <c r="A230" s="39">
        <f>IFERROR(IF('PRODUCTOS'!$G230&lt;&gt;"",'PRODUCTOS'!$A230,""),"")</f>
        <v/>
      </c>
      <c r="B230" s="39">
        <f>IFERROR(IF('PRODUCTOS'!$G230&lt;&gt;"",'PRODUCTOS'!$G230,""),"")</f>
        <v/>
      </c>
      <c r="C230" s="39">
        <f>IFERROR(IF('PRODUCTOS'!$G230&lt;&gt;"",'PRODUCTOS'!$I230,""),"")</f>
        <v/>
      </c>
      <c r="D230" s="39">
        <f>IFERROR(IF('PRODUCTOS'!$G230&lt;&gt;"",'PRODUCTOS'!$J230,""),"")</f>
        <v/>
      </c>
      <c r="E230" s="39">
        <f>IFERROR(IF('PRODUCTOS'!$G230&lt;&gt;"",'PRODUCTOS'!$X230,""),"")</f>
        <v/>
      </c>
      <c r="F230" s="40">
        <f>IFERROR(IF('PRODUCTOS'!$G230&lt;&gt;"",'PRODUCTOS'!$AF230,""),"")</f>
        <v/>
      </c>
      <c r="G230" s="40">
        <f>IFERROR(IF('PRODUCTOS'!$G230&lt;&gt;"",'PRODUCTOS'!$AG230,""),"")</f>
        <v/>
      </c>
    </row>
    <row r="231">
      <c r="A231" s="39">
        <f>IFERROR(IF('PRODUCTOS'!$G231&lt;&gt;"",'PRODUCTOS'!$A231,""),"")</f>
        <v/>
      </c>
      <c r="B231" s="39">
        <f>IFERROR(IF('PRODUCTOS'!$G231&lt;&gt;"",'PRODUCTOS'!$G231,""),"")</f>
        <v/>
      </c>
      <c r="C231" s="39">
        <f>IFERROR(IF('PRODUCTOS'!$G231&lt;&gt;"",'PRODUCTOS'!$I231,""),"")</f>
        <v/>
      </c>
      <c r="D231" s="39">
        <f>IFERROR(IF('PRODUCTOS'!$G231&lt;&gt;"",'PRODUCTOS'!$J231,""),"")</f>
        <v/>
      </c>
      <c r="E231" s="39">
        <f>IFERROR(IF('PRODUCTOS'!$G231&lt;&gt;"",'PRODUCTOS'!$X231,""),"")</f>
        <v/>
      </c>
      <c r="F231" s="40">
        <f>IFERROR(IF('PRODUCTOS'!$G231&lt;&gt;"",'PRODUCTOS'!$AF231,""),"")</f>
        <v/>
      </c>
      <c r="G231" s="40">
        <f>IFERROR(IF('PRODUCTOS'!$G231&lt;&gt;"",'PRODUCTOS'!$AG231,""),"")</f>
        <v/>
      </c>
    </row>
    <row r="232">
      <c r="A232" s="39">
        <f>IFERROR(IF('PRODUCTOS'!$G232&lt;&gt;"",'PRODUCTOS'!$A232,""),"")</f>
        <v/>
      </c>
      <c r="B232" s="39">
        <f>IFERROR(IF('PRODUCTOS'!$G232&lt;&gt;"",'PRODUCTOS'!$G232,""),"")</f>
        <v/>
      </c>
      <c r="C232" s="39">
        <f>IFERROR(IF('PRODUCTOS'!$G232&lt;&gt;"",'PRODUCTOS'!$I232,""),"")</f>
        <v/>
      </c>
      <c r="D232" s="39">
        <f>IFERROR(IF('PRODUCTOS'!$G232&lt;&gt;"",'PRODUCTOS'!$J232,""),"")</f>
        <v/>
      </c>
      <c r="E232" s="39">
        <f>IFERROR(IF('PRODUCTOS'!$G232&lt;&gt;"",'PRODUCTOS'!$X232,""),"")</f>
        <v/>
      </c>
      <c r="F232" s="40">
        <f>IFERROR(IF('PRODUCTOS'!$G232&lt;&gt;"",'PRODUCTOS'!$AF232,""),"")</f>
        <v/>
      </c>
      <c r="G232" s="40">
        <f>IFERROR(IF('PRODUCTOS'!$G232&lt;&gt;"",'PRODUCTOS'!$AG232,""),"")</f>
        <v/>
      </c>
    </row>
    <row r="233">
      <c r="A233" s="39">
        <f>IFERROR(IF('PRODUCTOS'!$G233&lt;&gt;"",'PRODUCTOS'!$A233,""),"")</f>
        <v/>
      </c>
      <c r="B233" s="39">
        <f>IFERROR(IF('PRODUCTOS'!$G233&lt;&gt;"",'PRODUCTOS'!$G233,""),"")</f>
        <v/>
      </c>
      <c r="C233" s="39">
        <f>IFERROR(IF('PRODUCTOS'!$G233&lt;&gt;"",'PRODUCTOS'!$I233,""),"")</f>
        <v/>
      </c>
      <c r="D233" s="39">
        <f>IFERROR(IF('PRODUCTOS'!$G233&lt;&gt;"",'PRODUCTOS'!$J233,""),"")</f>
        <v/>
      </c>
      <c r="E233" s="39">
        <f>IFERROR(IF('PRODUCTOS'!$G233&lt;&gt;"",'PRODUCTOS'!$X233,""),"")</f>
        <v/>
      </c>
      <c r="F233" s="40">
        <f>IFERROR(IF('PRODUCTOS'!$G233&lt;&gt;"",'PRODUCTOS'!$AF233,""),"")</f>
        <v/>
      </c>
      <c r="G233" s="40">
        <f>IFERROR(IF('PRODUCTOS'!$G233&lt;&gt;"",'PRODUCTOS'!$AG233,""),"")</f>
        <v/>
      </c>
    </row>
    <row r="234">
      <c r="A234" s="39">
        <f>IFERROR(IF('PRODUCTOS'!$G234&lt;&gt;"",'PRODUCTOS'!$A234,""),"")</f>
        <v/>
      </c>
      <c r="B234" s="39">
        <f>IFERROR(IF('PRODUCTOS'!$G234&lt;&gt;"",'PRODUCTOS'!$G234,""),"")</f>
        <v/>
      </c>
      <c r="C234" s="39">
        <f>IFERROR(IF('PRODUCTOS'!$G234&lt;&gt;"",'PRODUCTOS'!$I234,""),"")</f>
        <v/>
      </c>
      <c r="D234" s="39">
        <f>IFERROR(IF('PRODUCTOS'!$G234&lt;&gt;"",'PRODUCTOS'!$J234,""),"")</f>
        <v/>
      </c>
      <c r="E234" s="39">
        <f>IFERROR(IF('PRODUCTOS'!$G234&lt;&gt;"",'PRODUCTOS'!$X234,""),"")</f>
        <v/>
      </c>
      <c r="F234" s="40">
        <f>IFERROR(IF('PRODUCTOS'!$G234&lt;&gt;"",'PRODUCTOS'!$AF234,""),"")</f>
        <v/>
      </c>
      <c r="G234" s="40">
        <f>IFERROR(IF('PRODUCTOS'!$G234&lt;&gt;"",'PRODUCTOS'!$AG234,""),"")</f>
        <v/>
      </c>
    </row>
    <row r="235">
      <c r="A235" s="39">
        <f>IFERROR(IF('PRODUCTOS'!$G235&lt;&gt;"",'PRODUCTOS'!$A235,""),"")</f>
        <v/>
      </c>
      <c r="B235" s="39">
        <f>IFERROR(IF('PRODUCTOS'!$G235&lt;&gt;"",'PRODUCTOS'!$G235,""),"")</f>
        <v/>
      </c>
      <c r="C235" s="39">
        <f>IFERROR(IF('PRODUCTOS'!$G235&lt;&gt;"",'PRODUCTOS'!$I235,""),"")</f>
        <v/>
      </c>
      <c r="D235" s="39">
        <f>IFERROR(IF('PRODUCTOS'!$G235&lt;&gt;"",'PRODUCTOS'!$J235,""),"")</f>
        <v/>
      </c>
      <c r="E235" s="39">
        <f>IFERROR(IF('PRODUCTOS'!$G235&lt;&gt;"",'PRODUCTOS'!$X235,""),"")</f>
        <v/>
      </c>
      <c r="F235" s="40">
        <f>IFERROR(IF('PRODUCTOS'!$G235&lt;&gt;"",'PRODUCTOS'!$AF235,""),"")</f>
        <v/>
      </c>
      <c r="G235" s="40">
        <f>IFERROR(IF('PRODUCTOS'!$G235&lt;&gt;"",'PRODUCTOS'!$AG235,""),"")</f>
        <v/>
      </c>
    </row>
    <row r="236">
      <c r="A236" s="39">
        <f>IFERROR(IF('PRODUCTOS'!$G236&lt;&gt;"",'PRODUCTOS'!$A236,""),"")</f>
        <v/>
      </c>
      <c r="B236" s="39">
        <f>IFERROR(IF('PRODUCTOS'!$G236&lt;&gt;"",'PRODUCTOS'!$G236,""),"")</f>
        <v/>
      </c>
      <c r="C236" s="39">
        <f>IFERROR(IF('PRODUCTOS'!$G236&lt;&gt;"",'PRODUCTOS'!$I236,""),"")</f>
        <v/>
      </c>
      <c r="D236" s="39">
        <f>IFERROR(IF('PRODUCTOS'!$G236&lt;&gt;"",'PRODUCTOS'!$J236,""),"")</f>
        <v/>
      </c>
      <c r="E236" s="39">
        <f>IFERROR(IF('PRODUCTOS'!$G236&lt;&gt;"",'PRODUCTOS'!$X236,""),"")</f>
        <v/>
      </c>
      <c r="F236" s="40">
        <f>IFERROR(IF('PRODUCTOS'!$G236&lt;&gt;"",'PRODUCTOS'!$AF236,""),"")</f>
        <v/>
      </c>
      <c r="G236" s="40">
        <f>IFERROR(IF('PRODUCTOS'!$G236&lt;&gt;"",'PRODUCTOS'!$AG236,""),"")</f>
        <v/>
      </c>
    </row>
    <row r="237">
      <c r="A237" s="39">
        <f>IFERROR(IF('PRODUCTOS'!$G237&lt;&gt;"",'PRODUCTOS'!$A237,""),"")</f>
        <v/>
      </c>
      <c r="B237" s="39">
        <f>IFERROR(IF('PRODUCTOS'!$G237&lt;&gt;"",'PRODUCTOS'!$G237,""),"")</f>
        <v/>
      </c>
      <c r="C237" s="39">
        <f>IFERROR(IF('PRODUCTOS'!$G237&lt;&gt;"",'PRODUCTOS'!$I237,""),"")</f>
        <v/>
      </c>
      <c r="D237" s="39">
        <f>IFERROR(IF('PRODUCTOS'!$G237&lt;&gt;"",'PRODUCTOS'!$J237,""),"")</f>
        <v/>
      </c>
      <c r="E237" s="39">
        <f>IFERROR(IF('PRODUCTOS'!$G237&lt;&gt;"",'PRODUCTOS'!$X237,""),"")</f>
        <v/>
      </c>
      <c r="F237" s="40">
        <f>IFERROR(IF('PRODUCTOS'!$G237&lt;&gt;"",'PRODUCTOS'!$AF237,""),"")</f>
        <v/>
      </c>
      <c r="G237" s="40">
        <f>IFERROR(IF('PRODUCTOS'!$G237&lt;&gt;"",'PRODUCTOS'!$AG237,""),"")</f>
        <v/>
      </c>
    </row>
    <row r="238">
      <c r="A238" s="39">
        <f>IFERROR(IF('PRODUCTOS'!$G238&lt;&gt;"",'PRODUCTOS'!$A238,""),"")</f>
        <v/>
      </c>
      <c r="B238" s="39">
        <f>IFERROR(IF('PRODUCTOS'!$G238&lt;&gt;"",'PRODUCTOS'!$G238,""),"")</f>
        <v/>
      </c>
      <c r="C238" s="39">
        <f>IFERROR(IF('PRODUCTOS'!$G238&lt;&gt;"",'PRODUCTOS'!$I238,""),"")</f>
        <v/>
      </c>
      <c r="D238" s="39">
        <f>IFERROR(IF('PRODUCTOS'!$G238&lt;&gt;"",'PRODUCTOS'!$J238,""),"")</f>
        <v/>
      </c>
      <c r="E238" s="39">
        <f>IFERROR(IF('PRODUCTOS'!$G238&lt;&gt;"",'PRODUCTOS'!$X238,""),"")</f>
        <v/>
      </c>
      <c r="F238" s="40">
        <f>IFERROR(IF('PRODUCTOS'!$G238&lt;&gt;"",'PRODUCTOS'!$AF238,""),"")</f>
        <v/>
      </c>
      <c r="G238" s="40">
        <f>IFERROR(IF('PRODUCTOS'!$G238&lt;&gt;"",'PRODUCTOS'!$AG238,""),"")</f>
        <v/>
      </c>
    </row>
    <row r="239">
      <c r="A239" s="39">
        <f>IFERROR(IF('PRODUCTOS'!$G239&lt;&gt;"",'PRODUCTOS'!$A239,""),"")</f>
        <v/>
      </c>
      <c r="B239" s="39">
        <f>IFERROR(IF('PRODUCTOS'!$G239&lt;&gt;"",'PRODUCTOS'!$G239,""),"")</f>
        <v/>
      </c>
      <c r="C239" s="39">
        <f>IFERROR(IF('PRODUCTOS'!$G239&lt;&gt;"",'PRODUCTOS'!$I239,""),"")</f>
        <v/>
      </c>
      <c r="D239" s="39">
        <f>IFERROR(IF('PRODUCTOS'!$G239&lt;&gt;"",'PRODUCTOS'!$J239,""),"")</f>
        <v/>
      </c>
      <c r="E239" s="39">
        <f>IFERROR(IF('PRODUCTOS'!$G239&lt;&gt;"",'PRODUCTOS'!$X239,""),"")</f>
        <v/>
      </c>
      <c r="F239" s="40">
        <f>IFERROR(IF('PRODUCTOS'!$G239&lt;&gt;"",'PRODUCTOS'!$AF239,""),"")</f>
        <v/>
      </c>
      <c r="G239" s="40">
        <f>IFERROR(IF('PRODUCTOS'!$G239&lt;&gt;"",'PRODUCTOS'!$AG239,""),"")</f>
        <v/>
      </c>
    </row>
    <row r="240">
      <c r="A240" s="39">
        <f>IFERROR(IF('PRODUCTOS'!$G240&lt;&gt;"",'PRODUCTOS'!$A240,""),"")</f>
        <v/>
      </c>
      <c r="B240" s="39">
        <f>IFERROR(IF('PRODUCTOS'!$G240&lt;&gt;"",'PRODUCTOS'!$G240,""),"")</f>
        <v/>
      </c>
      <c r="C240" s="39">
        <f>IFERROR(IF('PRODUCTOS'!$G240&lt;&gt;"",'PRODUCTOS'!$I240,""),"")</f>
        <v/>
      </c>
      <c r="D240" s="39">
        <f>IFERROR(IF('PRODUCTOS'!$G240&lt;&gt;"",'PRODUCTOS'!$J240,""),"")</f>
        <v/>
      </c>
      <c r="E240" s="39">
        <f>IFERROR(IF('PRODUCTOS'!$G240&lt;&gt;"",'PRODUCTOS'!$X240,""),"")</f>
        <v/>
      </c>
      <c r="F240" s="40">
        <f>IFERROR(IF('PRODUCTOS'!$G240&lt;&gt;"",'PRODUCTOS'!$AF240,""),"")</f>
        <v/>
      </c>
      <c r="G240" s="40">
        <f>IFERROR(IF('PRODUCTOS'!$G240&lt;&gt;"",'PRODUCTOS'!$AG240,""),"")</f>
        <v/>
      </c>
    </row>
    <row r="241">
      <c r="A241" s="39">
        <f>IFERROR(IF('PRODUCTOS'!$G241&lt;&gt;"",'PRODUCTOS'!$A241,""),"")</f>
        <v/>
      </c>
      <c r="B241" s="39">
        <f>IFERROR(IF('PRODUCTOS'!$G241&lt;&gt;"",'PRODUCTOS'!$G241,""),"")</f>
        <v/>
      </c>
      <c r="C241" s="39">
        <f>IFERROR(IF('PRODUCTOS'!$G241&lt;&gt;"",'PRODUCTOS'!$I241,""),"")</f>
        <v/>
      </c>
      <c r="D241" s="39">
        <f>IFERROR(IF('PRODUCTOS'!$G241&lt;&gt;"",'PRODUCTOS'!$J241,""),"")</f>
        <v/>
      </c>
      <c r="E241" s="39">
        <f>IFERROR(IF('PRODUCTOS'!$G241&lt;&gt;"",'PRODUCTOS'!$X241,""),"")</f>
        <v/>
      </c>
      <c r="F241" s="40">
        <f>IFERROR(IF('PRODUCTOS'!$G241&lt;&gt;"",'PRODUCTOS'!$AF241,""),"")</f>
        <v/>
      </c>
      <c r="G241" s="40">
        <f>IFERROR(IF('PRODUCTOS'!$G241&lt;&gt;"",'PRODUCTOS'!$AG241,""),"")</f>
        <v/>
      </c>
    </row>
    <row r="242">
      <c r="A242" s="39">
        <f>IFERROR(IF('PRODUCTOS'!$G242&lt;&gt;"",'PRODUCTOS'!$A242,""),"")</f>
        <v/>
      </c>
      <c r="B242" s="39">
        <f>IFERROR(IF('PRODUCTOS'!$G242&lt;&gt;"",'PRODUCTOS'!$G242,""),"")</f>
        <v/>
      </c>
      <c r="C242" s="39">
        <f>IFERROR(IF('PRODUCTOS'!$G242&lt;&gt;"",'PRODUCTOS'!$I242,""),"")</f>
        <v/>
      </c>
      <c r="D242" s="39">
        <f>IFERROR(IF('PRODUCTOS'!$G242&lt;&gt;"",'PRODUCTOS'!$J242,""),"")</f>
        <v/>
      </c>
      <c r="E242" s="39">
        <f>IFERROR(IF('PRODUCTOS'!$G242&lt;&gt;"",'PRODUCTOS'!$X242,""),"")</f>
        <v/>
      </c>
      <c r="F242" s="40">
        <f>IFERROR(IF('PRODUCTOS'!$G242&lt;&gt;"",'PRODUCTOS'!$AF242,""),"")</f>
        <v/>
      </c>
      <c r="G242" s="40">
        <f>IFERROR(IF('PRODUCTOS'!$G242&lt;&gt;"",'PRODUCTOS'!$AG242,""),"")</f>
        <v/>
      </c>
    </row>
    <row r="243">
      <c r="A243" s="39">
        <f>IFERROR(IF('PRODUCTOS'!$G243&lt;&gt;"",'PRODUCTOS'!$A243,""),"")</f>
        <v/>
      </c>
      <c r="B243" s="39">
        <f>IFERROR(IF('PRODUCTOS'!$G243&lt;&gt;"",'PRODUCTOS'!$G243,""),"")</f>
        <v/>
      </c>
      <c r="C243" s="39">
        <f>IFERROR(IF('PRODUCTOS'!$G243&lt;&gt;"",'PRODUCTOS'!$I243,""),"")</f>
        <v/>
      </c>
      <c r="D243" s="39">
        <f>IFERROR(IF('PRODUCTOS'!$G243&lt;&gt;"",'PRODUCTOS'!$J243,""),"")</f>
        <v/>
      </c>
      <c r="E243" s="39">
        <f>IFERROR(IF('PRODUCTOS'!$G243&lt;&gt;"",'PRODUCTOS'!$X243,""),"")</f>
        <v/>
      </c>
      <c r="F243" s="40">
        <f>IFERROR(IF('PRODUCTOS'!$G243&lt;&gt;"",'PRODUCTOS'!$AF243,""),"")</f>
        <v/>
      </c>
      <c r="G243" s="40">
        <f>IFERROR(IF('PRODUCTOS'!$G243&lt;&gt;"",'PRODUCTOS'!$AG243,""),"")</f>
        <v/>
      </c>
    </row>
    <row r="244">
      <c r="A244" s="39">
        <f>IFERROR(IF('PRODUCTOS'!$G244&lt;&gt;"",'PRODUCTOS'!$A244,""),"")</f>
        <v/>
      </c>
      <c r="B244" s="39">
        <f>IFERROR(IF('PRODUCTOS'!$G244&lt;&gt;"",'PRODUCTOS'!$G244,""),"")</f>
        <v/>
      </c>
      <c r="C244" s="39">
        <f>IFERROR(IF('PRODUCTOS'!$G244&lt;&gt;"",'PRODUCTOS'!$I244,""),"")</f>
        <v/>
      </c>
      <c r="D244" s="39">
        <f>IFERROR(IF('PRODUCTOS'!$G244&lt;&gt;"",'PRODUCTOS'!$J244,""),"")</f>
        <v/>
      </c>
      <c r="E244" s="39">
        <f>IFERROR(IF('PRODUCTOS'!$G244&lt;&gt;"",'PRODUCTOS'!$X244,""),"")</f>
        <v/>
      </c>
      <c r="F244" s="40">
        <f>IFERROR(IF('PRODUCTOS'!$G244&lt;&gt;"",'PRODUCTOS'!$AF244,""),"")</f>
        <v/>
      </c>
      <c r="G244" s="40">
        <f>IFERROR(IF('PRODUCTOS'!$G244&lt;&gt;"",'PRODUCTOS'!$AG244,""),"")</f>
        <v/>
      </c>
    </row>
    <row r="245">
      <c r="A245" s="39">
        <f>IFERROR(IF('PRODUCTOS'!$G245&lt;&gt;"",'PRODUCTOS'!$A245,""),"")</f>
        <v/>
      </c>
      <c r="B245" s="39">
        <f>IFERROR(IF('PRODUCTOS'!$G245&lt;&gt;"",'PRODUCTOS'!$G245,""),"")</f>
        <v/>
      </c>
      <c r="C245" s="39">
        <f>IFERROR(IF('PRODUCTOS'!$G245&lt;&gt;"",'PRODUCTOS'!$I245,""),"")</f>
        <v/>
      </c>
      <c r="D245" s="39">
        <f>IFERROR(IF('PRODUCTOS'!$G245&lt;&gt;"",'PRODUCTOS'!$J245,""),"")</f>
        <v/>
      </c>
      <c r="E245" s="39">
        <f>IFERROR(IF('PRODUCTOS'!$G245&lt;&gt;"",'PRODUCTOS'!$X245,""),"")</f>
        <v/>
      </c>
      <c r="F245" s="40">
        <f>IFERROR(IF('PRODUCTOS'!$G245&lt;&gt;"",'PRODUCTOS'!$AF245,""),"")</f>
        <v/>
      </c>
      <c r="G245" s="40">
        <f>IFERROR(IF('PRODUCTOS'!$G245&lt;&gt;"",'PRODUCTOS'!$AG245,""),"")</f>
        <v/>
      </c>
    </row>
    <row r="246">
      <c r="A246" s="39">
        <f>IFERROR(IF('PRODUCTOS'!$G246&lt;&gt;"",'PRODUCTOS'!$A246,""),"")</f>
        <v/>
      </c>
      <c r="B246" s="39">
        <f>IFERROR(IF('PRODUCTOS'!$G246&lt;&gt;"",'PRODUCTOS'!$G246,""),"")</f>
        <v/>
      </c>
      <c r="C246" s="39">
        <f>IFERROR(IF('PRODUCTOS'!$G246&lt;&gt;"",'PRODUCTOS'!$I246,""),"")</f>
        <v/>
      </c>
      <c r="D246" s="39">
        <f>IFERROR(IF('PRODUCTOS'!$G246&lt;&gt;"",'PRODUCTOS'!$J246,""),"")</f>
        <v/>
      </c>
      <c r="E246" s="39">
        <f>IFERROR(IF('PRODUCTOS'!$G246&lt;&gt;"",'PRODUCTOS'!$X246,""),"")</f>
        <v/>
      </c>
      <c r="F246" s="40">
        <f>IFERROR(IF('PRODUCTOS'!$G246&lt;&gt;"",'PRODUCTOS'!$AF246,""),"")</f>
        <v/>
      </c>
      <c r="G246" s="40">
        <f>IFERROR(IF('PRODUCTOS'!$G246&lt;&gt;"",'PRODUCTOS'!$AG246,""),"")</f>
        <v/>
      </c>
    </row>
    <row r="247">
      <c r="A247" s="39">
        <f>IFERROR(IF('PRODUCTOS'!$G247&lt;&gt;"",'PRODUCTOS'!$A247,""),"")</f>
        <v/>
      </c>
      <c r="B247" s="39">
        <f>IFERROR(IF('PRODUCTOS'!$G247&lt;&gt;"",'PRODUCTOS'!$G247,""),"")</f>
        <v/>
      </c>
      <c r="C247" s="39">
        <f>IFERROR(IF('PRODUCTOS'!$G247&lt;&gt;"",'PRODUCTOS'!$I247,""),"")</f>
        <v/>
      </c>
      <c r="D247" s="39">
        <f>IFERROR(IF('PRODUCTOS'!$G247&lt;&gt;"",'PRODUCTOS'!$J247,""),"")</f>
        <v/>
      </c>
      <c r="E247" s="39">
        <f>IFERROR(IF('PRODUCTOS'!$G247&lt;&gt;"",'PRODUCTOS'!$X247,""),"")</f>
        <v/>
      </c>
      <c r="F247" s="40">
        <f>IFERROR(IF('PRODUCTOS'!$G247&lt;&gt;"",'PRODUCTOS'!$AF247,""),"")</f>
        <v/>
      </c>
      <c r="G247" s="40">
        <f>IFERROR(IF('PRODUCTOS'!$G247&lt;&gt;"",'PRODUCTOS'!$AG247,""),"")</f>
        <v/>
      </c>
    </row>
    <row r="248">
      <c r="A248" s="39">
        <f>IFERROR(IF('PRODUCTOS'!$G248&lt;&gt;"",'PRODUCTOS'!$A248,""),"")</f>
        <v/>
      </c>
      <c r="B248" s="39">
        <f>IFERROR(IF('PRODUCTOS'!$G248&lt;&gt;"",'PRODUCTOS'!$G248,""),"")</f>
        <v/>
      </c>
      <c r="C248" s="39">
        <f>IFERROR(IF('PRODUCTOS'!$G248&lt;&gt;"",'PRODUCTOS'!$I248,""),"")</f>
        <v/>
      </c>
      <c r="D248" s="39">
        <f>IFERROR(IF('PRODUCTOS'!$G248&lt;&gt;"",'PRODUCTOS'!$J248,""),"")</f>
        <v/>
      </c>
      <c r="E248" s="39">
        <f>IFERROR(IF('PRODUCTOS'!$G248&lt;&gt;"",'PRODUCTOS'!$X248,""),"")</f>
        <v/>
      </c>
      <c r="F248" s="40">
        <f>IFERROR(IF('PRODUCTOS'!$G248&lt;&gt;"",'PRODUCTOS'!$AF248,""),"")</f>
        <v/>
      </c>
      <c r="G248" s="40">
        <f>IFERROR(IF('PRODUCTOS'!$G248&lt;&gt;"",'PRODUCTOS'!$AG248,""),"")</f>
        <v/>
      </c>
    </row>
    <row r="249">
      <c r="A249" s="39">
        <f>IFERROR(IF('PRODUCTOS'!$G249&lt;&gt;"",'PRODUCTOS'!$A249,""),"")</f>
        <v/>
      </c>
      <c r="B249" s="39">
        <f>IFERROR(IF('PRODUCTOS'!$G249&lt;&gt;"",'PRODUCTOS'!$G249,""),"")</f>
        <v/>
      </c>
      <c r="C249" s="39">
        <f>IFERROR(IF('PRODUCTOS'!$G249&lt;&gt;"",'PRODUCTOS'!$I249,""),"")</f>
        <v/>
      </c>
      <c r="D249" s="39">
        <f>IFERROR(IF('PRODUCTOS'!$G249&lt;&gt;"",'PRODUCTOS'!$J249,""),"")</f>
        <v/>
      </c>
      <c r="E249" s="39">
        <f>IFERROR(IF('PRODUCTOS'!$G249&lt;&gt;"",'PRODUCTOS'!$X249,""),"")</f>
        <v/>
      </c>
      <c r="F249" s="40">
        <f>IFERROR(IF('PRODUCTOS'!$G249&lt;&gt;"",'PRODUCTOS'!$AF249,""),"")</f>
        <v/>
      </c>
      <c r="G249" s="40">
        <f>IFERROR(IF('PRODUCTOS'!$G249&lt;&gt;"",'PRODUCTOS'!$AG249,""),"")</f>
        <v/>
      </c>
    </row>
    <row r="250">
      <c r="A250" s="39">
        <f>IFERROR(IF('PRODUCTOS'!$G250&lt;&gt;"",'PRODUCTOS'!$A250,""),"")</f>
        <v/>
      </c>
      <c r="B250" s="39">
        <f>IFERROR(IF('PRODUCTOS'!$G250&lt;&gt;"",'PRODUCTOS'!$G250,""),"")</f>
        <v/>
      </c>
      <c r="C250" s="39">
        <f>IFERROR(IF('PRODUCTOS'!$G250&lt;&gt;"",'PRODUCTOS'!$I250,""),"")</f>
        <v/>
      </c>
      <c r="D250" s="39">
        <f>IFERROR(IF('PRODUCTOS'!$G250&lt;&gt;"",'PRODUCTOS'!$J250,""),"")</f>
        <v/>
      </c>
      <c r="E250" s="39">
        <f>IFERROR(IF('PRODUCTOS'!$G250&lt;&gt;"",'PRODUCTOS'!$X250,""),"")</f>
        <v/>
      </c>
      <c r="F250" s="40">
        <f>IFERROR(IF('PRODUCTOS'!$G250&lt;&gt;"",'PRODUCTOS'!$AF250,""),"")</f>
        <v/>
      </c>
      <c r="G250" s="40">
        <f>IFERROR(IF('PRODUCTOS'!$G250&lt;&gt;"",'PRODUCTOS'!$AG250,""),"")</f>
        <v/>
      </c>
    </row>
    <row r="251">
      <c r="A251" s="39">
        <f>IFERROR(IF('PRODUCTOS'!$G251&lt;&gt;"",'PRODUCTOS'!$A251,""),"")</f>
        <v/>
      </c>
      <c r="B251" s="39">
        <f>IFERROR(IF('PRODUCTOS'!$G251&lt;&gt;"",'PRODUCTOS'!$G251,""),"")</f>
        <v/>
      </c>
      <c r="C251" s="39">
        <f>IFERROR(IF('PRODUCTOS'!$G251&lt;&gt;"",'PRODUCTOS'!$I251,""),"")</f>
        <v/>
      </c>
      <c r="D251" s="39">
        <f>IFERROR(IF('PRODUCTOS'!$G251&lt;&gt;"",'PRODUCTOS'!$J251,""),"")</f>
        <v/>
      </c>
      <c r="E251" s="39">
        <f>IFERROR(IF('PRODUCTOS'!$G251&lt;&gt;"",'PRODUCTOS'!$X251,""),"")</f>
        <v/>
      </c>
      <c r="F251" s="40">
        <f>IFERROR(IF('PRODUCTOS'!$G251&lt;&gt;"",'PRODUCTOS'!$AF251,""),"")</f>
        <v/>
      </c>
      <c r="G251" s="40">
        <f>IFERROR(IF('PRODUCTOS'!$G251&lt;&gt;"",'PRODUCTOS'!$AG251,""),"")</f>
        <v/>
      </c>
    </row>
    <row r="252">
      <c r="A252" s="39">
        <f>IFERROR(IF('PRODUCTOS'!$G252&lt;&gt;"",'PRODUCTOS'!$A252,""),"")</f>
        <v/>
      </c>
      <c r="B252" s="39">
        <f>IFERROR(IF('PRODUCTOS'!$G252&lt;&gt;"",'PRODUCTOS'!$G252,""),"")</f>
        <v/>
      </c>
      <c r="C252" s="39">
        <f>IFERROR(IF('PRODUCTOS'!$G252&lt;&gt;"",'PRODUCTOS'!$I252,""),"")</f>
        <v/>
      </c>
      <c r="D252" s="39">
        <f>IFERROR(IF('PRODUCTOS'!$G252&lt;&gt;"",'PRODUCTOS'!$J252,""),"")</f>
        <v/>
      </c>
      <c r="E252" s="39">
        <f>IFERROR(IF('PRODUCTOS'!$G252&lt;&gt;"",'PRODUCTOS'!$X252,""),"")</f>
        <v/>
      </c>
      <c r="F252" s="40">
        <f>IFERROR(IF('PRODUCTOS'!$G252&lt;&gt;"",'PRODUCTOS'!$AF252,""),"")</f>
        <v/>
      </c>
      <c r="G252" s="40">
        <f>IFERROR(IF('PRODUCTOS'!$G252&lt;&gt;"",'PRODUCTOS'!$AG252,""),"")</f>
        <v/>
      </c>
    </row>
    <row r="253">
      <c r="A253" s="39">
        <f>IFERROR(IF('PRODUCTOS'!$G253&lt;&gt;"",'PRODUCTOS'!$A253,""),"")</f>
        <v/>
      </c>
      <c r="B253" s="39">
        <f>IFERROR(IF('PRODUCTOS'!$G253&lt;&gt;"",'PRODUCTOS'!$G253,""),"")</f>
        <v/>
      </c>
      <c r="C253" s="39">
        <f>IFERROR(IF('PRODUCTOS'!$G253&lt;&gt;"",'PRODUCTOS'!$I253,""),"")</f>
        <v/>
      </c>
      <c r="D253" s="39">
        <f>IFERROR(IF('PRODUCTOS'!$G253&lt;&gt;"",'PRODUCTOS'!$J253,""),"")</f>
        <v/>
      </c>
      <c r="E253" s="39">
        <f>IFERROR(IF('PRODUCTOS'!$G253&lt;&gt;"",'PRODUCTOS'!$X253,""),"")</f>
        <v/>
      </c>
      <c r="F253" s="40">
        <f>IFERROR(IF('PRODUCTOS'!$G253&lt;&gt;"",'PRODUCTOS'!$AF253,""),"")</f>
        <v/>
      </c>
      <c r="G253" s="40">
        <f>IFERROR(IF('PRODUCTOS'!$G253&lt;&gt;"",'PRODUCTOS'!$AG253,""),"")</f>
        <v/>
      </c>
    </row>
    <row r="254">
      <c r="A254" s="39">
        <f>IFERROR(IF('PRODUCTOS'!$G254&lt;&gt;"",'PRODUCTOS'!$A254,""),"")</f>
        <v/>
      </c>
      <c r="B254" s="39">
        <f>IFERROR(IF('PRODUCTOS'!$G254&lt;&gt;"",'PRODUCTOS'!$G254,""),"")</f>
        <v/>
      </c>
      <c r="C254" s="39">
        <f>IFERROR(IF('PRODUCTOS'!$G254&lt;&gt;"",'PRODUCTOS'!$I254,""),"")</f>
        <v/>
      </c>
      <c r="D254" s="39">
        <f>IFERROR(IF('PRODUCTOS'!$G254&lt;&gt;"",'PRODUCTOS'!$J254,""),"")</f>
        <v/>
      </c>
      <c r="E254" s="39">
        <f>IFERROR(IF('PRODUCTOS'!$G254&lt;&gt;"",'PRODUCTOS'!$X254,""),"")</f>
        <v/>
      </c>
      <c r="F254" s="40">
        <f>IFERROR(IF('PRODUCTOS'!$G254&lt;&gt;"",'PRODUCTOS'!$AF254,""),"")</f>
        <v/>
      </c>
      <c r="G254" s="40">
        <f>IFERROR(IF('PRODUCTOS'!$G254&lt;&gt;"",'PRODUCTOS'!$AG254,""),"")</f>
        <v/>
      </c>
    </row>
    <row r="255">
      <c r="A255" s="39">
        <f>IFERROR(IF('PRODUCTOS'!$G255&lt;&gt;"",'PRODUCTOS'!$A255,""),"")</f>
        <v/>
      </c>
      <c r="B255" s="39">
        <f>IFERROR(IF('PRODUCTOS'!$G255&lt;&gt;"",'PRODUCTOS'!$G255,""),"")</f>
        <v/>
      </c>
      <c r="C255" s="39">
        <f>IFERROR(IF('PRODUCTOS'!$G255&lt;&gt;"",'PRODUCTOS'!$I255,""),"")</f>
        <v/>
      </c>
      <c r="D255" s="39">
        <f>IFERROR(IF('PRODUCTOS'!$G255&lt;&gt;"",'PRODUCTOS'!$J255,""),"")</f>
        <v/>
      </c>
      <c r="E255" s="39">
        <f>IFERROR(IF('PRODUCTOS'!$G255&lt;&gt;"",'PRODUCTOS'!$X255,""),"")</f>
        <v/>
      </c>
      <c r="F255" s="40">
        <f>IFERROR(IF('PRODUCTOS'!$G255&lt;&gt;"",'PRODUCTOS'!$AF255,""),"")</f>
        <v/>
      </c>
      <c r="G255" s="40">
        <f>IFERROR(IF('PRODUCTOS'!$G255&lt;&gt;"",'PRODUCTOS'!$AG255,""),"")</f>
        <v/>
      </c>
    </row>
    <row r="256">
      <c r="A256" s="39">
        <f>IFERROR(IF('PRODUCTOS'!$G256&lt;&gt;"",'PRODUCTOS'!$A256,""),"")</f>
        <v/>
      </c>
      <c r="B256" s="39">
        <f>IFERROR(IF('PRODUCTOS'!$G256&lt;&gt;"",'PRODUCTOS'!$G256,""),"")</f>
        <v/>
      </c>
      <c r="C256" s="39">
        <f>IFERROR(IF('PRODUCTOS'!$G256&lt;&gt;"",'PRODUCTOS'!$I256,""),"")</f>
        <v/>
      </c>
      <c r="D256" s="39">
        <f>IFERROR(IF('PRODUCTOS'!$G256&lt;&gt;"",'PRODUCTOS'!$J256,""),"")</f>
        <v/>
      </c>
      <c r="E256" s="39">
        <f>IFERROR(IF('PRODUCTOS'!$G256&lt;&gt;"",'PRODUCTOS'!$X256,""),"")</f>
        <v/>
      </c>
      <c r="F256" s="40">
        <f>IFERROR(IF('PRODUCTOS'!$G256&lt;&gt;"",'PRODUCTOS'!$AF256,""),"")</f>
        <v/>
      </c>
      <c r="G256" s="40">
        <f>IFERROR(IF('PRODUCTOS'!$G256&lt;&gt;"",'PRODUCTOS'!$AG256,""),"")</f>
        <v/>
      </c>
    </row>
    <row r="257">
      <c r="A257" s="39">
        <f>IFERROR(IF('PRODUCTOS'!$G257&lt;&gt;"",'PRODUCTOS'!$A257,""),"")</f>
        <v/>
      </c>
      <c r="B257" s="39">
        <f>IFERROR(IF('PRODUCTOS'!$G257&lt;&gt;"",'PRODUCTOS'!$G257,""),"")</f>
        <v/>
      </c>
      <c r="C257" s="39">
        <f>IFERROR(IF('PRODUCTOS'!$G257&lt;&gt;"",'PRODUCTOS'!$I257,""),"")</f>
        <v/>
      </c>
      <c r="D257" s="39">
        <f>IFERROR(IF('PRODUCTOS'!$G257&lt;&gt;"",'PRODUCTOS'!$J257,""),"")</f>
        <v/>
      </c>
      <c r="E257" s="39">
        <f>IFERROR(IF('PRODUCTOS'!$G257&lt;&gt;"",'PRODUCTOS'!$X257,""),"")</f>
        <v/>
      </c>
      <c r="F257" s="40">
        <f>IFERROR(IF('PRODUCTOS'!$G257&lt;&gt;"",'PRODUCTOS'!$AF257,""),"")</f>
        <v/>
      </c>
      <c r="G257" s="40">
        <f>IFERROR(IF('PRODUCTOS'!$G257&lt;&gt;"",'PRODUCTOS'!$AG257,""),"")</f>
        <v/>
      </c>
    </row>
    <row r="258">
      <c r="A258" s="39">
        <f>IFERROR(IF('PRODUCTOS'!$G258&lt;&gt;"",'PRODUCTOS'!$A258,""),"")</f>
        <v/>
      </c>
      <c r="B258" s="39">
        <f>IFERROR(IF('PRODUCTOS'!$G258&lt;&gt;"",'PRODUCTOS'!$G258,""),"")</f>
        <v/>
      </c>
      <c r="C258" s="39">
        <f>IFERROR(IF('PRODUCTOS'!$G258&lt;&gt;"",'PRODUCTOS'!$I258,""),"")</f>
        <v/>
      </c>
      <c r="D258" s="39">
        <f>IFERROR(IF('PRODUCTOS'!$G258&lt;&gt;"",'PRODUCTOS'!$J258,""),"")</f>
        <v/>
      </c>
      <c r="E258" s="39">
        <f>IFERROR(IF('PRODUCTOS'!$G258&lt;&gt;"",'PRODUCTOS'!$X258,""),"")</f>
        <v/>
      </c>
      <c r="F258" s="40">
        <f>IFERROR(IF('PRODUCTOS'!$G258&lt;&gt;"",'PRODUCTOS'!$AF258,""),"")</f>
        <v/>
      </c>
      <c r="G258" s="40">
        <f>IFERROR(IF('PRODUCTOS'!$G258&lt;&gt;"",'PRODUCTOS'!$AG258,""),"")</f>
        <v/>
      </c>
    </row>
    <row r="259">
      <c r="A259" s="39">
        <f>IFERROR(IF('PRODUCTOS'!$G259&lt;&gt;"",'PRODUCTOS'!$A259,""),"")</f>
        <v/>
      </c>
      <c r="B259" s="39">
        <f>IFERROR(IF('PRODUCTOS'!$G259&lt;&gt;"",'PRODUCTOS'!$G259,""),"")</f>
        <v/>
      </c>
      <c r="C259" s="39">
        <f>IFERROR(IF('PRODUCTOS'!$G259&lt;&gt;"",'PRODUCTOS'!$I259,""),"")</f>
        <v/>
      </c>
      <c r="D259" s="39">
        <f>IFERROR(IF('PRODUCTOS'!$G259&lt;&gt;"",'PRODUCTOS'!$J259,""),"")</f>
        <v/>
      </c>
      <c r="E259" s="39">
        <f>IFERROR(IF('PRODUCTOS'!$G259&lt;&gt;"",'PRODUCTOS'!$X259,""),"")</f>
        <v/>
      </c>
      <c r="F259" s="40">
        <f>IFERROR(IF('PRODUCTOS'!$G259&lt;&gt;"",'PRODUCTOS'!$AF259,""),"")</f>
        <v/>
      </c>
      <c r="G259" s="40">
        <f>IFERROR(IF('PRODUCTOS'!$G259&lt;&gt;"",'PRODUCTOS'!$AG259,""),"")</f>
        <v/>
      </c>
    </row>
    <row r="260">
      <c r="A260" s="39">
        <f>IFERROR(IF('PRODUCTOS'!$G260&lt;&gt;"",'PRODUCTOS'!$A260,""),"")</f>
        <v/>
      </c>
      <c r="B260" s="39">
        <f>IFERROR(IF('PRODUCTOS'!$G260&lt;&gt;"",'PRODUCTOS'!$G260,""),"")</f>
        <v/>
      </c>
      <c r="C260" s="39">
        <f>IFERROR(IF('PRODUCTOS'!$G260&lt;&gt;"",'PRODUCTOS'!$I260,""),"")</f>
        <v/>
      </c>
      <c r="D260" s="39">
        <f>IFERROR(IF('PRODUCTOS'!$G260&lt;&gt;"",'PRODUCTOS'!$J260,""),"")</f>
        <v/>
      </c>
      <c r="E260" s="39">
        <f>IFERROR(IF('PRODUCTOS'!$G260&lt;&gt;"",'PRODUCTOS'!$X260,""),"")</f>
        <v/>
      </c>
      <c r="F260" s="40">
        <f>IFERROR(IF('PRODUCTOS'!$G260&lt;&gt;"",'PRODUCTOS'!$AF260,""),"")</f>
        <v/>
      </c>
      <c r="G260" s="40">
        <f>IFERROR(IF('PRODUCTOS'!$G260&lt;&gt;"",'PRODUCTOS'!$AG260,""),"")</f>
        <v/>
      </c>
    </row>
    <row r="261">
      <c r="A261" s="39">
        <f>IFERROR(IF('PRODUCTOS'!$G261&lt;&gt;"",'PRODUCTOS'!$A261,""),"")</f>
        <v/>
      </c>
      <c r="B261" s="39">
        <f>IFERROR(IF('PRODUCTOS'!$G261&lt;&gt;"",'PRODUCTOS'!$G261,""),"")</f>
        <v/>
      </c>
      <c r="C261" s="39">
        <f>IFERROR(IF('PRODUCTOS'!$G261&lt;&gt;"",'PRODUCTOS'!$I261,""),"")</f>
        <v/>
      </c>
      <c r="D261" s="39">
        <f>IFERROR(IF('PRODUCTOS'!$G261&lt;&gt;"",'PRODUCTOS'!$J261,""),"")</f>
        <v/>
      </c>
      <c r="E261" s="39">
        <f>IFERROR(IF('PRODUCTOS'!$G261&lt;&gt;"",'PRODUCTOS'!$X261,""),"")</f>
        <v/>
      </c>
      <c r="F261" s="40">
        <f>IFERROR(IF('PRODUCTOS'!$G261&lt;&gt;"",'PRODUCTOS'!$AF261,""),"")</f>
        <v/>
      </c>
      <c r="G261" s="40">
        <f>IFERROR(IF('PRODUCTOS'!$G261&lt;&gt;"",'PRODUCTOS'!$AG261,""),"")</f>
        <v/>
      </c>
    </row>
    <row r="262">
      <c r="A262" s="39">
        <f>IFERROR(IF('PRODUCTOS'!$G262&lt;&gt;"",'PRODUCTOS'!$A262,""),"")</f>
        <v/>
      </c>
      <c r="B262" s="39">
        <f>IFERROR(IF('PRODUCTOS'!$G262&lt;&gt;"",'PRODUCTOS'!$G262,""),"")</f>
        <v/>
      </c>
      <c r="C262" s="39">
        <f>IFERROR(IF('PRODUCTOS'!$G262&lt;&gt;"",'PRODUCTOS'!$I262,""),"")</f>
        <v/>
      </c>
      <c r="D262" s="39">
        <f>IFERROR(IF('PRODUCTOS'!$G262&lt;&gt;"",'PRODUCTOS'!$J262,""),"")</f>
        <v/>
      </c>
      <c r="E262" s="39">
        <f>IFERROR(IF('PRODUCTOS'!$G262&lt;&gt;"",'PRODUCTOS'!$X262,""),"")</f>
        <v/>
      </c>
      <c r="F262" s="40">
        <f>IFERROR(IF('PRODUCTOS'!$G262&lt;&gt;"",'PRODUCTOS'!$AF262,""),"")</f>
        <v/>
      </c>
      <c r="G262" s="40">
        <f>IFERROR(IF('PRODUCTOS'!$G262&lt;&gt;"",'PRODUCTOS'!$AG262,""),"")</f>
        <v/>
      </c>
    </row>
    <row r="263">
      <c r="A263" s="39">
        <f>IFERROR(IF('PRODUCTOS'!$G263&lt;&gt;"",'PRODUCTOS'!$A263,""),"")</f>
        <v/>
      </c>
      <c r="B263" s="39">
        <f>IFERROR(IF('PRODUCTOS'!$G263&lt;&gt;"",'PRODUCTOS'!$G263,""),"")</f>
        <v/>
      </c>
      <c r="C263" s="39">
        <f>IFERROR(IF('PRODUCTOS'!$G263&lt;&gt;"",'PRODUCTOS'!$I263,""),"")</f>
        <v/>
      </c>
      <c r="D263" s="39">
        <f>IFERROR(IF('PRODUCTOS'!$G263&lt;&gt;"",'PRODUCTOS'!$J263,""),"")</f>
        <v/>
      </c>
      <c r="E263" s="39">
        <f>IFERROR(IF('PRODUCTOS'!$G263&lt;&gt;"",'PRODUCTOS'!$X263,""),"")</f>
        <v/>
      </c>
      <c r="F263" s="40">
        <f>IFERROR(IF('PRODUCTOS'!$G263&lt;&gt;"",'PRODUCTOS'!$AF263,""),"")</f>
        <v/>
      </c>
      <c r="G263" s="40">
        <f>IFERROR(IF('PRODUCTOS'!$G263&lt;&gt;"",'PRODUCTOS'!$AG263,""),"")</f>
        <v/>
      </c>
    </row>
    <row r="264">
      <c r="A264" s="39">
        <f>IFERROR(IF('PRODUCTOS'!$G264&lt;&gt;"",'PRODUCTOS'!$A264,""),"")</f>
        <v/>
      </c>
      <c r="B264" s="39">
        <f>IFERROR(IF('PRODUCTOS'!$G264&lt;&gt;"",'PRODUCTOS'!$G264,""),"")</f>
        <v/>
      </c>
      <c r="C264" s="39">
        <f>IFERROR(IF('PRODUCTOS'!$G264&lt;&gt;"",'PRODUCTOS'!$I264,""),"")</f>
        <v/>
      </c>
      <c r="D264" s="39">
        <f>IFERROR(IF('PRODUCTOS'!$G264&lt;&gt;"",'PRODUCTOS'!$J264,""),"")</f>
        <v/>
      </c>
      <c r="E264" s="39">
        <f>IFERROR(IF('PRODUCTOS'!$G264&lt;&gt;"",'PRODUCTOS'!$X264,""),"")</f>
        <v/>
      </c>
      <c r="F264" s="40">
        <f>IFERROR(IF('PRODUCTOS'!$G264&lt;&gt;"",'PRODUCTOS'!$AF264,""),"")</f>
        <v/>
      </c>
      <c r="G264" s="40">
        <f>IFERROR(IF('PRODUCTOS'!$G264&lt;&gt;"",'PRODUCTOS'!$AG264,""),"")</f>
        <v/>
      </c>
    </row>
    <row r="265">
      <c r="A265" s="39">
        <f>IFERROR(IF('PRODUCTOS'!$G265&lt;&gt;"",'PRODUCTOS'!$A265,""),"")</f>
        <v/>
      </c>
      <c r="B265" s="39">
        <f>IFERROR(IF('PRODUCTOS'!$G265&lt;&gt;"",'PRODUCTOS'!$G265,""),"")</f>
        <v/>
      </c>
      <c r="C265" s="39">
        <f>IFERROR(IF('PRODUCTOS'!$G265&lt;&gt;"",'PRODUCTOS'!$I265,""),"")</f>
        <v/>
      </c>
      <c r="D265" s="39">
        <f>IFERROR(IF('PRODUCTOS'!$G265&lt;&gt;"",'PRODUCTOS'!$J265,""),"")</f>
        <v/>
      </c>
      <c r="E265" s="39">
        <f>IFERROR(IF('PRODUCTOS'!$G265&lt;&gt;"",'PRODUCTOS'!$X265,""),"")</f>
        <v/>
      </c>
      <c r="F265" s="40">
        <f>IFERROR(IF('PRODUCTOS'!$G265&lt;&gt;"",'PRODUCTOS'!$AF265,""),"")</f>
        <v/>
      </c>
      <c r="G265" s="40">
        <f>IFERROR(IF('PRODUCTOS'!$G265&lt;&gt;"",'PRODUCTOS'!$AG265,""),"")</f>
        <v/>
      </c>
    </row>
    <row r="266">
      <c r="A266" s="39">
        <f>IFERROR(IF('PRODUCTOS'!$G266&lt;&gt;"",'PRODUCTOS'!$A266,""),"")</f>
        <v/>
      </c>
      <c r="B266" s="39">
        <f>IFERROR(IF('PRODUCTOS'!$G266&lt;&gt;"",'PRODUCTOS'!$G266,""),"")</f>
        <v/>
      </c>
      <c r="C266" s="39">
        <f>IFERROR(IF('PRODUCTOS'!$G266&lt;&gt;"",'PRODUCTOS'!$I266,""),"")</f>
        <v/>
      </c>
      <c r="D266" s="39">
        <f>IFERROR(IF('PRODUCTOS'!$G266&lt;&gt;"",'PRODUCTOS'!$J266,""),"")</f>
        <v/>
      </c>
      <c r="E266" s="39">
        <f>IFERROR(IF('PRODUCTOS'!$G266&lt;&gt;"",'PRODUCTOS'!$X266,""),"")</f>
        <v/>
      </c>
      <c r="F266" s="40">
        <f>IFERROR(IF('PRODUCTOS'!$G266&lt;&gt;"",'PRODUCTOS'!$AF266,""),"")</f>
        <v/>
      </c>
      <c r="G266" s="40">
        <f>IFERROR(IF('PRODUCTOS'!$G266&lt;&gt;"",'PRODUCTOS'!$AG266,""),"")</f>
        <v/>
      </c>
    </row>
    <row r="267">
      <c r="A267" s="39">
        <f>IFERROR(IF('PRODUCTOS'!$G267&lt;&gt;"",'PRODUCTOS'!$A267,""),"")</f>
        <v/>
      </c>
      <c r="B267" s="39">
        <f>IFERROR(IF('PRODUCTOS'!$G267&lt;&gt;"",'PRODUCTOS'!$G267,""),"")</f>
        <v/>
      </c>
      <c r="C267" s="39">
        <f>IFERROR(IF('PRODUCTOS'!$G267&lt;&gt;"",'PRODUCTOS'!$I267,""),"")</f>
        <v/>
      </c>
      <c r="D267" s="39">
        <f>IFERROR(IF('PRODUCTOS'!$G267&lt;&gt;"",'PRODUCTOS'!$J267,""),"")</f>
        <v/>
      </c>
      <c r="E267" s="39">
        <f>IFERROR(IF('PRODUCTOS'!$G267&lt;&gt;"",'PRODUCTOS'!$X267,""),"")</f>
        <v/>
      </c>
      <c r="F267" s="40">
        <f>IFERROR(IF('PRODUCTOS'!$G267&lt;&gt;"",'PRODUCTOS'!$AF267,""),"")</f>
        <v/>
      </c>
      <c r="G267" s="40">
        <f>IFERROR(IF('PRODUCTOS'!$G267&lt;&gt;"",'PRODUCTOS'!$AG267,""),"")</f>
        <v/>
      </c>
    </row>
    <row r="268">
      <c r="A268" s="39">
        <f>IFERROR(IF('PRODUCTOS'!$G268&lt;&gt;"",'PRODUCTOS'!$A268,""),"")</f>
        <v/>
      </c>
      <c r="B268" s="39">
        <f>IFERROR(IF('PRODUCTOS'!$G268&lt;&gt;"",'PRODUCTOS'!$G268,""),"")</f>
        <v/>
      </c>
      <c r="C268" s="39">
        <f>IFERROR(IF('PRODUCTOS'!$G268&lt;&gt;"",'PRODUCTOS'!$I268,""),"")</f>
        <v/>
      </c>
      <c r="D268" s="39">
        <f>IFERROR(IF('PRODUCTOS'!$G268&lt;&gt;"",'PRODUCTOS'!$J268,""),"")</f>
        <v/>
      </c>
      <c r="E268" s="39">
        <f>IFERROR(IF('PRODUCTOS'!$G268&lt;&gt;"",'PRODUCTOS'!$X268,""),"")</f>
        <v/>
      </c>
      <c r="F268" s="40">
        <f>IFERROR(IF('PRODUCTOS'!$G268&lt;&gt;"",'PRODUCTOS'!$AF268,""),"")</f>
        <v/>
      </c>
      <c r="G268" s="40">
        <f>IFERROR(IF('PRODUCTOS'!$G268&lt;&gt;"",'PRODUCTOS'!$AG268,""),"")</f>
        <v/>
      </c>
    </row>
    <row r="269">
      <c r="A269" s="39">
        <f>IFERROR(IF('PRODUCTOS'!$G269&lt;&gt;"",'PRODUCTOS'!$A269,""),"")</f>
        <v/>
      </c>
      <c r="B269" s="39">
        <f>IFERROR(IF('PRODUCTOS'!$G269&lt;&gt;"",'PRODUCTOS'!$G269,""),"")</f>
        <v/>
      </c>
      <c r="C269" s="39">
        <f>IFERROR(IF('PRODUCTOS'!$G269&lt;&gt;"",'PRODUCTOS'!$I269,""),"")</f>
        <v/>
      </c>
      <c r="D269" s="39">
        <f>IFERROR(IF('PRODUCTOS'!$G269&lt;&gt;"",'PRODUCTOS'!$J269,""),"")</f>
        <v/>
      </c>
      <c r="E269" s="39">
        <f>IFERROR(IF('PRODUCTOS'!$G269&lt;&gt;"",'PRODUCTOS'!$X269,""),"")</f>
        <v/>
      </c>
      <c r="F269" s="40">
        <f>IFERROR(IF('PRODUCTOS'!$G269&lt;&gt;"",'PRODUCTOS'!$AF269,""),"")</f>
        <v/>
      </c>
      <c r="G269" s="40">
        <f>IFERROR(IF('PRODUCTOS'!$G269&lt;&gt;"",'PRODUCTOS'!$AG269,""),"")</f>
        <v/>
      </c>
    </row>
    <row r="270">
      <c r="A270" s="39">
        <f>IFERROR(IF('PRODUCTOS'!$G270&lt;&gt;"",'PRODUCTOS'!$A270,""),"")</f>
        <v/>
      </c>
      <c r="B270" s="39">
        <f>IFERROR(IF('PRODUCTOS'!$G270&lt;&gt;"",'PRODUCTOS'!$G270,""),"")</f>
        <v/>
      </c>
      <c r="C270" s="39">
        <f>IFERROR(IF('PRODUCTOS'!$G270&lt;&gt;"",'PRODUCTOS'!$I270,""),"")</f>
        <v/>
      </c>
      <c r="D270" s="39">
        <f>IFERROR(IF('PRODUCTOS'!$G270&lt;&gt;"",'PRODUCTOS'!$J270,""),"")</f>
        <v/>
      </c>
      <c r="E270" s="39">
        <f>IFERROR(IF('PRODUCTOS'!$G270&lt;&gt;"",'PRODUCTOS'!$X270,""),"")</f>
        <v/>
      </c>
      <c r="F270" s="40">
        <f>IFERROR(IF('PRODUCTOS'!$G270&lt;&gt;"",'PRODUCTOS'!$AF270,""),"")</f>
        <v/>
      </c>
      <c r="G270" s="40">
        <f>IFERROR(IF('PRODUCTOS'!$G270&lt;&gt;"",'PRODUCTOS'!$AG270,""),"")</f>
        <v/>
      </c>
    </row>
    <row r="271">
      <c r="A271" s="39">
        <f>IFERROR(IF('PRODUCTOS'!$G271&lt;&gt;"",'PRODUCTOS'!$A271,""),"")</f>
        <v/>
      </c>
      <c r="B271" s="39">
        <f>IFERROR(IF('PRODUCTOS'!$G271&lt;&gt;"",'PRODUCTOS'!$G271,""),"")</f>
        <v/>
      </c>
      <c r="C271" s="39">
        <f>IFERROR(IF('PRODUCTOS'!$G271&lt;&gt;"",'PRODUCTOS'!$I271,""),"")</f>
        <v/>
      </c>
      <c r="D271" s="39">
        <f>IFERROR(IF('PRODUCTOS'!$G271&lt;&gt;"",'PRODUCTOS'!$J271,""),"")</f>
        <v/>
      </c>
      <c r="E271" s="39">
        <f>IFERROR(IF('PRODUCTOS'!$G271&lt;&gt;"",'PRODUCTOS'!$X271,""),"")</f>
        <v/>
      </c>
      <c r="F271" s="40">
        <f>IFERROR(IF('PRODUCTOS'!$G271&lt;&gt;"",'PRODUCTOS'!$AF271,""),"")</f>
        <v/>
      </c>
      <c r="G271" s="40">
        <f>IFERROR(IF('PRODUCTOS'!$G271&lt;&gt;"",'PRODUCTOS'!$AG271,""),"")</f>
        <v/>
      </c>
    </row>
    <row r="272">
      <c r="A272" s="39">
        <f>IFERROR(IF('PRODUCTOS'!$G272&lt;&gt;"",'PRODUCTOS'!$A272,""),"")</f>
        <v/>
      </c>
      <c r="B272" s="39">
        <f>IFERROR(IF('PRODUCTOS'!$G272&lt;&gt;"",'PRODUCTOS'!$G272,""),"")</f>
        <v/>
      </c>
      <c r="C272" s="39">
        <f>IFERROR(IF('PRODUCTOS'!$G272&lt;&gt;"",'PRODUCTOS'!$I272,""),"")</f>
        <v/>
      </c>
      <c r="D272" s="39">
        <f>IFERROR(IF('PRODUCTOS'!$G272&lt;&gt;"",'PRODUCTOS'!$J272,""),"")</f>
        <v/>
      </c>
      <c r="E272" s="39">
        <f>IFERROR(IF('PRODUCTOS'!$G272&lt;&gt;"",'PRODUCTOS'!$X272,""),"")</f>
        <v/>
      </c>
      <c r="F272" s="40">
        <f>IFERROR(IF('PRODUCTOS'!$G272&lt;&gt;"",'PRODUCTOS'!$AF272,""),"")</f>
        <v/>
      </c>
      <c r="G272" s="40">
        <f>IFERROR(IF('PRODUCTOS'!$G272&lt;&gt;"",'PRODUCTOS'!$AG272,""),"")</f>
        <v/>
      </c>
    </row>
    <row r="273">
      <c r="A273" s="39">
        <f>IFERROR(IF('PRODUCTOS'!$G273&lt;&gt;"",'PRODUCTOS'!$A273,""),"")</f>
        <v/>
      </c>
      <c r="B273" s="39">
        <f>IFERROR(IF('PRODUCTOS'!$G273&lt;&gt;"",'PRODUCTOS'!$G273,""),"")</f>
        <v/>
      </c>
      <c r="C273" s="39">
        <f>IFERROR(IF('PRODUCTOS'!$G273&lt;&gt;"",'PRODUCTOS'!$I273,""),"")</f>
        <v/>
      </c>
      <c r="D273" s="39">
        <f>IFERROR(IF('PRODUCTOS'!$G273&lt;&gt;"",'PRODUCTOS'!$J273,""),"")</f>
        <v/>
      </c>
      <c r="E273" s="39">
        <f>IFERROR(IF('PRODUCTOS'!$G273&lt;&gt;"",'PRODUCTOS'!$X273,""),"")</f>
        <v/>
      </c>
      <c r="F273" s="40">
        <f>IFERROR(IF('PRODUCTOS'!$G273&lt;&gt;"",'PRODUCTOS'!$AF273,""),"")</f>
        <v/>
      </c>
      <c r="G273" s="40">
        <f>IFERROR(IF('PRODUCTOS'!$G273&lt;&gt;"",'PRODUCTOS'!$AG273,""),"")</f>
        <v/>
      </c>
    </row>
    <row r="274">
      <c r="A274" s="39">
        <f>IFERROR(IF('PRODUCTOS'!$G274&lt;&gt;"",'PRODUCTOS'!$A274,""),"")</f>
        <v/>
      </c>
      <c r="B274" s="39">
        <f>IFERROR(IF('PRODUCTOS'!$G274&lt;&gt;"",'PRODUCTOS'!$G274,""),"")</f>
        <v/>
      </c>
      <c r="C274" s="39">
        <f>IFERROR(IF('PRODUCTOS'!$G274&lt;&gt;"",'PRODUCTOS'!$I274,""),"")</f>
        <v/>
      </c>
      <c r="D274" s="39">
        <f>IFERROR(IF('PRODUCTOS'!$G274&lt;&gt;"",'PRODUCTOS'!$J274,""),"")</f>
        <v/>
      </c>
      <c r="E274" s="39">
        <f>IFERROR(IF('PRODUCTOS'!$G274&lt;&gt;"",'PRODUCTOS'!$X274,""),"")</f>
        <v/>
      </c>
      <c r="F274" s="40">
        <f>IFERROR(IF('PRODUCTOS'!$G274&lt;&gt;"",'PRODUCTOS'!$AF274,""),"")</f>
        <v/>
      </c>
      <c r="G274" s="40">
        <f>IFERROR(IF('PRODUCTOS'!$G274&lt;&gt;"",'PRODUCTOS'!$AG274,""),"")</f>
        <v/>
      </c>
    </row>
    <row r="275">
      <c r="A275" s="39">
        <f>IFERROR(IF('PRODUCTOS'!$G275&lt;&gt;"",'PRODUCTOS'!$A275,""),"")</f>
        <v/>
      </c>
      <c r="B275" s="39">
        <f>IFERROR(IF('PRODUCTOS'!$G275&lt;&gt;"",'PRODUCTOS'!$G275,""),"")</f>
        <v/>
      </c>
      <c r="C275" s="39">
        <f>IFERROR(IF('PRODUCTOS'!$G275&lt;&gt;"",'PRODUCTOS'!$I275,""),"")</f>
        <v/>
      </c>
      <c r="D275" s="39">
        <f>IFERROR(IF('PRODUCTOS'!$G275&lt;&gt;"",'PRODUCTOS'!$J275,""),"")</f>
        <v/>
      </c>
      <c r="E275" s="39">
        <f>IFERROR(IF('PRODUCTOS'!$G275&lt;&gt;"",'PRODUCTOS'!$X275,""),"")</f>
        <v/>
      </c>
      <c r="F275" s="40">
        <f>IFERROR(IF('PRODUCTOS'!$G275&lt;&gt;"",'PRODUCTOS'!$AF275,""),"")</f>
        <v/>
      </c>
      <c r="G275" s="40">
        <f>IFERROR(IF('PRODUCTOS'!$G275&lt;&gt;"",'PRODUCTOS'!$AG275,""),"")</f>
        <v/>
      </c>
    </row>
    <row r="276">
      <c r="A276" s="39">
        <f>IFERROR(IF('PRODUCTOS'!$G276&lt;&gt;"",'PRODUCTOS'!$A276,""),"")</f>
        <v/>
      </c>
      <c r="B276" s="39">
        <f>IFERROR(IF('PRODUCTOS'!$G276&lt;&gt;"",'PRODUCTOS'!$G276,""),"")</f>
        <v/>
      </c>
      <c r="C276" s="39">
        <f>IFERROR(IF('PRODUCTOS'!$G276&lt;&gt;"",'PRODUCTOS'!$I276,""),"")</f>
        <v/>
      </c>
      <c r="D276" s="39">
        <f>IFERROR(IF('PRODUCTOS'!$G276&lt;&gt;"",'PRODUCTOS'!$J276,""),"")</f>
        <v/>
      </c>
      <c r="E276" s="39">
        <f>IFERROR(IF('PRODUCTOS'!$G276&lt;&gt;"",'PRODUCTOS'!$X276,""),"")</f>
        <v/>
      </c>
      <c r="F276" s="40">
        <f>IFERROR(IF('PRODUCTOS'!$G276&lt;&gt;"",'PRODUCTOS'!$AF276,""),"")</f>
        <v/>
      </c>
      <c r="G276" s="40">
        <f>IFERROR(IF('PRODUCTOS'!$G276&lt;&gt;"",'PRODUCTOS'!$AG276,""),"")</f>
        <v/>
      </c>
    </row>
    <row r="277">
      <c r="A277" s="39">
        <f>IFERROR(IF('PRODUCTOS'!$G277&lt;&gt;"",'PRODUCTOS'!$A277,""),"")</f>
        <v/>
      </c>
      <c r="B277" s="39">
        <f>IFERROR(IF('PRODUCTOS'!$G277&lt;&gt;"",'PRODUCTOS'!$G277,""),"")</f>
        <v/>
      </c>
      <c r="C277" s="39">
        <f>IFERROR(IF('PRODUCTOS'!$G277&lt;&gt;"",'PRODUCTOS'!$I277,""),"")</f>
        <v/>
      </c>
      <c r="D277" s="39">
        <f>IFERROR(IF('PRODUCTOS'!$G277&lt;&gt;"",'PRODUCTOS'!$J277,""),"")</f>
        <v/>
      </c>
      <c r="E277" s="39">
        <f>IFERROR(IF('PRODUCTOS'!$G277&lt;&gt;"",'PRODUCTOS'!$X277,""),"")</f>
        <v/>
      </c>
      <c r="F277" s="40">
        <f>IFERROR(IF('PRODUCTOS'!$G277&lt;&gt;"",'PRODUCTOS'!$AF277,""),"")</f>
        <v/>
      </c>
      <c r="G277" s="40">
        <f>IFERROR(IF('PRODUCTOS'!$G277&lt;&gt;"",'PRODUCTOS'!$AG277,""),"")</f>
        <v/>
      </c>
    </row>
    <row r="278">
      <c r="A278" s="39">
        <f>IFERROR(IF('PRODUCTOS'!$G278&lt;&gt;"",'PRODUCTOS'!$A278,""),"")</f>
        <v/>
      </c>
      <c r="B278" s="39">
        <f>IFERROR(IF('PRODUCTOS'!$G278&lt;&gt;"",'PRODUCTOS'!$G278,""),"")</f>
        <v/>
      </c>
      <c r="C278" s="39">
        <f>IFERROR(IF('PRODUCTOS'!$G278&lt;&gt;"",'PRODUCTOS'!$I278,""),"")</f>
        <v/>
      </c>
      <c r="D278" s="39">
        <f>IFERROR(IF('PRODUCTOS'!$G278&lt;&gt;"",'PRODUCTOS'!$J278,""),"")</f>
        <v/>
      </c>
      <c r="E278" s="39">
        <f>IFERROR(IF('PRODUCTOS'!$G278&lt;&gt;"",'PRODUCTOS'!$X278,""),"")</f>
        <v/>
      </c>
      <c r="F278" s="40">
        <f>IFERROR(IF('PRODUCTOS'!$G278&lt;&gt;"",'PRODUCTOS'!$AF278,""),"")</f>
        <v/>
      </c>
      <c r="G278" s="40">
        <f>IFERROR(IF('PRODUCTOS'!$G278&lt;&gt;"",'PRODUCTOS'!$AG278,""),"")</f>
        <v/>
      </c>
    </row>
    <row r="279">
      <c r="A279" s="39">
        <f>IFERROR(IF('PRODUCTOS'!$G279&lt;&gt;"",'PRODUCTOS'!$A279,""),"")</f>
        <v/>
      </c>
      <c r="B279" s="39">
        <f>IFERROR(IF('PRODUCTOS'!$G279&lt;&gt;"",'PRODUCTOS'!$G279,""),"")</f>
        <v/>
      </c>
      <c r="C279" s="39">
        <f>IFERROR(IF('PRODUCTOS'!$G279&lt;&gt;"",'PRODUCTOS'!$I279,""),"")</f>
        <v/>
      </c>
      <c r="D279" s="39">
        <f>IFERROR(IF('PRODUCTOS'!$G279&lt;&gt;"",'PRODUCTOS'!$J279,""),"")</f>
        <v/>
      </c>
      <c r="E279" s="39">
        <f>IFERROR(IF('PRODUCTOS'!$G279&lt;&gt;"",'PRODUCTOS'!$X279,""),"")</f>
        <v/>
      </c>
      <c r="F279" s="40">
        <f>IFERROR(IF('PRODUCTOS'!$G279&lt;&gt;"",'PRODUCTOS'!$AF279,""),"")</f>
        <v/>
      </c>
      <c r="G279" s="40">
        <f>IFERROR(IF('PRODUCTOS'!$G279&lt;&gt;"",'PRODUCTOS'!$AG279,""),"")</f>
        <v/>
      </c>
    </row>
    <row r="280">
      <c r="A280" s="39">
        <f>IFERROR(IF('PRODUCTOS'!$G280&lt;&gt;"",'PRODUCTOS'!$A280,""),"")</f>
        <v/>
      </c>
      <c r="B280" s="39">
        <f>IFERROR(IF('PRODUCTOS'!$G280&lt;&gt;"",'PRODUCTOS'!$G280,""),"")</f>
        <v/>
      </c>
      <c r="C280" s="39">
        <f>IFERROR(IF('PRODUCTOS'!$G280&lt;&gt;"",'PRODUCTOS'!$I280,""),"")</f>
        <v/>
      </c>
      <c r="D280" s="39">
        <f>IFERROR(IF('PRODUCTOS'!$G280&lt;&gt;"",'PRODUCTOS'!$J280,""),"")</f>
        <v/>
      </c>
      <c r="E280" s="39">
        <f>IFERROR(IF('PRODUCTOS'!$G280&lt;&gt;"",'PRODUCTOS'!$X280,""),"")</f>
        <v/>
      </c>
      <c r="F280" s="40">
        <f>IFERROR(IF('PRODUCTOS'!$G280&lt;&gt;"",'PRODUCTOS'!$AF280,""),"")</f>
        <v/>
      </c>
      <c r="G280" s="40">
        <f>IFERROR(IF('PRODUCTOS'!$G280&lt;&gt;"",'PRODUCTOS'!$AG280,""),"")</f>
        <v/>
      </c>
    </row>
    <row r="281">
      <c r="A281" s="39">
        <f>IFERROR(IF('PRODUCTOS'!$G281&lt;&gt;"",'PRODUCTOS'!$A281,""),"")</f>
        <v/>
      </c>
      <c r="B281" s="39">
        <f>IFERROR(IF('PRODUCTOS'!$G281&lt;&gt;"",'PRODUCTOS'!$G281,""),"")</f>
        <v/>
      </c>
      <c r="C281" s="39">
        <f>IFERROR(IF('PRODUCTOS'!$G281&lt;&gt;"",'PRODUCTOS'!$I281,""),"")</f>
        <v/>
      </c>
      <c r="D281" s="39">
        <f>IFERROR(IF('PRODUCTOS'!$G281&lt;&gt;"",'PRODUCTOS'!$J281,""),"")</f>
        <v/>
      </c>
      <c r="E281" s="39">
        <f>IFERROR(IF('PRODUCTOS'!$G281&lt;&gt;"",'PRODUCTOS'!$X281,""),"")</f>
        <v/>
      </c>
      <c r="F281" s="40">
        <f>IFERROR(IF('PRODUCTOS'!$G281&lt;&gt;"",'PRODUCTOS'!$AF281,""),"")</f>
        <v/>
      </c>
      <c r="G281" s="40">
        <f>IFERROR(IF('PRODUCTOS'!$G281&lt;&gt;"",'PRODUCTOS'!$AG281,""),"")</f>
        <v/>
      </c>
    </row>
    <row r="282">
      <c r="A282" s="39">
        <f>IFERROR(IF('PRODUCTOS'!$G282&lt;&gt;"",'PRODUCTOS'!$A282,""),"")</f>
        <v/>
      </c>
      <c r="B282" s="39">
        <f>IFERROR(IF('PRODUCTOS'!$G282&lt;&gt;"",'PRODUCTOS'!$G282,""),"")</f>
        <v/>
      </c>
      <c r="C282" s="39">
        <f>IFERROR(IF('PRODUCTOS'!$G282&lt;&gt;"",'PRODUCTOS'!$I282,""),"")</f>
        <v/>
      </c>
      <c r="D282" s="39">
        <f>IFERROR(IF('PRODUCTOS'!$G282&lt;&gt;"",'PRODUCTOS'!$J282,""),"")</f>
        <v/>
      </c>
      <c r="E282" s="39">
        <f>IFERROR(IF('PRODUCTOS'!$G282&lt;&gt;"",'PRODUCTOS'!$X282,""),"")</f>
        <v/>
      </c>
      <c r="F282" s="40">
        <f>IFERROR(IF('PRODUCTOS'!$G282&lt;&gt;"",'PRODUCTOS'!$AF282,""),"")</f>
        <v/>
      </c>
      <c r="G282" s="40">
        <f>IFERROR(IF('PRODUCTOS'!$G282&lt;&gt;"",'PRODUCTOS'!$AG282,""),"")</f>
        <v/>
      </c>
    </row>
    <row r="283">
      <c r="A283" s="39">
        <f>IFERROR(IF('PRODUCTOS'!$G283&lt;&gt;"",'PRODUCTOS'!$A283,""),"")</f>
        <v/>
      </c>
      <c r="B283" s="39">
        <f>IFERROR(IF('PRODUCTOS'!$G283&lt;&gt;"",'PRODUCTOS'!$G283,""),"")</f>
        <v/>
      </c>
      <c r="C283" s="39">
        <f>IFERROR(IF('PRODUCTOS'!$G283&lt;&gt;"",'PRODUCTOS'!$I283,""),"")</f>
        <v/>
      </c>
      <c r="D283" s="39">
        <f>IFERROR(IF('PRODUCTOS'!$G283&lt;&gt;"",'PRODUCTOS'!$J283,""),"")</f>
        <v/>
      </c>
      <c r="E283" s="39">
        <f>IFERROR(IF('PRODUCTOS'!$G283&lt;&gt;"",'PRODUCTOS'!$X283,""),"")</f>
        <v/>
      </c>
      <c r="F283" s="40">
        <f>IFERROR(IF('PRODUCTOS'!$G283&lt;&gt;"",'PRODUCTOS'!$AF283,""),"")</f>
        <v/>
      </c>
      <c r="G283" s="40">
        <f>IFERROR(IF('PRODUCTOS'!$G283&lt;&gt;"",'PRODUCTOS'!$AG283,""),"")</f>
        <v/>
      </c>
    </row>
    <row r="284">
      <c r="A284" s="39">
        <f>IFERROR(IF('PRODUCTOS'!$G284&lt;&gt;"",'PRODUCTOS'!$A284,""),"")</f>
        <v/>
      </c>
      <c r="B284" s="39">
        <f>IFERROR(IF('PRODUCTOS'!$G284&lt;&gt;"",'PRODUCTOS'!$G284,""),"")</f>
        <v/>
      </c>
      <c r="C284" s="39">
        <f>IFERROR(IF('PRODUCTOS'!$G284&lt;&gt;"",'PRODUCTOS'!$I284,""),"")</f>
        <v/>
      </c>
      <c r="D284" s="39">
        <f>IFERROR(IF('PRODUCTOS'!$G284&lt;&gt;"",'PRODUCTOS'!$J284,""),"")</f>
        <v/>
      </c>
      <c r="E284" s="39">
        <f>IFERROR(IF('PRODUCTOS'!$G284&lt;&gt;"",'PRODUCTOS'!$X284,""),"")</f>
        <v/>
      </c>
      <c r="F284" s="40">
        <f>IFERROR(IF('PRODUCTOS'!$G284&lt;&gt;"",'PRODUCTOS'!$AF284,""),"")</f>
        <v/>
      </c>
      <c r="G284" s="40">
        <f>IFERROR(IF('PRODUCTOS'!$G284&lt;&gt;"",'PRODUCTOS'!$AG284,""),"")</f>
        <v/>
      </c>
    </row>
    <row r="285">
      <c r="A285" s="39">
        <f>IFERROR(IF('PRODUCTOS'!$G285&lt;&gt;"",'PRODUCTOS'!$A285,""),"")</f>
        <v/>
      </c>
      <c r="B285" s="39">
        <f>IFERROR(IF('PRODUCTOS'!$G285&lt;&gt;"",'PRODUCTOS'!$G285,""),"")</f>
        <v/>
      </c>
      <c r="C285" s="39">
        <f>IFERROR(IF('PRODUCTOS'!$G285&lt;&gt;"",'PRODUCTOS'!$I285,""),"")</f>
        <v/>
      </c>
      <c r="D285" s="39">
        <f>IFERROR(IF('PRODUCTOS'!$G285&lt;&gt;"",'PRODUCTOS'!$J285,""),"")</f>
        <v/>
      </c>
      <c r="E285" s="39">
        <f>IFERROR(IF('PRODUCTOS'!$G285&lt;&gt;"",'PRODUCTOS'!$X285,""),"")</f>
        <v/>
      </c>
      <c r="F285" s="40">
        <f>IFERROR(IF('PRODUCTOS'!$G285&lt;&gt;"",'PRODUCTOS'!$AF285,""),"")</f>
        <v/>
      </c>
      <c r="G285" s="40">
        <f>IFERROR(IF('PRODUCTOS'!$G285&lt;&gt;"",'PRODUCTOS'!$AG285,""),"")</f>
        <v/>
      </c>
    </row>
    <row r="286">
      <c r="A286" s="39">
        <f>IFERROR(IF('PRODUCTOS'!$G286&lt;&gt;"",'PRODUCTOS'!$A286,""),"")</f>
        <v/>
      </c>
      <c r="B286" s="39">
        <f>IFERROR(IF('PRODUCTOS'!$G286&lt;&gt;"",'PRODUCTOS'!$G286,""),"")</f>
        <v/>
      </c>
      <c r="C286" s="39">
        <f>IFERROR(IF('PRODUCTOS'!$G286&lt;&gt;"",'PRODUCTOS'!$I286,""),"")</f>
        <v/>
      </c>
      <c r="D286" s="39">
        <f>IFERROR(IF('PRODUCTOS'!$G286&lt;&gt;"",'PRODUCTOS'!$J286,""),"")</f>
        <v/>
      </c>
      <c r="E286" s="39">
        <f>IFERROR(IF('PRODUCTOS'!$G286&lt;&gt;"",'PRODUCTOS'!$X286,""),"")</f>
        <v/>
      </c>
      <c r="F286" s="40">
        <f>IFERROR(IF('PRODUCTOS'!$G286&lt;&gt;"",'PRODUCTOS'!$AF286,""),"")</f>
        <v/>
      </c>
      <c r="G286" s="40">
        <f>IFERROR(IF('PRODUCTOS'!$G286&lt;&gt;"",'PRODUCTOS'!$AG286,""),"")</f>
        <v/>
      </c>
    </row>
    <row r="287">
      <c r="A287" s="39">
        <f>IFERROR(IF('PRODUCTOS'!$G287&lt;&gt;"",'PRODUCTOS'!$A287,""),"")</f>
        <v/>
      </c>
      <c r="B287" s="39">
        <f>IFERROR(IF('PRODUCTOS'!$G287&lt;&gt;"",'PRODUCTOS'!$G287,""),"")</f>
        <v/>
      </c>
      <c r="C287" s="39">
        <f>IFERROR(IF('PRODUCTOS'!$G287&lt;&gt;"",'PRODUCTOS'!$I287,""),"")</f>
        <v/>
      </c>
      <c r="D287" s="39">
        <f>IFERROR(IF('PRODUCTOS'!$G287&lt;&gt;"",'PRODUCTOS'!$J287,""),"")</f>
        <v/>
      </c>
      <c r="E287" s="39">
        <f>IFERROR(IF('PRODUCTOS'!$G287&lt;&gt;"",'PRODUCTOS'!$X287,""),"")</f>
        <v/>
      </c>
      <c r="F287" s="40">
        <f>IFERROR(IF('PRODUCTOS'!$G287&lt;&gt;"",'PRODUCTOS'!$AF287,""),"")</f>
        <v/>
      </c>
      <c r="G287" s="40">
        <f>IFERROR(IF('PRODUCTOS'!$G287&lt;&gt;"",'PRODUCTOS'!$AG287,""),"")</f>
        <v/>
      </c>
    </row>
    <row r="288">
      <c r="A288" s="39">
        <f>IFERROR(IF('PRODUCTOS'!$G288&lt;&gt;"",'PRODUCTOS'!$A288,""),"")</f>
        <v/>
      </c>
      <c r="B288" s="39">
        <f>IFERROR(IF('PRODUCTOS'!$G288&lt;&gt;"",'PRODUCTOS'!$G288,""),"")</f>
        <v/>
      </c>
      <c r="C288" s="39">
        <f>IFERROR(IF('PRODUCTOS'!$G288&lt;&gt;"",'PRODUCTOS'!$I288,""),"")</f>
        <v/>
      </c>
      <c r="D288" s="39">
        <f>IFERROR(IF('PRODUCTOS'!$G288&lt;&gt;"",'PRODUCTOS'!$J288,""),"")</f>
        <v/>
      </c>
      <c r="E288" s="39">
        <f>IFERROR(IF('PRODUCTOS'!$G288&lt;&gt;"",'PRODUCTOS'!$X288,""),"")</f>
        <v/>
      </c>
      <c r="F288" s="40">
        <f>IFERROR(IF('PRODUCTOS'!$G288&lt;&gt;"",'PRODUCTOS'!$AF288,""),"")</f>
        <v/>
      </c>
      <c r="G288" s="40">
        <f>IFERROR(IF('PRODUCTOS'!$G288&lt;&gt;"",'PRODUCTOS'!$AG288,""),"")</f>
        <v/>
      </c>
    </row>
    <row r="289">
      <c r="A289" s="39">
        <f>IFERROR(IF('PRODUCTOS'!$G289&lt;&gt;"",'PRODUCTOS'!$A289,""),"")</f>
        <v/>
      </c>
      <c r="B289" s="39">
        <f>IFERROR(IF('PRODUCTOS'!$G289&lt;&gt;"",'PRODUCTOS'!$G289,""),"")</f>
        <v/>
      </c>
      <c r="C289" s="39">
        <f>IFERROR(IF('PRODUCTOS'!$G289&lt;&gt;"",'PRODUCTOS'!$I289,""),"")</f>
        <v/>
      </c>
      <c r="D289" s="39">
        <f>IFERROR(IF('PRODUCTOS'!$G289&lt;&gt;"",'PRODUCTOS'!$J289,""),"")</f>
        <v/>
      </c>
      <c r="E289" s="39">
        <f>IFERROR(IF('PRODUCTOS'!$G289&lt;&gt;"",'PRODUCTOS'!$X289,""),"")</f>
        <v/>
      </c>
      <c r="F289" s="40">
        <f>IFERROR(IF('PRODUCTOS'!$G289&lt;&gt;"",'PRODUCTOS'!$AF289,""),"")</f>
        <v/>
      </c>
      <c r="G289" s="40">
        <f>IFERROR(IF('PRODUCTOS'!$G289&lt;&gt;"",'PRODUCTOS'!$AG289,""),"")</f>
        <v/>
      </c>
    </row>
    <row r="290">
      <c r="A290" s="39">
        <f>IFERROR(IF('PRODUCTOS'!$G290&lt;&gt;"",'PRODUCTOS'!$A290,""),"")</f>
        <v/>
      </c>
      <c r="B290" s="39">
        <f>IFERROR(IF('PRODUCTOS'!$G290&lt;&gt;"",'PRODUCTOS'!$G290,""),"")</f>
        <v/>
      </c>
      <c r="C290" s="39">
        <f>IFERROR(IF('PRODUCTOS'!$G290&lt;&gt;"",'PRODUCTOS'!$I290,""),"")</f>
        <v/>
      </c>
      <c r="D290" s="39">
        <f>IFERROR(IF('PRODUCTOS'!$G290&lt;&gt;"",'PRODUCTOS'!$J290,""),"")</f>
        <v/>
      </c>
      <c r="E290" s="39">
        <f>IFERROR(IF('PRODUCTOS'!$G290&lt;&gt;"",'PRODUCTOS'!$X290,""),"")</f>
        <v/>
      </c>
      <c r="F290" s="40">
        <f>IFERROR(IF('PRODUCTOS'!$G290&lt;&gt;"",'PRODUCTOS'!$AF290,""),"")</f>
        <v/>
      </c>
      <c r="G290" s="40">
        <f>IFERROR(IF('PRODUCTOS'!$G290&lt;&gt;"",'PRODUCTOS'!$AG290,""),"")</f>
        <v/>
      </c>
    </row>
    <row r="291">
      <c r="A291" s="39">
        <f>IFERROR(IF('PRODUCTOS'!$G291&lt;&gt;"",'PRODUCTOS'!$A291,""),"")</f>
        <v/>
      </c>
      <c r="B291" s="39">
        <f>IFERROR(IF('PRODUCTOS'!$G291&lt;&gt;"",'PRODUCTOS'!$G291,""),"")</f>
        <v/>
      </c>
      <c r="C291" s="39">
        <f>IFERROR(IF('PRODUCTOS'!$G291&lt;&gt;"",'PRODUCTOS'!$I291,""),"")</f>
        <v/>
      </c>
      <c r="D291" s="39">
        <f>IFERROR(IF('PRODUCTOS'!$G291&lt;&gt;"",'PRODUCTOS'!$J291,""),"")</f>
        <v/>
      </c>
      <c r="E291" s="39">
        <f>IFERROR(IF('PRODUCTOS'!$G291&lt;&gt;"",'PRODUCTOS'!$X291,""),"")</f>
        <v/>
      </c>
      <c r="F291" s="40">
        <f>IFERROR(IF('PRODUCTOS'!$G291&lt;&gt;"",'PRODUCTOS'!$AF291,""),"")</f>
        <v/>
      </c>
      <c r="G291" s="40">
        <f>IFERROR(IF('PRODUCTOS'!$G291&lt;&gt;"",'PRODUCTOS'!$AG291,""),"")</f>
        <v/>
      </c>
    </row>
    <row r="292">
      <c r="A292" s="39">
        <f>IFERROR(IF('PRODUCTOS'!$G292&lt;&gt;"",'PRODUCTOS'!$A292,""),"")</f>
        <v/>
      </c>
      <c r="B292" s="39">
        <f>IFERROR(IF('PRODUCTOS'!$G292&lt;&gt;"",'PRODUCTOS'!$G292,""),"")</f>
        <v/>
      </c>
      <c r="C292" s="39">
        <f>IFERROR(IF('PRODUCTOS'!$G292&lt;&gt;"",'PRODUCTOS'!$I292,""),"")</f>
        <v/>
      </c>
      <c r="D292" s="39">
        <f>IFERROR(IF('PRODUCTOS'!$G292&lt;&gt;"",'PRODUCTOS'!$J292,""),"")</f>
        <v/>
      </c>
      <c r="E292" s="39">
        <f>IFERROR(IF('PRODUCTOS'!$G292&lt;&gt;"",'PRODUCTOS'!$X292,""),"")</f>
        <v/>
      </c>
      <c r="F292" s="40">
        <f>IFERROR(IF('PRODUCTOS'!$G292&lt;&gt;"",'PRODUCTOS'!$AF292,""),"")</f>
        <v/>
      </c>
      <c r="G292" s="40">
        <f>IFERROR(IF('PRODUCTOS'!$G292&lt;&gt;"",'PRODUCTOS'!$AG292,""),"")</f>
        <v/>
      </c>
    </row>
    <row r="293">
      <c r="A293" s="39">
        <f>IFERROR(IF('PRODUCTOS'!$G293&lt;&gt;"",'PRODUCTOS'!$A293,""),"")</f>
        <v/>
      </c>
      <c r="B293" s="39">
        <f>IFERROR(IF('PRODUCTOS'!$G293&lt;&gt;"",'PRODUCTOS'!$G293,""),"")</f>
        <v/>
      </c>
      <c r="C293" s="39">
        <f>IFERROR(IF('PRODUCTOS'!$G293&lt;&gt;"",'PRODUCTOS'!$I293,""),"")</f>
        <v/>
      </c>
      <c r="D293" s="39">
        <f>IFERROR(IF('PRODUCTOS'!$G293&lt;&gt;"",'PRODUCTOS'!$J293,""),"")</f>
        <v/>
      </c>
      <c r="E293" s="39">
        <f>IFERROR(IF('PRODUCTOS'!$G293&lt;&gt;"",'PRODUCTOS'!$X293,""),"")</f>
        <v/>
      </c>
      <c r="F293" s="40">
        <f>IFERROR(IF('PRODUCTOS'!$G293&lt;&gt;"",'PRODUCTOS'!$AF293,""),"")</f>
        <v/>
      </c>
      <c r="G293" s="40">
        <f>IFERROR(IF('PRODUCTOS'!$G293&lt;&gt;"",'PRODUCTOS'!$AG293,""),"")</f>
        <v/>
      </c>
    </row>
    <row r="294">
      <c r="A294" s="39">
        <f>IFERROR(IF('PRODUCTOS'!$G294&lt;&gt;"",'PRODUCTOS'!$A294,""),"")</f>
        <v/>
      </c>
      <c r="B294" s="39">
        <f>IFERROR(IF('PRODUCTOS'!$G294&lt;&gt;"",'PRODUCTOS'!$G294,""),"")</f>
        <v/>
      </c>
      <c r="C294" s="39">
        <f>IFERROR(IF('PRODUCTOS'!$G294&lt;&gt;"",'PRODUCTOS'!$I294,""),"")</f>
        <v/>
      </c>
      <c r="D294" s="39">
        <f>IFERROR(IF('PRODUCTOS'!$G294&lt;&gt;"",'PRODUCTOS'!$J294,""),"")</f>
        <v/>
      </c>
      <c r="E294" s="39">
        <f>IFERROR(IF('PRODUCTOS'!$G294&lt;&gt;"",'PRODUCTOS'!$X294,""),"")</f>
        <v/>
      </c>
      <c r="F294" s="40">
        <f>IFERROR(IF('PRODUCTOS'!$G294&lt;&gt;"",'PRODUCTOS'!$AF294,""),"")</f>
        <v/>
      </c>
      <c r="G294" s="40">
        <f>IFERROR(IF('PRODUCTOS'!$G294&lt;&gt;"",'PRODUCTOS'!$AG294,""),"")</f>
        <v/>
      </c>
    </row>
    <row r="295">
      <c r="A295" s="39">
        <f>IFERROR(IF('PRODUCTOS'!$G295&lt;&gt;"",'PRODUCTOS'!$A295,""),"")</f>
        <v/>
      </c>
      <c r="B295" s="39">
        <f>IFERROR(IF('PRODUCTOS'!$G295&lt;&gt;"",'PRODUCTOS'!$G295,""),"")</f>
        <v/>
      </c>
      <c r="C295" s="39">
        <f>IFERROR(IF('PRODUCTOS'!$G295&lt;&gt;"",'PRODUCTOS'!$I295,""),"")</f>
        <v/>
      </c>
      <c r="D295" s="39">
        <f>IFERROR(IF('PRODUCTOS'!$G295&lt;&gt;"",'PRODUCTOS'!$J295,""),"")</f>
        <v/>
      </c>
      <c r="E295" s="39">
        <f>IFERROR(IF('PRODUCTOS'!$G295&lt;&gt;"",'PRODUCTOS'!$X295,""),"")</f>
        <v/>
      </c>
      <c r="F295" s="40">
        <f>IFERROR(IF('PRODUCTOS'!$G295&lt;&gt;"",'PRODUCTOS'!$AF295,""),"")</f>
        <v/>
      </c>
      <c r="G295" s="40">
        <f>IFERROR(IF('PRODUCTOS'!$G295&lt;&gt;"",'PRODUCTOS'!$AG295,""),"")</f>
        <v/>
      </c>
    </row>
    <row r="296">
      <c r="A296" s="39">
        <f>IFERROR(IF('PRODUCTOS'!$G296&lt;&gt;"",'PRODUCTOS'!$A296,""),"")</f>
        <v/>
      </c>
      <c r="B296" s="39">
        <f>IFERROR(IF('PRODUCTOS'!$G296&lt;&gt;"",'PRODUCTOS'!$G296,""),"")</f>
        <v/>
      </c>
      <c r="C296" s="39">
        <f>IFERROR(IF('PRODUCTOS'!$G296&lt;&gt;"",'PRODUCTOS'!$I296,""),"")</f>
        <v/>
      </c>
      <c r="D296" s="39">
        <f>IFERROR(IF('PRODUCTOS'!$G296&lt;&gt;"",'PRODUCTOS'!$J296,""),"")</f>
        <v/>
      </c>
      <c r="E296" s="39">
        <f>IFERROR(IF('PRODUCTOS'!$G296&lt;&gt;"",'PRODUCTOS'!$X296,""),"")</f>
        <v/>
      </c>
      <c r="F296" s="40">
        <f>IFERROR(IF('PRODUCTOS'!$G296&lt;&gt;"",'PRODUCTOS'!$AF296,""),"")</f>
        <v/>
      </c>
      <c r="G296" s="40">
        <f>IFERROR(IF('PRODUCTOS'!$G296&lt;&gt;"",'PRODUCTOS'!$AG296,""),"")</f>
        <v/>
      </c>
    </row>
    <row r="297">
      <c r="A297" s="39">
        <f>IFERROR(IF('PRODUCTOS'!$G297&lt;&gt;"",'PRODUCTOS'!$A297,""),"")</f>
        <v/>
      </c>
      <c r="B297" s="39">
        <f>IFERROR(IF('PRODUCTOS'!$G297&lt;&gt;"",'PRODUCTOS'!$G297,""),"")</f>
        <v/>
      </c>
      <c r="C297" s="39">
        <f>IFERROR(IF('PRODUCTOS'!$G297&lt;&gt;"",'PRODUCTOS'!$I297,""),"")</f>
        <v/>
      </c>
      <c r="D297" s="39">
        <f>IFERROR(IF('PRODUCTOS'!$G297&lt;&gt;"",'PRODUCTOS'!$J297,""),"")</f>
        <v/>
      </c>
      <c r="E297" s="39">
        <f>IFERROR(IF('PRODUCTOS'!$G297&lt;&gt;"",'PRODUCTOS'!$X297,""),"")</f>
        <v/>
      </c>
      <c r="F297" s="40">
        <f>IFERROR(IF('PRODUCTOS'!$G297&lt;&gt;"",'PRODUCTOS'!$AF297,""),"")</f>
        <v/>
      </c>
      <c r="G297" s="40">
        <f>IFERROR(IF('PRODUCTOS'!$G297&lt;&gt;"",'PRODUCTOS'!$AG297,""),"")</f>
        <v/>
      </c>
    </row>
    <row r="298">
      <c r="A298" s="39">
        <f>IFERROR(IF('PRODUCTOS'!$G298&lt;&gt;"",'PRODUCTOS'!$A298,""),"")</f>
        <v/>
      </c>
      <c r="B298" s="39">
        <f>IFERROR(IF('PRODUCTOS'!$G298&lt;&gt;"",'PRODUCTOS'!$G298,""),"")</f>
        <v/>
      </c>
      <c r="C298" s="39">
        <f>IFERROR(IF('PRODUCTOS'!$G298&lt;&gt;"",'PRODUCTOS'!$I298,""),"")</f>
        <v/>
      </c>
      <c r="D298" s="39">
        <f>IFERROR(IF('PRODUCTOS'!$G298&lt;&gt;"",'PRODUCTOS'!$J298,""),"")</f>
        <v/>
      </c>
      <c r="E298" s="39">
        <f>IFERROR(IF('PRODUCTOS'!$G298&lt;&gt;"",'PRODUCTOS'!$X298,""),"")</f>
        <v/>
      </c>
      <c r="F298" s="40">
        <f>IFERROR(IF('PRODUCTOS'!$G298&lt;&gt;"",'PRODUCTOS'!$AF298,""),"")</f>
        <v/>
      </c>
      <c r="G298" s="40">
        <f>IFERROR(IF('PRODUCTOS'!$G298&lt;&gt;"",'PRODUCTOS'!$AG298,""),"")</f>
        <v/>
      </c>
    </row>
    <row r="299">
      <c r="A299" s="39">
        <f>IFERROR(IF('PRODUCTOS'!$G299&lt;&gt;"",'PRODUCTOS'!$A299,""),"")</f>
        <v/>
      </c>
      <c r="B299" s="39">
        <f>IFERROR(IF('PRODUCTOS'!$G299&lt;&gt;"",'PRODUCTOS'!$G299,""),"")</f>
        <v/>
      </c>
      <c r="C299" s="39">
        <f>IFERROR(IF('PRODUCTOS'!$G299&lt;&gt;"",'PRODUCTOS'!$I299,""),"")</f>
        <v/>
      </c>
      <c r="D299" s="39">
        <f>IFERROR(IF('PRODUCTOS'!$G299&lt;&gt;"",'PRODUCTOS'!$J299,""),"")</f>
        <v/>
      </c>
      <c r="E299" s="39">
        <f>IFERROR(IF('PRODUCTOS'!$G299&lt;&gt;"",'PRODUCTOS'!$X299,""),"")</f>
        <v/>
      </c>
      <c r="F299" s="40">
        <f>IFERROR(IF('PRODUCTOS'!$G299&lt;&gt;"",'PRODUCTOS'!$AF299,""),"")</f>
        <v/>
      </c>
      <c r="G299" s="40">
        <f>IFERROR(IF('PRODUCTOS'!$G299&lt;&gt;"",'PRODUCTOS'!$AG299,""),"")</f>
        <v/>
      </c>
    </row>
    <row r="300">
      <c r="A300" s="39">
        <f>IFERROR(IF('PRODUCTOS'!$G300&lt;&gt;"",'PRODUCTOS'!$A300,""),"")</f>
        <v/>
      </c>
      <c r="B300" s="39">
        <f>IFERROR(IF('PRODUCTOS'!$G300&lt;&gt;"",'PRODUCTOS'!$G300,""),"")</f>
        <v/>
      </c>
      <c r="C300" s="39">
        <f>IFERROR(IF('PRODUCTOS'!$G300&lt;&gt;"",'PRODUCTOS'!$I300,""),"")</f>
        <v/>
      </c>
      <c r="D300" s="39">
        <f>IFERROR(IF('PRODUCTOS'!$G300&lt;&gt;"",'PRODUCTOS'!$J300,""),"")</f>
        <v/>
      </c>
      <c r="E300" s="39">
        <f>IFERROR(IF('PRODUCTOS'!$G300&lt;&gt;"",'PRODUCTOS'!$X300,""),"")</f>
        <v/>
      </c>
      <c r="F300" s="40">
        <f>IFERROR(IF('PRODUCTOS'!$G300&lt;&gt;"",'PRODUCTOS'!$AF300,""),"")</f>
        <v/>
      </c>
      <c r="G300" s="40">
        <f>IFERROR(IF('PRODUCTOS'!$G300&lt;&gt;"",'PRODUCTOS'!$AG300,""),"")</f>
        <v/>
      </c>
    </row>
    <row r="301">
      <c r="A301" s="39">
        <f>IFERROR(IF('PRODUCTOS'!$G301&lt;&gt;"",'PRODUCTOS'!$A301,""),"")</f>
        <v/>
      </c>
      <c r="B301" s="39">
        <f>IFERROR(IF('PRODUCTOS'!$G301&lt;&gt;"",'PRODUCTOS'!$G301,""),"")</f>
        <v/>
      </c>
      <c r="C301" s="39">
        <f>IFERROR(IF('PRODUCTOS'!$G301&lt;&gt;"",'PRODUCTOS'!$I301,""),"")</f>
        <v/>
      </c>
      <c r="D301" s="39">
        <f>IFERROR(IF('PRODUCTOS'!$G301&lt;&gt;"",'PRODUCTOS'!$J301,""),"")</f>
        <v/>
      </c>
      <c r="E301" s="39">
        <f>IFERROR(IF('PRODUCTOS'!$G301&lt;&gt;"",'PRODUCTOS'!$X301,""),"")</f>
        <v/>
      </c>
      <c r="F301" s="40">
        <f>IFERROR(IF('PRODUCTOS'!$G301&lt;&gt;"",'PRODUCTOS'!$AF301,""),"")</f>
        <v/>
      </c>
      <c r="G301" s="40">
        <f>IFERROR(IF('PRODUCTOS'!$G301&lt;&gt;"",'PRODUCTOS'!$AG301,""),"")</f>
        <v/>
      </c>
    </row>
    <row r="302">
      <c r="A302" s="39">
        <f>IFERROR(IF('PRODUCTOS'!$G302&lt;&gt;"",'PRODUCTOS'!$A302,""),"")</f>
        <v/>
      </c>
      <c r="B302" s="39">
        <f>IFERROR(IF('PRODUCTOS'!$G302&lt;&gt;"",'PRODUCTOS'!$G302,""),"")</f>
        <v/>
      </c>
      <c r="C302" s="39">
        <f>IFERROR(IF('PRODUCTOS'!$G302&lt;&gt;"",'PRODUCTOS'!$I302,""),"")</f>
        <v/>
      </c>
      <c r="D302" s="39">
        <f>IFERROR(IF('PRODUCTOS'!$G302&lt;&gt;"",'PRODUCTOS'!$J302,""),"")</f>
        <v/>
      </c>
      <c r="E302" s="39">
        <f>IFERROR(IF('PRODUCTOS'!$G302&lt;&gt;"",'PRODUCTOS'!$X302,""),"")</f>
        <v/>
      </c>
      <c r="F302" s="40">
        <f>IFERROR(IF('PRODUCTOS'!$G302&lt;&gt;"",'PRODUCTOS'!$AF302,""),"")</f>
        <v/>
      </c>
      <c r="G302" s="40">
        <f>IFERROR(IF('PRODUCTOS'!$G302&lt;&gt;"",'PRODUCTOS'!$AG302,""),"")</f>
        <v/>
      </c>
    </row>
    <row r="303">
      <c r="A303" s="39">
        <f>IFERROR(IF('PRODUCTOS'!$G303&lt;&gt;"",'PRODUCTOS'!$A303,""),"")</f>
        <v/>
      </c>
      <c r="B303" s="39">
        <f>IFERROR(IF('PRODUCTOS'!$G303&lt;&gt;"",'PRODUCTOS'!$G303,""),"")</f>
        <v/>
      </c>
      <c r="C303" s="39">
        <f>IFERROR(IF('PRODUCTOS'!$G303&lt;&gt;"",'PRODUCTOS'!$I303,""),"")</f>
        <v/>
      </c>
      <c r="D303" s="39">
        <f>IFERROR(IF('PRODUCTOS'!$G303&lt;&gt;"",'PRODUCTOS'!$J303,""),"")</f>
        <v/>
      </c>
      <c r="E303" s="39">
        <f>IFERROR(IF('PRODUCTOS'!$G303&lt;&gt;"",'PRODUCTOS'!$X303,""),"")</f>
        <v/>
      </c>
      <c r="F303" s="40">
        <f>IFERROR(IF('PRODUCTOS'!$G303&lt;&gt;"",'PRODUCTOS'!$AF303,""),"")</f>
        <v/>
      </c>
      <c r="G303" s="40">
        <f>IFERROR(IF('PRODUCTOS'!$G303&lt;&gt;"",'PRODUCTOS'!$AG303,""),"")</f>
        <v/>
      </c>
    </row>
    <row r="304">
      <c r="A304" s="39">
        <f>IFERROR(IF('PRODUCTOS'!$G304&lt;&gt;"",'PRODUCTOS'!$A304,""),"")</f>
        <v/>
      </c>
      <c r="B304" s="39">
        <f>IFERROR(IF('PRODUCTOS'!$G304&lt;&gt;"",'PRODUCTOS'!$G304,""),"")</f>
        <v/>
      </c>
      <c r="C304" s="39">
        <f>IFERROR(IF('PRODUCTOS'!$G304&lt;&gt;"",'PRODUCTOS'!$I304,""),"")</f>
        <v/>
      </c>
      <c r="D304" s="39">
        <f>IFERROR(IF('PRODUCTOS'!$G304&lt;&gt;"",'PRODUCTOS'!$J304,""),"")</f>
        <v/>
      </c>
      <c r="E304" s="39">
        <f>IFERROR(IF('PRODUCTOS'!$G304&lt;&gt;"",'PRODUCTOS'!$X304,""),"")</f>
        <v/>
      </c>
      <c r="F304" s="40">
        <f>IFERROR(IF('PRODUCTOS'!$G304&lt;&gt;"",'PRODUCTOS'!$AF304,""),"")</f>
        <v/>
      </c>
      <c r="G304" s="40">
        <f>IFERROR(IF('PRODUCTOS'!$G304&lt;&gt;"",'PRODUCTOS'!$AG304,""),"")</f>
        <v/>
      </c>
    </row>
    <row r="305">
      <c r="A305" s="39">
        <f>IFERROR(IF('PRODUCTOS'!$G305&lt;&gt;"",'PRODUCTOS'!$A305,""),"")</f>
        <v/>
      </c>
      <c r="B305" s="39">
        <f>IFERROR(IF('PRODUCTOS'!$G305&lt;&gt;"",'PRODUCTOS'!$G305,""),"")</f>
        <v/>
      </c>
      <c r="C305" s="39">
        <f>IFERROR(IF('PRODUCTOS'!$G305&lt;&gt;"",'PRODUCTOS'!$I305,""),"")</f>
        <v/>
      </c>
      <c r="D305" s="39">
        <f>IFERROR(IF('PRODUCTOS'!$G305&lt;&gt;"",'PRODUCTOS'!$J305,""),"")</f>
        <v/>
      </c>
      <c r="E305" s="39">
        <f>IFERROR(IF('PRODUCTOS'!$G305&lt;&gt;"",'PRODUCTOS'!$X305,""),"")</f>
        <v/>
      </c>
      <c r="F305" s="40">
        <f>IFERROR(IF('PRODUCTOS'!$G305&lt;&gt;"",'PRODUCTOS'!$AF305,""),"")</f>
        <v/>
      </c>
      <c r="G305" s="40">
        <f>IFERROR(IF('PRODUCTOS'!$G305&lt;&gt;"",'PRODUCTOS'!$AG305,""),"")</f>
        <v/>
      </c>
    </row>
    <row r="306">
      <c r="A306" s="39">
        <f>IFERROR(IF('PRODUCTOS'!$G306&lt;&gt;"",'PRODUCTOS'!$A306,""),"")</f>
        <v/>
      </c>
      <c r="B306" s="39">
        <f>IFERROR(IF('PRODUCTOS'!$G306&lt;&gt;"",'PRODUCTOS'!$G306,""),"")</f>
        <v/>
      </c>
      <c r="C306" s="39">
        <f>IFERROR(IF('PRODUCTOS'!$G306&lt;&gt;"",'PRODUCTOS'!$I306,""),"")</f>
        <v/>
      </c>
      <c r="D306" s="39">
        <f>IFERROR(IF('PRODUCTOS'!$G306&lt;&gt;"",'PRODUCTOS'!$J306,""),"")</f>
        <v/>
      </c>
      <c r="E306" s="39">
        <f>IFERROR(IF('PRODUCTOS'!$G306&lt;&gt;"",'PRODUCTOS'!$X306,""),"")</f>
        <v/>
      </c>
      <c r="F306" s="40">
        <f>IFERROR(IF('PRODUCTOS'!$G306&lt;&gt;"",'PRODUCTOS'!$AF306,""),"")</f>
        <v/>
      </c>
      <c r="G306" s="40">
        <f>IFERROR(IF('PRODUCTOS'!$G306&lt;&gt;"",'PRODUCTOS'!$AG306,""),"")</f>
        <v/>
      </c>
    </row>
    <row r="307">
      <c r="A307" s="39">
        <f>IFERROR(IF('PRODUCTOS'!$G307&lt;&gt;"",'PRODUCTOS'!$A307,""),"")</f>
        <v/>
      </c>
      <c r="B307" s="39">
        <f>IFERROR(IF('PRODUCTOS'!$G307&lt;&gt;"",'PRODUCTOS'!$G307,""),"")</f>
        <v/>
      </c>
      <c r="C307" s="39">
        <f>IFERROR(IF('PRODUCTOS'!$G307&lt;&gt;"",'PRODUCTOS'!$I307,""),"")</f>
        <v/>
      </c>
      <c r="D307" s="39">
        <f>IFERROR(IF('PRODUCTOS'!$G307&lt;&gt;"",'PRODUCTOS'!$J307,""),"")</f>
        <v/>
      </c>
      <c r="E307" s="39">
        <f>IFERROR(IF('PRODUCTOS'!$G307&lt;&gt;"",'PRODUCTOS'!$X307,""),"")</f>
        <v/>
      </c>
      <c r="F307" s="40">
        <f>IFERROR(IF('PRODUCTOS'!$G307&lt;&gt;"",'PRODUCTOS'!$AF307,""),"")</f>
        <v/>
      </c>
      <c r="G307" s="40">
        <f>IFERROR(IF('PRODUCTOS'!$G307&lt;&gt;"",'PRODUCTOS'!$AG307,""),"")</f>
        <v/>
      </c>
    </row>
    <row r="308">
      <c r="A308" s="39">
        <f>IFERROR(IF('PRODUCTOS'!$G308&lt;&gt;"",'PRODUCTOS'!$A308,""),"")</f>
        <v/>
      </c>
      <c r="B308" s="39">
        <f>IFERROR(IF('PRODUCTOS'!$G308&lt;&gt;"",'PRODUCTOS'!$G308,""),"")</f>
        <v/>
      </c>
      <c r="C308" s="39">
        <f>IFERROR(IF('PRODUCTOS'!$G308&lt;&gt;"",'PRODUCTOS'!$I308,""),"")</f>
        <v/>
      </c>
      <c r="D308" s="39">
        <f>IFERROR(IF('PRODUCTOS'!$G308&lt;&gt;"",'PRODUCTOS'!$J308,""),"")</f>
        <v/>
      </c>
      <c r="E308" s="39">
        <f>IFERROR(IF('PRODUCTOS'!$G308&lt;&gt;"",'PRODUCTOS'!$X308,""),"")</f>
        <v/>
      </c>
      <c r="F308" s="40">
        <f>IFERROR(IF('PRODUCTOS'!$G308&lt;&gt;"",'PRODUCTOS'!$AF308,""),"")</f>
        <v/>
      </c>
      <c r="G308" s="40">
        <f>IFERROR(IF('PRODUCTOS'!$G308&lt;&gt;"",'PRODUCTOS'!$AG308,""),"")</f>
        <v/>
      </c>
    </row>
    <row r="309">
      <c r="A309" s="39">
        <f>IFERROR(IF('PRODUCTOS'!$G309&lt;&gt;"",'PRODUCTOS'!$A309,""),"")</f>
        <v/>
      </c>
      <c r="B309" s="39">
        <f>IFERROR(IF('PRODUCTOS'!$G309&lt;&gt;"",'PRODUCTOS'!$G309,""),"")</f>
        <v/>
      </c>
      <c r="C309" s="39">
        <f>IFERROR(IF('PRODUCTOS'!$G309&lt;&gt;"",'PRODUCTOS'!$I309,""),"")</f>
        <v/>
      </c>
      <c r="D309" s="39">
        <f>IFERROR(IF('PRODUCTOS'!$G309&lt;&gt;"",'PRODUCTOS'!$J309,""),"")</f>
        <v/>
      </c>
      <c r="E309" s="39">
        <f>IFERROR(IF('PRODUCTOS'!$G309&lt;&gt;"",'PRODUCTOS'!$X309,""),"")</f>
        <v/>
      </c>
      <c r="F309" s="40">
        <f>IFERROR(IF('PRODUCTOS'!$G309&lt;&gt;"",'PRODUCTOS'!$AF309,""),"")</f>
        <v/>
      </c>
      <c r="G309" s="40">
        <f>IFERROR(IF('PRODUCTOS'!$G309&lt;&gt;"",'PRODUCTOS'!$AG309,""),"")</f>
        <v/>
      </c>
    </row>
    <row r="310">
      <c r="A310" s="39">
        <f>IFERROR(IF('PRODUCTOS'!$G310&lt;&gt;"",'PRODUCTOS'!$A310,""),"")</f>
        <v/>
      </c>
      <c r="B310" s="39">
        <f>IFERROR(IF('PRODUCTOS'!$G310&lt;&gt;"",'PRODUCTOS'!$G310,""),"")</f>
        <v/>
      </c>
      <c r="C310" s="39">
        <f>IFERROR(IF('PRODUCTOS'!$G310&lt;&gt;"",'PRODUCTOS'!$I310,""),"")</f>
        <v/>
      </c>
      <c r="D310" s="39">
        <f>IFERROR(IF('PRODUCTOS'!$G310&lt;&gt;"",'PRODUCTOS'!$J310,""),"")</f>
        <v/>
      </c>
      <c r="E310" s="39">
        <f>IFERROR(IF('PRODUCTOS'!$G310&lt;&gt;"",'PRODUCTOS'!$X310,""),"")</f>
        <v/>
      </c>
      <c r="F310" s="40">
        <f>IFERROR(IF('PRODUCTOS'!$G310&lt;&gt;"",'PRODUCTOS'!$AF310,""),"")</f>
        <v/>
      </c>
      <c r="G310" s="40">
        <f>IFERROR(IF('PRODUCTOS'!$G310&lt;&gt;"",'PRODUCTOS'!$AG310,""),"")</f>
        <v/>
      </c>
    </row>
    <row r="311">
      <c r="A311" s="39">
        <f>IFERROR(IF('PRODUCTOS'!$G311&lt;&gt;"",'PRODUCTOS'!$A311,""),"")</f>
        <v/>
      </c>
      <c r="B311" s="39">
        <f>IFERROR(IF('PRODUCTOS'!$G311&lt;&gt;"",'PRODUCTOS'!$G311,""),"")</f>
        <v/>
      </c>
      <c r="C311" s="39">
        <f>IFERROR(IF('PRODUCTOS'!$G311&lt;&gt;"",'PRODUCTOS'!$I311,""),"")</f>
        <v/>
      </c>
      <c r="D311" s="39">
        <f>IFERROR(IF('PRODUCTOS'!$G311&lt;&gt;"",'PRODUCTOS'!$J311,""),"")</f>
        <v/>
      </c>
      <c r="E311" s="39">
        <f>IFERROR(IF('PRODUCTOS'!$G311&lt;&gt;"",'PRODUCTOS'!$X311,""),"")</f>
        <v/>
      </c>
      <c r="F311" s="40">
        <f>IFERROR(IF('PRODUCTOS'!$G311&lt;&gt;"",'PRODUCTOS'!$AF311,""),"")</f>
        <v/>
      </c>
      <c r="G311" s="40">
        <f>IFERROR(IF('PRODUCTOS'!$G311&lt;&gt;"",'PRODUCTOS'!$AG311,""),"")</f>
        <v/>
      </c>
    </row>
    <row r="312">
      <c r="A312" s="39">
        <f>IFERROR(IF('PRODUCTOS'!$G312&lt;&gt;"",'PRODUCTOS'!$A312,""),"")</f>
        <v/>
      </c>
      <c r="B312" s="39">
        <f>IFERROR(IF('PRODUCTOS'!$G312&lt;&gt;"",'PRODUCTOS'!$G312,""),"")</f>
        <v/>
      </c>
      <c r="C312" s="39">
        <f>IFERROR(IF('PRODUCTOS'!$G312&lt;&gt;"",'PRODUCTOS'!$I312,""),"")</f>
        <v/>
      </c>
      <c r="D312" s="39">
        <f>IFERROR(IF('PRODUCTOS'!$G312&lt;&gt;"",'PRODUCTOS'!$J312,""),"")</f>
        <v/>
      </c>
      <c r="E312" s="39">
        <f>IFERROR(IF('PRODUCTOS'!$G312&lt;&gt;"",'PRODUCTOS'!$X312,""),"")</f>
        <v/>
      </c>
      <c r="F312" s="40">
        <f>IFERROR(IF('PRODUCTOS'!$G312&lt;&gt;"",'PRODUCTOS'!$AF312,""),"")</f>
        <v/>
      </c>
      <c r="G312" s="40">
        <f>IFERROR(IF('PRODUCTOS'!$G312&lt;&gt;"",'PRODUCTOS'!$AG312,""),"")</f>
        <v/>
      </c>
    </row>
    <row r="313">
      <c r="A313" s="39">
        <f>IFERROR(IF('PRODUCTOS'!$G313&lt;&gt;"",'PRODUCTOS'!$A313,""),"")</f>
        <v/>
      </c>
      <c r="B313" s="39">
        <f>IFERROR(IF('PRODUCTOS'!$G313&lt;&gt;"",'PRODUCTOS'!$G313,""),"")</f>
        <v/>
      </c>
      <c r="C313" s="39">
        <f>IFERROR(IF('PRODUCTOS'!$G313&lt;&gt;"",'PRODUCTOS'!$I313,""),"")</f>
        <v/>
      </c>
      <c r="D313" s="39">
        <f>IFERROR(IF('PRODUCTOS'!$G313&lt;&gt;"",'PRODUCTOS'!$J313,""),"")</f>
        <v/>
      </c>
      <c r="E313" s="39">
        <f>IFERROR(IF('PRODUCTOS'!$G313&lt;&gt;"",'PRODUCTOS'!$X313,""),"")</f>
        <v/>
      </c>
      <c r="F313" s="40">
        <f>IFERROR(IF('PRODUCTOS'!$G313&lt;&gt;"",'PRODUCTOS'!$AF313,""),"")</f>
        <v/>
      </c>
      <c r="G313" s="40">
        <f>IFERROR(IF('PRODUCTOS'!$G313&lt;&gt;"",'PRODUCTOS'!$AG313,""),"")</f>
        <v/>
      </c>
    </row>
    <row r="314">
      <c r="A314" s="39">
        <f>IFERROR(IF('PRODUCTOS'!$G314&lt;&gt;"",'PRODUCTOS'!$A314,""),"")</f>
        <v/>
      </c>
      <c r="B314" s="39">
        <f>IFERROR(IF('PRODUCTOS'!$G314&lt;&gt;"",'PRODUCTOS'!$G314,""),"")</f>
        <v/>
      </c>
      <c r="C314" s="39">
        <f>IFERROR(IF('PRODUCTOS'!$G314&lt;&gt;"",'PRODUCTOS'!$I314,""),"")</f>
        <v/>
      </c>
      <c r="D314" s="39">
        <f>IFERROR(IF('PRODUCTOS'!$G314&lt;&gt;"",'PRODUCTOS'!$J314,""),"")</f>
        <v/>
      </c>
      <c r="E314" s="39">
        <f>IFERROR(IF('PRODUCTOS'!$G314&lt;&gt;"",'PRODUCTOS'!$X314,""),"")</f>
        <v/>
      </c>
      <c r="F314" s="40">
        <f>IFERROR(IF('PRODUCTOS'!$G314&lt;&gt;"",'PRODUCTOS'!$AF314,""),"")</f>
        <v/>
      </c>
      <c r="G314" s="40">
        <f>IFERROR(IF('PRODUCTOS'!$G314&lt;&gt;"",'PRODUCTOS'!$AG314,""),"")</f>
        <v/>
      </c>
    </row>
    <row r="315">
      <c r="A315" s="39">
        <f>IFERROR(IF('PRODUCTOS'!$G315&lt;&gt;"",'PRODUCTOS'!$A315,""),"")</f>
        <v/>
      </c>
      <c r="B315" s="39">
        <f>IFERROR(IF('PRODUCTOS'!$G315&lt;&gt;"",'PRODUCTOS'!$G315,""),"")</f>
        <v/>
      </c>
      <c r="C315" s="39">
        <f>IFERROR(IF('PRODUCTOS'!$G315&lt;&gt;"",'PRODUCTOS'!$I315,""),"")</f>
        <v/>
      </c>
      <c r="D315" s="39">
        <f>IFERROR(IF('PRODUCTOS'!$G315&lt;&gt;"",'PRODUCTOS'!$J315,""),"")</f>
        <v/>
      </c>
      <c r="E315" s="39">
        <f>IFERROR(IF('PRODUCTOS'!$G315&lt;&gt;"",'PRODUCTOS'!$X315,""),"")</f>
        <v/>
      </c>
      <c r="F315" s="40">
        <f>IFERROR(IF('PRODUCTOS'!$G315&lt;&gt;"",'PRODUCTOS'!$AF315,""),"")</f>
        <v/>
      </c>
      <c r="G315" s="40">
        <f>IFERROR(IF('PRODUCTOS'!$G315&lt;&gt;"",'PRODUCTOS'!$AG315,""),"")</f>
        <v/>
      </c>
    </row>
    <row r="316">
      <c r="A316" s="39">
        <f>IFERROR(IF('PRODUCTOS'!$G316&lt;&gt;"",'PRODUCTOS'!$A316,""),"")</f>
        <v/>
      </c>
      <c r="B316" s="39">
        <f>IFERROR(IF('PRODUCTOS'!$G316&lt;&gt;"",'PRODUCTOS'!$G316,""),"")</f>
        <v/>
      </c>
      <c r="C316" s="39">
        <f>IFERROR(IF('PRODUCTOS'!$G316&lt;&gt;"",'PRODUCTOS'!$I316,""),"")</f>
        <v/>
      </c>
      <c r="D316" s="39">
        <f>IFERROR(IF('PRODUCTOS'!$G316&lt;&gt;"",'PRODUCTOS'!$J316,""),"")</f>
        <v/>
      </c>
      <c r="E316" s="39">
        <f>IFERROR(IF('PRODUCTOS'!$G316&lt;&gt;"",'PRODUCTOS'!$X316,""),"")</f>
        <v/>
      </c>
      <c r="F316" s="40">
        <f>IFERROR(IF('PRODUCTOS'!$G316&lt;&gt;"",'PRODUCTOS'!$AF316,""),"")</f>
        <v/>
      </c>
      <c r="G316" s="40">
        <f>IFERROR(IF('PRODUCTOS'!$G316&lt;&gt;"",'PRODUCTOS'!$AG316,""),"")</f>
        <v/>
      </c>
    </row>
    <row r="317">
      <c r="A317" s="39">
        <f>IFERROR(IF('PRODUCTOS'!$G317&lt;&gt;"",'PRODUCTOS'!$A317,""),"")</f>
        <v/>
      </c>
      <c r="B317" s="39">
        <f>IFERROR(IF('PRODUCTOS'!$G317&lt;&gt;"",'PRODUCTOS'!$G317,""),"")</f>
        <v/>
      </c>
      <c r="C317" s="39">
        <f>IFERROR(IF('PRODUCTOS'!$G317&lt;&gt;"",'PRODUCTOS'!$I317,""),"")</f>
        <v/>
      </c>
      <c r="D317" s="39">
        <f>IFERROR(IF('PRODUCTOS'!$G317&lt;&gt;"",'PRODUCTOS'!$J317,""),"")</f>
        <v/>
      </c>
      <c r="E317" s="39">
        <f>IFERROR(IF('PRODUCTOS'!$G317&lt;&gt;"",'PRODUCTOS'!$X317,""),"")</f>
        <v/>
      </c>
      <c r="F317" s="40">
        <f>IFERROR(IF('PRODUCTOS'!$G317&lt;&gt;"",'PRODUCTOS'!$AF317,""),"")</f>
        <v/>
      </c>
      <c r="G317" s="40">
        <f>IFERROR(IF('PRODUCTOS'!$G317&lt;&gt;"",'PRODUCTOS'!$AG317,""),"")</f>
        <v/>
      </c>
    </row>
    <row r="318">
      <c r="A318" s="39">
        <f>IFERROR(IF('PRODUCTOS'!$G318&lt;&gt;"",'PRODUCTOS'!$A318,""),"")</f>
        <v/>
      </c>
      <c r="B318" s="39">
        <f>IFERROR(IF('PRODUCTOS'!$G318&lt;&gt;"",'PRODUCTOS'!$G318,""),"")</f>
        <v/>
      </c>
      <c r="C318" s="39">
        <f>IFERROR(IF('PRODUCTOS'!$G318&lt;&gt;"",'PRODUCTOS'!$I318,""),"")</f>
        <v/>
      </c>
      <c r="D318" s="39">
        <f>IFERROR(IF('PRODUCTOS'!$G318&lt;&gt;"",'PRODUCTOS'!$J318,""),"")</f>
        <v/>
      </c>
      <c r="E318" s="39">
        <f>IFERROR(IF('PRODUCTOS'!$G318&lt;&gt;"",'PRODUCTOS'!$X318,""),"")</f>
        <v/>
      </c>
      <c r="F318" s="40">
        <f>IFERROR(IF('PRODUCTOS'!$G318&lt;&gt;"",'PRODUCTOS'!$AF318,""),"")</f>
        <v/>
      </c>
      <c r="G318" s="40">
        <f>IFERROR(IF('PRODUCTOS'!$G318&lt;&gt;"",'PRODUCTOS'!$AG318,""),"")</f>
        <v/>
      </c>
    </row>
    <row r="319">
      <c r="A319" s="39">
        <f>IFERROR(IF('PRODUCTOS'!$G319&lt;&gt;"",'PRODUCTOS'!$A319,""),"")</f>
        <v/>
      </c>
      <c r="B319" s="39">
        <f>IFERROR(IF('PRODUCTOS'!$G319&lt;&gt;"",'PRODUCTOS'!$G319,""),"")</f>
        <v/>
      </c>
      <c r="C319" s="39">
        <f>IFERROR(IF('PRODUCTOS'!$G319&lt;&gt;"",'PRODUCTOS'!$I319,""),"")</f>
        <v/>
      </c>
      <c r="D319" s="39">
        <f>IFERROR(IF('PRODUCTOS'!$G319&lt;&gt;"",'PRODUCTOS'!$J319,""),"")</f>
        <v/>
      </c>
      <c r="E319" s="39">
        <f>IFERROR(IF('PRODUCTOS'!$G319&lt;&gt;"",'PRODUCTOS'!$X319,""),"")</f>
        <v/>
      </c>
      <c r="F319" s="40">
        <f>IFERROR(IF('PRODUCTOS'!$G319&lt;&gt;"",'PRODUCTOS'!$AF319,""),"")</f>
        <v/>
      </c>
      <c r="G319" s="40">
        <f>IFERROR(IF('PRODUCTOS'!$G319&lt;&gt;"",'PRODUCTOS'!$AG319,""),"")</f>
        <v/>
      </c>
    </row>
    <row r="320">
      <c r="A320" s="39">
        <f>IFERROR(IF('PRODUCTOS'!$G320&lt;&gt;"",'PRODUCTOS'!$A320,""),"")</f>
        <v/>
      </c>
      <c r="B320" s="39">
        <f>IFERROR(IF('PRODUCTOS'!$G320&lt;&gt;"",'PRODUCTOS'!$G320,""),"")</f>
        <v/>
      </c>
      <c r="C320" s="39">
        <f>IFERROR(IF('PRODUCTOS'!$G320&lt;&gt;"",'PRODUCTOS'!$I320,""),"")</f>
        <v/>
      </c>
      <c r="D320" s="39">
        <f>IFERROR(IF('PRODUCTOS'!$G320&lt;&gt;"",'PRODUCTOS'!$J320,""),"")</f>
        <v/>
      </c>
      <c r="E320" s="39">
        <f>IFERROR(IF('PRODUCTOS'!$G320&lt;&gt;"",'PRODUCTOS'!$X320,""),"")</f>
        <v/>
      </c>
      <c r="F320" s="40">
        <f>IFERROR(IF('PRODUCTOS'!$G320&lt;&gt;"",'PRODUCTOS'!$AF320,""),"")</f>
        <v/>
      </c>
      <c r="G320" s="40">
        <f>IFERROR(IF('PRODUCTOS'!$G320&lt;&gt;"",'PRODUCTOS'!$AG320,""),"")</f>
        <v/>
      </c>
    </row>
    <row r="321">
      <c r="A321" s="39">
        <f>IFERROR(IF('PRODUCTOS'!$G321&lt;&gt;"",'PRODUCTOS'!$A321,""),"")</f>
        <v/>
      </c>
      <c r="B321" s="39">
        <f>IFERROR(IF('PRODUCTOS'!$G321&lt;&gt;"",'PRODUCTOS'!$G321,""),"")</f>
        <v/>
      </c>
      <c r="C321" s="39">
        <f>IFERROR(IF('PRODUCTOS'!$G321&lt;&gt;"",'PRODUCTOS'!$I321,""),"")</f>
        <v/>
      </c>
      <c r="D321" s="39">
        <f>IFERROR(IF('PRODUCTOS'!$G321&lt;&gt;"",'PRODUCTOS'!$J321,""),"")</f>
        <v/>
      </c>
      <c r="E321" s="39">
        <f>IFERROR(IF('PRODUCTOS'!$G321&lt;&gt;"",'PRODUCTOS'!$X321,""),"")</f>
        <v/>
      </c>
      <c r="F321" s="40">
        <f>IFERROR(IF('PRODUCTOS'!$G321&lt;&gt;"",'PRODUCTOS'!$AF321,""),"")</f>
        <v/>
      </c>
      <c r="G321" s="40">
        <f>IFERROR(IF('PRODUCTOS'!$G321&lt;&gt;"",'PRODUCTOS'!$AG321,""),"")</f>
        <v/>
      </c>
    </row>
    <row r="322">
      <c r="A322" s="39">
        <f>IFERROR(IF('PRODUCTOS'!$G322&lt;&gt;"",'PRODUCTOS'!$A322,""),"")</f>
        <v/>
      </c>
      <c r="B322" s="39">
        <f>IFERROR(IF('PRODUCTOS'!$G322&lt;&gt;"",'PRODUCTOS'!$G322,""),"")</f>
        <v/>
      </c>
      <c r="C322" s="39">
        <f>IFERROR(IF('PRODUCTOS'!$G322&lt;&gt;"",'PRODUCTOS'!$I322,""),"")</f>
        <v/>
      </c>
      <c r="D322" s="39">
        <f>IFERROR(IF('PRODUCTOS'!$G322&lt;&gt;"",'PRODUCTOS'!$J322,""),"")</f>
        <v/>
      </c>
      <c r="E322" s="39">
        <f>IFERROR(IF('PRODUCTOS'!$G322&lt;&gt;"",'PRODUCTOS'!$X322,""),"")</f>
        <v/>
      </c>
      <c r="F322" s="40">
        <f>IFERROR(IF('PRODUCTOS'!$G322&lt;&gt;"",'PRODUCTOS'!$AF322,""),"")</f>
        <v/>
      </c>
      <c r="G322" s="40">
        <f>IFERROR(IF('PRODUCTOS'!$G322&lt;&gt;"",'PRODUCTOS'!$AG322,""),"")</f>
        <v/>
      </c>
    </row>
    <row r="323">
      <c r="A323" s="39">
        <f>IFERROR(IF('PRODUCTOS'!$G323&lt;&gt;"",'PRODUCTOS'!$A323,""),"")</f>
        <v/>
      </c>
      <c r="B323" s="39">
        <f>IFERROR(IF('PRODUCTOS'!$G323&lt;&gt;"",'PRODUCTOS'!$G323,""),"")</f>
        <v/>
      </c>
      <c r="C323" s="39">
        <f>IFERROR(IF('PRODUCTOS'!$G323&lt;&gt;"",'PRODUCTOS'!$I323,""),"")</f>
        <v/>
      </c>
      <c r="D323" s="39">
        <f>IFERROR(IF('PRODUCTOS'!$G323&lt;&gt;"",'PRODUCTOS'!$J323,""),"")</f>
        <v/>
      </c>
      <c r="E323" s="39">
        <f>IFERROR(IF('PRODUCTOS'!$G323&lt;&gt;"",'PRODUCTOS'!$X323,""),"")</f>
        <v/>
      </c>
      <c r="F323" s="40">
        <f>IFERROR(IF('PRODUCTOS'!$G323&lt;&gt;"",'PRODUCTOS'!$AF323,""),"")</f>
        <v/>
      </c>
      <c r="G323" s="40">
        <f>IFERROR(IF('PRODUCTOS'!$G323&lt;&gt;"",'PRODUCTOS'!$AG323,""),"")</f>
        <v/>
      </c>
    </row>
    <row r="324">
      <c r="A324" s="39">
        <f>IFERROR(IF('PRODUCTOS'!$G324&lt;&gt;"",'PRODUCTOS'!$A324,""),"")</f>
        <v/>
      </c>
      <c r="B324" s="39">
        <f>IFERROR(IF('PRODUCTOS'!$G324&lt;&gt;"",'PRODUCTOS'!$G324,""),"")</f>
        <v/>
      </c>
      <c r="C324" s="39">
        <f>IFERROR(IF('PRODUCTOS'!$G324&lt;&gt;"",'PRODUCTOS'!$I324,""),"")</f>
        <v/>
      </c>
      <c r="D324" s="39">
        <f>IFERROR(IF('PRODUCTOS'!$G324&lt;&gt;"",'PRODUCTOS'!$J324,""),"")</f>
        <v/>
      </c>
      <c r="E324" s="39">
        <f>IFERROR(IF('PRODUCTOS'!$G324&lt;&gt;"",'PRODUCTOS'!$X324,""),"")</f>
        <v/>
      </c>
      <c r="F324" s="40">
        <f>IFERROR(IF('PRODUCTOS'!$G324&lt;&gt;"",'PRODUCTOS'!$AF324,""),"")</f>
        <v/>
      </c>
      <c r="G324" s="40">
        <f>IFERROR(IF('PRODUCTOS'!$G324&lt;&gt;"",'PRODUCTOS'!$AG324,""),"")</f>
        <v/>
      </c>
    </row>
    <row r="325">
      <c r="A325" s="39">
        <f>IFERROR(IF('PRODUCTOS'!$G325&lt;&gt;"",'PRODUCTOS'!$A325,""),"")</f>
        <v/>
      </c>
      <c r="B325" s="39">
        <f>IFERROR(IF('PRODUCTOS'!$G325&lt;&gt;"",'PRODUCTOS'!$G325,""),"")</f>
        <v/>
      </c>
      <c r="C325" s="39">
        <f>IFERROR(IF('PRODUCTOS'!$G325&lt;&gt;"",'PRODUCTOS'!$I325,""),"")</f>
        <v/>
      </c>
      <c r="D325" s="39">
        <f>IFERROR(IF('PRODUCTOS'!$G325&lt;&gt;"",'PRODUCTOS'!$J325,""),"")</f>
        <v/>
      </c>
      <c r="E325" s="39">
        <f>IFERROR(IF('PRODUCTOS'!$G325&lt;&gt;"",'PRODUCTOS'!$X325,""),"")</f>
        <v/>
      </c>
      <c r="F325" s="40">
        <f>IFERROR(IF('PRODUCTOS'!$G325&lt;&gt;"",'PRODUCTOS'!$AF325,""),"")</f>
        <v/>
      </c>
      <c r="G325" s="40">
        <f>IFERROR(IF('PRODUCTOS'!$G325&lt;&gt;"",'PRODUCTOS'!$AG325,""),"")</f>
        <v/>
      </c>
    </row>
    <row r="326">
      <c r="A326" s="39">
        <f>IFERROR(IF('PRODUCTOS'!$G326&lt;&gt;"",'PRODUCTOS'!$A326,""),"")</f>
        <v/>
      </c>
      <c r="B326" s="39">
        <f>IFERROR(IF('PRODUCTOS'!$G326&lt;&gt;"",'PRODUCTOS'!$G326,""),"")</f>
        <v/>
      </c>
      <c r="C326" s="39">
        <f>IFERROR(IF('PRODUCTOS'!$G326&lt;&gt;"",'PRODUCTOS'!$I326,""),"")</f>
        <v/>
      </c>
      <c r="D326" s="39">
        <f>IFERROR(IF('PRODUCTOS'!$G326&lt;&gt;"",'PRODUCTOS'!$J326,""),"")</f>
        <v/>
      </c>
      <c r="E326" s="39">
        <f>IFERROR(IF('PRODUCTOS'!$G326&lt;&gt;"",'PRODUCTOS'!$X326,""),"")</f>
        <v/>
      </c>
      <c r="F326" s="40">
        <f>IFERROR(IF('PRODUCTOS'!$G326&lt;&gt;"",'PRODUCTOS'!$AF326,""),"")</f>
        <v/>
      </c>
      <c r="G326" s="40">
        <f>IFERROR(IF('PRODUCTOS'!$G326&lt;&gt;"",'PRODUCTOS'!$AG326,""),"")</f>
        <v/>
      </c>
    </row>
    <row r="327">
      <c r="A327" s="39">
        <f>IFERROR(IF('PRODUCTOS'!$G327&lt;&gt;"",'PRODUCTOS'!$A327,""),"")</f>
        <v/>
      </c>
      <c r="B327" s="39">
        <f>IFERROR(IF('PRODUCTOS'!$G327&lt;&gt;"",'PRODUCTOS'!$G327,""),"")</f>
        <v/>
      </c>
      <c r="C327" s="39">
        <f>IFERROR(IF('PRODUCTOS'!$G327&lt;&gt;"",'PRODUCTOS'!$I327,""),"")</f>
        <v/>
      </c>
      <c r="D327" s="39">
        <f>IFERROR(IF('PRODUCTOS'!$G327&lt;&gt;"",'PRODUCTOS'!$J327,""),"")</f>
        <v/>
      </c>
      <c r="E327" s="39">
        <f>IFERROR(IF('PRODUCTOS'!$G327&lt;&gt;"",'PRODUCTOS'!$X327,""),"")</f>
        <v/>
      </c>
      <c r="F327" s="40">
        <f>IFERROR(IF('PRODUCTOS'!$G327&lt;&gt;"",'PRODUCTOS'!$AF327,""),"")</f>
        <v/>
      </c>
      <c r="G327" s="40">
        <f>IFERROR(IF('PRODUCTOS'!$G327&lt;&gt;"",'PRODUCTOS'!$AG327,""),"")</f>
        <v/>
      </c>
    </row>
    <row r="328">
      <c r="A328" s="39">
        <f>IFERROR(IF('PRODUCTOS'!$G328&lt;&gt;"",'PRODUCTOS'!$A328,""),"")</f>
        <v/>
      </c>
      <c r="B328" s="39">
        <f>IFERROR(IF('PRODUCTOS'!$G328&lt;&gt;"",'PRODUCTOS'!$G328,""),"")</f>
        <v/>
      </c>
      <c r="C328" s="39">
        <f>IFERROR(IF('PRODUCTOS'!$G328&lt;&gt;"",'PRODUCTOS'!$I328,""),"")</f>
        <v/>
      </c>
      <c r="D328" s="39">
        <f>IFERROR(IF('PRODUCTOS'!$G328&lt;&gt;"",'PRODUCTOS'!$J328,""),"")</f>
        <v/>
      </c>
      <c r="E328" s="39">
        <f>IFERROR(IF('PRODUCTOS'!$G328&lt;&gt;"",'PRODUCTOS'!$X328,""),"")</f>
        <v/>
      </c>
      <c r="F328" s="40">
        <f>IFERROR(IF('PRODUCTOS'!$G328&lt;&gt;"",'PRODUCTOS'!$AF328,""),"")</f>
        <v/>
      </c>
      <c r="G328" s="40">
        <f>IFERROR(IF('PRODUCTOS'!$G328&lt;&gt;"",'PRODUCTOS'!$AG328,""),"")</f>
        <v/>
      </c>
    </row>
    <row r="329">
      <c r="A329" s="39">
        <f>IFERROR(IF('PRODUCTOS'!$G329&lt;&gt;"",'PRODUCTOS'!$A329,""),"")</f>
        <v/>
      </c>
      <c r="B329" s="39">
        <f>IFERROR(IF('PRODUCTOS'!$G329&lt;&gt;"",'PRODUCTOS'!$G329,""),"")</f>
        <v/>
      </c>
      <c r="C329" s="39">
        <f>IFERROR(IF('PRODUCTOS'!$G329&lt;&gt;"",'PRODUCTOS'!$I329,""),"")</f>
        <v/>
      </c>
      <c r="D329" s="39">
        <f>IFERROR(IF('PRODUCTOS'!$G329&lt;&gt;"",'PRODUCTOS'!$J329,""),"")</f>
        <v/>
      </c>
      <c r="E329" s="39">
        <f>IFERROR(IF('PRODUCTOS'!$G329&lt;&gt;"",'PRODUCTOS'!$X329,""),"")</f>
        <v/>
      </c>
      <c r="F329" s="40">
        <f>IFERROR(IF('PRODUCTOS'!$G329&lt;&gt;"",'PRODUCTOS'!$AF329,""),"")</f>
        <v/>
      </c>
      <c r="G329" s="40">
        <f>IFERROR(IF('PRODUCTOS'!$G329&lt;&gt;"",'PRODUCTOS'!$AG329,""),"")</f>
        <v/>
      </c>
    </row>
    <row r="330">
      <c r="A330" s="39">
        <f>IFERROR(IF('PRODUCTOS'!$G330&lt;&gt;"",'PRODUCTOS'!$A330,""),"")</f>
        <v/>
      </c>
      <c r="B330" s="39">
        <f>IFERROR(IF('PRODUCTOS'!$G330&lt;&gt;"",'PRODUCTOS'!$G330,""),"")</f>
        <v/>
      </c>
      <c r="C330" s="39">
        <f>IFERROR(IF('PRODUCTOS'!$G330&lt;&gt;"",'PRODUCTOS'!$I330,""),"")</f>
        <v/>
      </c>
      <c r="D330" s="39">
        <f>IFERROR(IF('PRODUCTOS'!$G330&lt;&gt;"",'PRODUCTOS'!$J330,""),"")</f>
        <v/>
      </c>
      <c r="E330" s="39">
        <f>IFERROR(IF('PRODUCTOS'!$G330&lt;&gt;"",'PRODUCTOS'!$X330,""),"")</f>
        <v/>
      </c>
      <c r="F330" s="40">
        <f>IFERROR(IF('PRODUCTOS'!$G330&lt;&gt;"",'PRODUCTOS'!$AF330,""),"")</f>
        <v/>
      </c>
      <c r="G330" s="40">
        <f>IFERROR(IF('PRODUCTOS'!$G330&lt;&gt;"",'PRODUCTOS'!$AG330,""),"")</f>
        <v/>
      </c>
    </row>
    <row r="331">
      <c r="A331" s="39">
        <f>IFERROR(IF('PRODUCTOS'!$G331&lt;&gt;"",'PRODUCTOS'!$A331,""),"")</f>
        <v/>
      </c>
      <c r="B331" s="39">
        <f>IFERROR(IF('PRODUCTOS'!$G331&lt;&gt;"",'PRODUCTOS'!$G331,""),"")</f>
        <v/>
      </c>
      <c r="C331" s="39">
        <f>IFERROR(IF('PRODUCTOS'!$G331&lt;&gt;"",'PRODUCTOS'!$I331,""),"")</f>
        <v/>
      </c>
      <c r="D331" s="39">
        <f>IFERROR(IF('PRODUCTOS'!$G331&lt;&gt;"",'PRODUCTOS'!$J331,""),"")</f>
        <v/>
      </c>
      <c r="E331" s="39">
        <f>IFERROR(IF('PRODUCTOS'!$G331&lt;&gt;"",'PRODUCTOS'!$X331,""),"")</f>
        <v/>
      </c>
      <c r="F331" s="40">
        <f>IFERROR(IF('PRODUCTOS'!$G331&lt;&gt;"",'PRODUCTOS'!$AF331,""),"")</f>
        <v/>
      </c>
      <c r="G331" s="40">
        <f>IFERROR(IF('PRODUCTOS'!$G331&lt;&gt;"",'PRODUCTOS'!$AG331,""),"")</f>
        <v/>
      </c>
    </row>
    <row r="332">
      <c r="A332" s="39">
        <f>IFERROR(IF('PRODUCTOS'!$G332&lt;&gt;"",'PRODUCTOS'!$A332,""),"")</f>
        <v/>
      </c>
      <c r="B332" s="39">
        <f>IFERROR(IF('PRODUCTOS'!$G332&lt;&gt;"",'PRODUCTOS'!$G332,""),"")</f>
        <v/>
      </c>
      <c r="C332" s="39">
        <f>IFERROR(IF('PRODUCTOS'!$G332&lt;&gt;"",'PRODUCTOS'!$I332,""),"")</f>
        <v/>
      </c>
      <c r="D332" s="39">
        <f>IFERROR(IF('PRODUCTOS'!$G332&lt;&gt;"",'PRODUCTOS'!$J332,""),"")</f>
        <v/>
      </c>
      <c r="E332" s="39">
        <f>IFERROR(IF('PRODUCTOS'!$G332&lt;&gt;"",'PRODUCTOS'!$X332,""),"")</f>
        <v/>
      </c>
      <c r="F332" s="40">
        <f>IFERROR(IF('PRODUCTOS'!$G332&lt;&gt;"",'PRODUCTOS'!$AF332,""),"")</f>
        <v/>
      </c>
      <c r="G332" s="40">
        <f>IFERROR(IF('PRODUCTOS'!$G332&lt;&gt;"",'PRODUCTOS'!$AG332,""),"")</f>
        <v/>
      </c>
    </row>
    <row r="333">
      <c r="A333" s="39">
        <f>IFERROR(IF('PRODUCTOS'!$G333&lt;&gt;"",'PRODUCTOS'!$A333,""),"")</f>
        <v/>
      </c>
      <c r="B333" s="39">
        <f>IFERROR(IF('PRODUCTOS'!$G333&lt;&gt;"",'PRODUCTOS'!$G333,""),"")</f>
        <v/>
      </c>
      <c r="C333" s="39">
        <f>IFERROR(IF('PRODUCTOS'!$G333&lt;&gt;"",'PRODUCTOS'!$I333,""),"")</f>
        <v/>
      </c>
      <c r="D333" s="39">
        <f>IFERROR(IF('PRODUCTOS'!$G333&lt;&gt;"",'PRODUCTOS'!$J333,""),"")</f>
        <v/>
      </c>
      <c r="E333" s="39">
        <f>IFERROR(IF('PRODUCTOS'!$G333&lt;&gt;"",'PRODUCTOS'!$X333,""),"")</f>
        <v/>
      </c>
      <c r="F333" s="40">
        <f>IFERROR(IF('PRODUCTOS'!$G333&lt;&gt;"",'PRODUCTOS'!$AF333,""),"")</f>
        <v/>
      </c>
      <c r="G333" s="40">
        <f>IFERROR(IF('PRODUCTOS'!$G333&lt;&gt;"",'PRODUCTOS'!$AG333,""),"")</f>
        <v/>
      </c>
    </row>
    <row r="334">
      <c r="A334" s="39">
        <f>IFERROR(IF('PRODUCTOS'!$G334&lt;&gt;"",'PRODUCTOS'!$A334,""),"")</f>
        <v/>
      </c>
      <c r="B334" s="39">
        <f>IFERROR(IF('PRODUCTOS'!$G334&lt;&gt;"",'PRODUCTOS'!$G334,""),"")</f>
        <v/>
      </c>
      <c r="C334" s="39">
        <f>IFERROR(IF('PRODUCTOS'!$G334&lt;&gt;"",'PRODUCTOS'!$I334,""),"")</f>
        <v/>
      </c>
      <c r="D334" s="39">
        <f>IFERROR(IF('PRODUCTOS'!$G334&lt;&gt;"",'PRODUCTOS'!$J334,""),"")</f>
        <v/>
      </c>
      <c r="E334" s="39">
        <f>IFERROR(IF('PRODUCTOS'!$G334&lt;&gt;"",'PRODUCTOS'!$X334,""),"")</f>
        <v/>
      </c>
      <c r="F334" s="40">
        <f>IFERROR(IF('PRODUCTOS'!$G334&lt;&gt;"",'PRODUCTOS'!$AF334,""),"")</f>
        <v/>
      </c>
      <c r="G334" s="40">
        <f>IFERROR(IF('PRODUCTOS'!$G334&lt;&gt;"",'PRODUCTOS'!$AG334,""),"")</f>
        <v/>
      </c>
    </row>
    <row r="335">
      <c r="A335" s="39">
        <f>IFERROR(IF('PRODUCTOS'!$G335&lt;&gt;"",'PRODUCTOS'!$A335,""),"")</f>
        <v/>
      </c>
      <c r="B335" s="39">
        <f>IFERROR(IF('PRODUCTOS'!$G335&lt;&gt;"",'PRODUCTOS'!$G335,""),"")</f>
        <v/>
      </c>
      <c r="C335" s="39">
        <f>IFERROR(IF('PRODUCTOS'!$G335&lt;&gt;"",'PRODUCTOS'!$I335,""),"")</f>
        <v/>
      </c>
      <c r="D335" s="39">
        <f>IFERROR(IF('PRODUCTOS'!$G335&lt;&gt;"",'PRODUCTOS'!$J335,""),"")</f>
        <v/>
      </c>
      <c r="E335" s="39">
        <f>IFERROR(IF('PRODUCTOS'!$G335&lt;&gt;"",'PRODUCTOS'!$X335,""),"")</f>
        <v/>
      </c>
      <c r="F335" s="40">
        <f>IFERROR(IF('PRODUCTOS'!$G335&lt;&gt;"",'PRODUCTOS'!$AF335,""),"")</f>
        <v/>
      </c>
      <c r="G335" s="40">
        <f>IFERROR(IF('PRODUCTOS'!$G335&lt;&gt;"",'PRODUCTOS'!$AG335,""),"")</f>
        <v/>
      </c>
    </row>
    <row r="336">
      <c r="A336" s="39">
        <f>IFERROR(IF('PRODUCTOS'!$G336&lt;&gt;"",'PRODUCTOS'!$A336,""),"")</f>
        <v/>
      </c>
      <c r="B336" s="39">
        <f>IFERROR(IF('PRODUCTOS'!$G336&lt;&gt;"",'PRODUCTOS'!$G336,""),"")</f>
        <v/>
      </c>
      <c r="C336" s="39">
        <f>IFERROR(IF('PRODUCTOS'!$G336&lt;&gt;"",'PRODUCTOS'!$I336,""),"")</f>
        <v/>
      </c>
      <c r="D336" s="39">
        <f>IFERROR(IF('PRODUCTOS'!$G336&lt;&gt;"",'PRODUCTOS'!$J336,""),"")</f>
        <v/>
      </c>
      <c r="E336" s="39">
        <f>IFERROR(IF('PRODUCTOS'!$G336&lt;&gt;"",'PRODUCTOS'!$X336,""),"")</f>
        <v/>
      </c>
      <c r="F336" s="40">
        <f>IFERROR(IF('PRODUCTOS'!$G336&lt;&gt;"",'PRODUCTOS'!$AF336,""),"")</f>
        <v/>
      </c>
      <c r="G336" s="40">
        <f>IFERROR(IF('PRODUCTOS'!$G336&lt;&gt;"",'PRODUCTOS'!$AG336,""),"")</f>
        <v/>
      </c>
    </row>
    <row r="337">
      <c r="A337" s="39">
        <f>IFERROR(IF('PRODUCTOS'!$G337&lt;&gt;"",'PRODUCTOS'!$A337,""),"")</f>
        <v/>
      </c>
      <c r="B337" s="39">
        <f>IFERROR(IF('PRODUCTOS'!$G337&lt;&gt;"",'PRODUCTOS'!$G337,""),"")</f>
        <v/>
      </c>
      <c r="C337" s="39">
        <f>IFERROR(IF('PRODUCTOS'!$G337&lt;&gt;"",'PRODUCTOS'!$I337,""),"")</f>
        <v/>
      </c>
      <c r="D337" s="39">
        <f>IFERROR(IF('PRODUCTOS'!$G337&lt;&gt;"",'PRODUCTOS'!$J337,""),"")</f>
        <v/>
      </c>
      <c r="E337" s="39">
        <f>IFERROR(IF('PRODUCTOS'!$G337&lt;&gt;"",'PRODUCTOS'!$X337,""),"")</f>
        <v/>
      </c>
      <c r="F337" s="40">
        <f>IFERROR(IF('PRODUCTOS'!$G337&lt;&gt;"",'PRODUCTOS'!$AF337,""),"")</f>
        <v/>
      </c>
      <c r="G337" s="40">
        <f>IFERROR(IF('PRODUCTOS'!$G337&lt;&gt;"",'PRODUCTOS'!$AG337,""),"")</f>
        <v/>
      </c>
    </row>
    <row r="338">
      <c r="A338" s="39">
        <f>IFERROR(IF('PRODUCTOS'!$G338&lt;&gt;"",'PRODUCTOS'!$A338,""),"")</f>
        <v/>
      </c>
      <c r="B338" s="39">
        <f>IFERROR(IF('PRODUCTOS'!$G338&lt;&gt;"",'PRODUCTOS'!$G338,""),"")</f>
        <v/>
      </c>
      <c r="C338" s="39">
        <f>IFERROR(IF('PRODUCTOS'!$G338&lt;&gt;"",'PRODUCTOS'!$I338,""),"")</f>
        <v/>
      </c>
      <c r="D338" s="39">
        <f>IFERROR(IF('PRODUCTOS'!$G338&lt;&gt;"",'PRODUCTOS'!$J338,""),"")</f>
        <v/>
      </c>
      <c r="E338" s="39">
        <f>IFERROR(IF('PRODUCTOS'!$G338&lt;&gt;"",'PRODUCTOS'!$X338,""),"")</f>
        <v/>
      </c>
      <c r="F338" s="40">
        <f>IFERROR(IF('PRODUCTOS'!$G338&lt;&gt;"",'PRODUCTOS'!$AF338,""),"")</f>
        <v/>
      </c>
      <c r="G338" s="40">
        <f>IFERROR(IF('PRODUCTOS'!$G338&lt;&gt;"",'PRODUCTOS'!$AG338,""),"")</f>
        <v/>
      </c>
    </row>
    <row r="339">
      <c r="A339" s="39">
        <f>IFERROR(IF('PRODUCTOS'!$G339&lt;&gt;"",'PRODUCTOS'!$A339,""),"")</f>
        <v/>
      </c>
      <c r="B339" s="39">
        <f>IFERROR(IF('PRODUCTOS'!$G339&lt;&gt;"",'PRODUCTOS'!$G339,""),"")</f>
        <v/>
      </c>
      <c r="C339" s="39">
        <f>IFERROR(IF('PRODUCTOS'!$G339&lt;&gt;"",'PRODUCTOS'!$I339,""),"")</f>
        <v/>
      </c>
      <c r="D339" s="39">
        <f>IFERROR(IF('PRODUCTOS'!$G339&lt;&gt;"",'PRODUCTOS'!$J339,""),"")</f>
        <v/>
      </c>
      <c r="E339" s="39">
        <f>IFERROR(IF('PRODUCTOS'!$G339&lt;&gt;"",'PRODUCTOS'!$X339,""),"")</f>
        <v/>
      </c>
      <c r="F339" s="40">
        <f>IFERROR(IF('PRODUCTOS'!$G339&lt;&gt;"",'PRODUCTOS'!$AF339,""),"")</f>
        <v/>
      </c>
      <c r="G339" s="40">
        <f>IFERROR(IF('PRODUCTOS'!$G339&lt;&gt;"",'PRODUCTOS'!$AG339,""),"")</f>
        <v/>
      </c>
    </row>
    <row r="340">
      <c r="A340" s="39">
        <f>IFERROR(IF('PRODUCTOS'!$G340&lt;&gt;"",'PRODUCTOS'!$A340,""),"")</f>
        <v/>
      </c>
      <c r="B340" s="39">
        <f>IFERROR(IF('PRODUCTOS'!$G340&lt;&gt;"",'PRODUCTOS'!$G340,""),"")</f>
        <v/>
      </c>
      <c r="C340" s="39">
        <f>IFERROR(IF('PRODUCTOS'!$G340&lt;&gt;"",'PRODUCTOS'!$I340,""),"")</f>
        <v/>
      </c>
      <c r="D340" s="39">
        <f>IFERROR(IF('PRODUCTOS'!$G340&lt;&gt;"",'PRODUCTOS'!$J340,""),"")</f>
        <v/>
      </c>
      <c r="E340" s="39">
        <f>IFERROR(IF('PRODUCTOS'!$G340&lt;&gt;"",'PRODUCTOS'!$X340,""),"")</f>
        <v/>
      </c>
      <c r="F340" s="40">
        <f>IFERROR(IF('PRODUCTOS'!$G340&lt;&gt;"",'PRODUCTOS'!$AF340,""),"")</f>
        <v/>
      </c>
      <c r="G340" s="40">
        <f>IFERROR(IF('PRODUCTOS'!$G340&lt;&gt;"",'PRODUCTOS'!$AG340,""),"")</f>
        <v/>
      </c>
    </row>
    <row r="341">
      <c r="A341" s="39">
        <f>IFERROR(IF('PRODUCTOS'!$G341&lt;&gt;"",'PRODUCTOS'!$A341,""),"")</f>
        <v/>
      </c>
      <c r="B341" s="39">
        <f>IFERROR(IF('PRODUCTOS'!$G341&lt;&gt;"",'PRODUCTOS'!$G341,""),"")</f>
        <v/>
      </c>
      <c r="C341" s="39">
        <f>IFERROR(IF('PRODUCTOS'!$G341&lt;&gt;"",'PRODUCTOS'!$I341,""),"")</f>
        <v/>
      </c>
      <c r="D341" s="39">
        <f>IFERROR(IF('PRODUCTOS'!$G341&lt;&gt;"",'PRODUCTOS'!$J341,""),"")</f>
        <v/>
      </c>
      <c r="E341" s="39">
        <f>IFERROR(IF('PRODUCTOS'!$G341&lt;&gt;"",'PRODUCTOS'!$X341,""),"")</f>
        <v/>
      </c>
      <c r="F341" s="40">
        <f>IFERROR(IF('PRODUCTOS'!$G341&lt;&gt;"",'PRODUCTOS'!$AF341,""),"")</f>
        <v/>
      </c>
      <c r="G341" s="40">
        <f>IFERROR(IF('PRODUCTOS'!$G341&lt;&gt;"",'PRODUCTOS'!$AG341,""),"")</f>
        <v/>
      </c>
    </row>
    <row r="342">
      <c r="A342" s="39">
        <f>IFERROR(IF('PRODUCTOS'!$G342&lt;&gt;"",'PRODUCTOS'!$A342,""),"")</f>
        <v/>
      </c>
      <c r="B342" s="39">
        <f>IFERROR(IF('PRODUCTOS'!$G342&lt;&gt;"",'PRODUCTOS'!$G342,""),"")</f>
        <v/>
      </c>
      <c r="C342" s="39">
        <f>IFERROR(IF('PRODUCTOS'!$G342&lt;&gt;"",'PRODUCTOS'!$I342,""),"")</f>
        <v/>
      </c>
      <c r="D342" s="39">
        <f>IFERROR(IF('PRODUCTOS'!$G342&lt;&gt;"",'PRODUCTOS'!$J342,""),"")</f>
        <v/>
      </c>
      <c r="E342" s="39">
        <f>IFERROR(IF('PRODUCTOS'!$G342&lt;&gt;"",'PRODUCTOS'!$X342,""),"")</f>
        <v/>
      </c>
      <c r="F342" s="40">
        <f>IFERROR(IF('PRODUCTOS'!$G342&lt;&gt;"",'PRODUCTOS'!$AF342,""),"")</f>
        <v/>
      </c>
      <c r="G342" s="40">
        <f>IFERROR(IF('PRODUCTOS'!$G342&lt;&gt;"",'PRODUCTOS'!$AG342,""),"")</f>
        <v/>
      </c>
    </row>
    <row r="343">
      <c r="A343" s="39">
        <f>IFERROR(IF('PRODUCTOS'!$G343&lt;&gt;"",'PRODUCTOS'!$A343,""),"")</f>
        <v/>
      </c>
      <c r="B343" s="39">
        <f>IFERROR(IF('PRODUCTOS'!$G343&lt;&gt;"",'PRODUCTOS'!$G343,""),"")</f>
        <v/>
      </c>
      <c r="C343" s="39">
        <f>IFERROR(IF('PRODUCTOS'!$G343&lt;&gt;"",'PRODUCTOS'!$I343,""),"")</f>
        <v/>
      </c>
      <c r="D343" s="39">
        <f>IFERROR(IF('PRODUCTOS'!$G343&lt;&gt;"",'PRODUCTOS'!$J343,""),"")</f>
        <v/>
      </c>
      <c r="E343" s="39">
        <f>IFERROR(IF('PRODUCTOS'!$G343&lt;&gt;"",'PRODUCTOS'!$X343,""),"")</f>
        <v/>
      </c>
      <c r="F343" s="40">
        <f>IFERROR(IF('PRODUCTOS'!$G343&lt;&gt;"",'PRODUCTOS'!$AF343,""),"")</f>
        <v/>
      </c>
      <c r="G343" s="40">
        <f>IFERROR(IF('PRODUCTOS'!$G343&lt;&gt;"",'PRODUCTOS'!$AG343,""),"")</f>
        <v/>
      </c>
    </row>
    <row r="344">
      <c r="A344" s="39">
        <f>IFERROR(IF('PRODUCTOS'!$G344&lt;&gt;"",'PRODUCTOS'!$A344,""),"")</f>
        <v/>
      </c>
      <c r="B344" s="39">
        <f>IFERROR(IF('PRODUCTOS'!$G344&lt;&gt;"",'PRODUCTOS'!$G344,""),"")</f>
        <v/>
      </c>
      <c r="C344" s="39">
        <f>IFERROR(IF('PRODUCTOS'!$G344&lt;&gt;"",'PRODUCTOS'!$I344,""),"")</f>
        <v/>
      </c>
      <c r="D344" s="39">
        <f>IFERROR(IF('PRODUCTOS'!$G344&lt;&gt;"",'PRODUCTOS'!$J344,""),"")</f>
        <v/>
      </c>
      <c r="E344" s="39">
        <f>IFERROR(IF('PRODUCTOS'!$G344&lt;&gt;"",'PRODUCTOS'!$X344,""),"")</f>
        <v/>
      </c>
      <c r="F344" s="40">
        <f>IFERROR(IF('PRODUCTOS'!$G344&lt;&gt;"",'PRODUCTOS'!$AF344,""),"")</f>
        <v/>
      </c>
      <c r="G344" s="40">
        <f>IFERROR(IF('PRODUCTOS'!$G344&lt;&gt;"",'PRODUCTOS'!$AG344,""),"")</f>
        <v/>
      </c>
    </row>
    <row r="345">
      <c r="A345" s="39">
        <f>IFERROR(IF('PRODUCTOS'!$G345&lt;&gt;"",'PRODUCTOS'!$A345,""),"")</f>
        <v/>
      </c>
      <c r="B345" s="39">
        <f>IFERROR(IF('PRODUCTOS'!$G345&lt;&gt;"",'PRODUCTOS'!$G345,""),"")</f>
        <v/>
      </c>
      <c r="C345" s="39">
        <f>IFERROR(IF('PRODUCTOS'!$G345&lt;&gt;"",'PRODUCTOS'!$I345,""),"")</f>
        <v/>
      </c>
      <c r="D345" s="39">
        <f>IFERROR(IF('PRODUCTOS'!$G345&lt;&gt;"",'PRODUCTOS'!$J345,""),"")</f>
        <v/>
      </c>
      <c r="E345" s="39">
        <f>IFERROR(IF('PRODUCTOS'!$G345&lt;&gt;"",'PRODUCTOS'!$X345,""),"")</f>
        <v/>
      </c>
      <c r="F345" s="40">
        <f>IFERROR(IF('PRODUCTOS'!$G345&lt;&gt;"",'PRODUCTOS'!$AF345,""),"")</f>
        <v/>
      </c>
      <c r="G345" s="40">
        <f>IFERROR(IF('PRODUCTOS'!$G345&lt;&gt;"",'PRODUCTOS'!$AG345,""),"")</f>
        <v/>
      </c>
    </row>
    <row r="346">
      <c r="A346" s="39">
        <f>IFERROR(IF('PRODUCTOS'!$G346&lt;&gt;"",'PRODUCTOS'!$A346,""),"")</f>
        <v/>
      </c>
      <c r="B346" s="39">
        <f>IFERROR(IF('PRODUCTOS'!$G346&lt;&gt;"",'PRODUCTOS'!$G346,""),"")</f>
        <v/>
      </c>
      <c r="C346" s="39">
        <f>IFERROR(IF('PRODUCTOS'!$G346&lt;&gt;"",'PRODUCTOS'!$I346,""),"")</f>
        <v/>
      </c>
      <c r="D346" s="39">
        <f>IFERROR(IF('PRODUCTOS'!$G346&lt;&gt;"",'PRODUCTOS'!$J346,""),"")</f>
        <v/>
      </c>
      <c r="E346" s="39">
        <f>IFERROR(IF('PRODUCTOS'!$G346&lt;&gt;"",'PRODUCTOS'!$X346,""),"")</f>
        <v/>
      </c>
      <c r="F346" s="40">
        <f>IFERROR(IF('PRODUCTOS'!$G346&lt;&gt;"",'PRODUCTOS'!$AF346,""),"")</f>
        <v/>
      </c>
      <c r="G346" s="40">
        <f>IFERROR(IF('PRODUCTOS'!$G346&lt;&gt;"",'PRODUCTOS'!$AG346,""),"")</f>
        <v/>
      </c>
    </row>
    <row r="347">
      <c r="A347" s="39">
        <f>IFERROR(IF('PRODUCTOS'!$G347&lt;&gt;"",'PRODUCTOS'!$A347,""),"")</f>
        <v/>
      </c>
      <c r="B347" s="39">
        <f>IFERROR(IF('PRODUCTOS'!$G347&lt;&gt;"",'PRODUCTOS'!$G347,""),"")</f>
        <v/>
      </c>
      <c r="C347" s="39">
        <f>IFERROR(IF('PRODUCTOS'!$G347&lt;&gt;"",'PRODUCTOS'!$I347,""),"")</f>
        <v/>
      </c>
      <c r="D347" s="39">
        <f>IFERROR(IF('PRODUCTOS'!$G347&lt;&gt;"",'PRODUCTOS'!$J347,""),"")</f>
        <v/>
      </c>
      <c r="E347" s="39">
        <f>IFERROR(IF('PRODUCTOS'!$G347&lt;&gt;"",'PRODUCTOS'!$X347,""),"")</f>
        <v/>
      </c>
      <c r="F347" s="40">
        <f>IFERROR(IF('PRODUCTOS'!$G347&lt;&gt;"",'PRODUCTOS'!$AF347,""),"")</f>
        <v/>
      </c>
      <c r="G347" s="40">
        <f>IFERROR(IF('PRODUCTOS'!$G347&lt;&gt;"",'PRODUCTOS'!$AG347,""),"")</f>
        <v/>
      </c>
    </row>
    <row r="348">
      <c r="A348" s="39">
        <f>IFERROR(IF('PRODUCTOS'!$G348&lt;&gt;"",'PRODUCTOS'!$A348,""),"")</f>
        <v/>
      </c>
      <c r="B348" s="39">
        <f>IFERROR(IF('PRODUCTOS'!$G348&lt;&gt;"",'PRODUCTOS'!$G348,""),"")</f>
        <v/>
      </c>
      <c r="C348" s="39">
        <f>IFERROR(IF('PRODUCTOS'!$G348&lt;&gt;"",'PRODUCTOS'!$I348,""),"")</f>
        <v/>
      </c>
      <c r="D348" s="39">
        <f>IFERROR(IF('PRODUCTOS'!$G348&lt;&gt;"",'PRODUCTOS'!$J348,""),"")</f>
        <v/>
      </c>
      <c r="E348" s="39">
        <f>IFERROR(IF('PRODUCTOS'!$G348&lt;&gt;"",'PRODUCTOS'!$X348,""),"")</f>
        <v/>
      </c>
      <c r="F348" s="40">
        <f>IFERROR(IF('PRODUCTOS'!$G348&lt;&gt;"",'PRODUCTOS'!$AF348,""),"")</f>
        <v/>
      </c>
      <c r="G348" s="40">
        <f>IFERROR(IF('PRODUCTOS'!$G348&lt;&gt;"",'PRODUCTOS'!$AG348,""),"")</f>
        <v/>
      </c>
    </row>
    <row r="349">
      <c r="A349" s="39">
        <f>IFERROR(IF('PRODUCTOS'!$G349&lt;&gt;"",'PRODUCTOS'!$A349,""),"")</f>
        <v/>
      </c>
      <c r="B349" s="39">
        <f>IFERROR(IF('PRODUCTOS'!$G349&lt;&gt;"",'PRODUCTOS'!$G349,""),"")</f>
        <v/>
      </c>
      <c r="C349" s="39">
        <f>IFERROR(IF('PRODUCTOS'!$G349&lt;&gt;"",'PRODUCTOS'!$I349,""),"")</f>
        <v/>
      </c>
      <c r="D349" s="39">
        <f>IFERROR(IF('PRODUCTOS'!$G349&lt;&gt;"",'PRODUCTOS'!$J349,""),"")</f>
        <v/>
      </c>
      <c r="E349" s="39">
        <f>IFERROR(IF('PRODUCTOS'!$G349&lt;&gt;"",'PRODUCTOS'!$X349,""),"")</f>
        <v/>
      </c>
      <c r="F349" s="40">
        <f>IFERROR(IF('PRODUCTOS'!$G349&lt;&gt;"",'PRODUCTOS'!$AF349,""),"")</f>
        <v/>
      </c>
      <c r="G349" s="40">
        <f>IFERROR(IF('PRODUCTOS'!$G349&lt;&gt;"",'PRODUCTOS'!$AG349,""),"")</f>
        <v/>
      </c>
    </row>
    <row r="350">
      <c r="A350" s="39">
        <f>IFERROR(IF('PRODUCTOS'!$G350&lt;&gt;"",'PRODUCTOS'!$A350,""),"")</f>
        <v/>
      </c>
      <c r="B350" s="39">
        <f>IFERROR(IF('PRODUCTOS'!$G350&lt;&gt;"",'PRODUCTOS'!$G350,""),"")</f>
        <v/>
      </c>
      <c r="C350" s="39">
        <f>IFERROR(IF('PRODUCTOS'!$G350&lt;&gt;"",'PRODUCTOS'!$I350,""),"")</f>
        <v/>
      </c>
      <c r="D350" s="39">
        <f>IFERROR(IF('PRODUCTOS'!$G350&lt;&gt;"",'PRODUCTOS'!$J350,""),"")</f>
        <v/>
      </c>
      <c r="E350" s="39">
        <f>IFERROR(IF('PRODUCTOS'!$G350&lt;&gt;"",'PRODUCTOS'!$X350,""),"")</f>
        <v/>
      </c>
      <c r="F350" s="40">
        <f>IFERROR(IF('PRODUCTOS'!$G350&lt;&gt;"",'PRODUCTOS'!$AF350,""),"")</f>
        <v/>
      </c>
      <c r="G350" s="40">
        <f>IFERROR(IF('PRODUCTOS'!$G350&lt;&gt;"",'PRODUCTOS'!$AG350,""),"")</f>
        <v/>
      </c>
    </row>
    <row r="351">
      <c r="A351" s="39">
        <f>IFERROR(IF('PRODUCTOS'!$G351&lt;&gt;"",'PRODUCTOS'!$A351,""),"")</f>
        <v/>
      </c>
      <c r="B351" s="39">
        <f>IFERROR(IF('PRODUCTOS'!$G351&lt;&gt;"",'PRODUCTOS'!$G351,""),"")</f>
        <v/>
      </c>
      <c r="C351" s="39">
        <f>IFERROR(IF('PRODUCTOS'!$G351&lt;&gt;"",'PRODUCTOS'!$I351,""),"")</f>
        <v/>
      </c>
      <c r="D351" s="39">
        <f>IFERROR(IF('PRODUCTOS'!$G351&lt;&gt;"",'PRODUCTOS'!$J351,""),"")</f>
        <v/>
      </c>
      <c r="E351" s="39">
        <f>IFERROR(IF('PRODUCTOS'!$G351&lt;&gt;"",'PRODUCTOS'!$X351,""),"")</f>
        <v/>
      </c>
      <c r="F351" s="40">
        <f>IFERROR(IF('PRODUCTOS'!$G351&lt;&gt;"",'PRODUCTOS'!$AF351,""),"")</f>
        <v/>
      </c>
      <c r="G351" s="40">
        <f>IFERROR(IF('PRODUCTOS'!$G351&lt;&gt;"",'PRODUCTOS'!$AG351,""),"")</f>
        <v/>
      </c>
    </row>
    <row r="352">
      <c r="A352" s="39">
        <f>IFERROR(IF('PRODUCTOS'!$G352&lt;&gt;"",'PRODUCTOS'!$A352,""),"")</f>
        <v/>
      </c>
      <c r="B352" s="39">
        <f>IFERROR(IF('PRODUCTOS'!$G352&lt;&gt;"",'PRODUCTOS'!$G352,""),"")</f>
        <v/>
      </c>
      <c r="C352" s="39">
        <f>IFERROR(IF('PRODUCTOS'!$G352&lt;&gt;"",'PRODUCTOS'!$I352,""),"")</f>
        <v/>
      </c>
      <c r="D352" s="39">
        <f>IFERROR(IF('PRODUCTOS'!$G352&lt;&gt;"",'PRODUCTOS'!$J352,""),"")</f>
        <v/>
      </c>
      <c r="E352" s="39">
        <f>IFERROR(IF('PRODUCTOS'!$G352&lt;&gt;"",'PRODUCTOS'!$X352,""),"")</f>
        <v/>
      </c>
      <c r="F352" s="40">
        <f>IFERROR(IF('PRODUCTOS'!$G352&lt;&gt;"",'PRODUCTOS'!$AF352,""),"")</f>
        <v/>
      </c>
      <c r="G352" s="40">
        <f>IFERROR(IF('PRODUCTOS'!$G352&lt;&gt;"",'PRODUCTOS'!$AG352,""),"")</f>
        <v/>
      </c>
    </row>
    <row r="353">
      <c r="A353" s="39">
        <f>IFERROR(IF('PRODUCTOS'!$G353&lt;&gt;"",'PRODUCTOS'!$A353,""),"")</f>
        <v/>
      </c>
      <c r="B353" s="39">
        <f>IFERROR(IF('PRODUCTOS'!$G353&lt;&gt;"",'PRODUCTOS'!$G353,""),"")</f>
        <v/>
      </c>
      <c r="C353" s="39">
        <f>IFERROR(IF('PRODUCTOS'!$G353&lt;&gt;"",'PRODUCTOS'!$I353,""),"")</f>
        <v/>
      </c>
      <c r="D353" s="39">
        <f>IFERROR(IF('PRODUCTOS'!$G353&lt;&gt;"",'PRODUCTOS'!$J353,""),"")</f>
        <v/>
      </c>
      <c r="E353" s="39">
        <f>IFERROR(IF('PRODUCTOS'!$G353&lt;&gt;"",'PRODUCTOS'!$X353,""),"")</f>
        <v/>
      </c>
      <c r="F353" s="40">
        <f>IFERROR(IF('PRODUCTOS'!$G353&lt;&gt;"",'PRODUCTOS'!$AF353,""),"")</f>
        <v/>
      </c>
      <c r="G353" s="40">
        <f>IFERROR(IF('PRODUCTOS'!$G353&lt;&gt;"",'PRODUCTOS'!$AG353,""),"")</f>
        <v/>
      </c>
    </row>
    <row r="354">
      <c r="A354" s="39">
        <f>IFERROR(IF('PRODUCTOS'!$G354&lt;&gt;"",'PRODUCTOS'!$A354,""),"")</f>
        <v/>
      </c>
      <c r="B354" s="39">
        <f>IFERROR(IF('PRODUCTOS'!$G354&lt;&gt;"",'PRODUCTOS'!$G354,""),"")</f>
        <v/>
      </c>
      <c r="C354" s="39">
        <f>IFERROR(IF('PRODUCTOS'!$G354&lt;&gt;"",'PRODUCTOS'!$I354,""),"")</f>
        <v/>
      </c>
      <c r="D354" s="39">
        <f>IFERROR(IF('PRODUCTOS'!$G354&lt;&gt;"",'PRODUCTOS'!$J354,""),"")</f>
        <v/>
      </c>
      <c r="E354" s="39">
        <f>IFERROR(IF('PRODUCTOS'!$G354&lt;&gt;"",'PRODUCTOS'!$X354,""),"")</f>
        <v/>
      </c>
      <c r="F354" s="40">
        <f>IFERROR(IF('PRODUCTOS'!$G354&lt;&gt;"",'PRODUCTOS'!$AF354,""),"")</f>
        <v/>
      </c>
      <c r="G354" s="40">
        <f>IFERROR(IF('PRODUCTOS'!$G354&lt;&gt;"",'PRODUCTOS'!$AG354,""),"")</f>
        <v/>
      </c>
    </row>
    <row r="355">
      <c r="A355" s="39">
        <f>IFERROR(IF('PRODUCTOS'!$G355&lt;&gt;"",'PRODUCTOS'!$A355,""),"")</f>
        <v/>
      </c>
      <c r="B355" s="39">
        <f>IFERROR(IF('PRODUCTOS'!$G355&lt;&gt;"",'PRODUCTOS'!$G355,""),"")</f>
        <v/>
      </c>
      <c r="C355" s="39">
        <f>IFERROR(IF('PRODUCTOS'!$G355&lt;&gt;"",'PRODUCTOS'!$I355,""),"")</f>
        <v/>
      </c>
      <c r="D355" s="39">
        <f>IFERROR(IF('PRODUCTOS'!$G355&lt;&gt;"",'PRODUCTOS'!$J355,""),"")</f>
        <v/>
      </c>
      <c r="E355" s="39">
        <f>IFERROR(IF('PRODUCTOS'!$G355&lt;&gt;"",'PRODUCTOS'!$X355,""),"")</f>
        <v/>
      </c>
      <c r="F355" s="40">
        <f>IFERROR(IF('PRODUCTOS'!$G355&lt;&gt;"",'PRODUCTOS'!$AF355,""),"")</f>
        <v/>
      </c>
      <c r="G355" s="40">
        <f>IFERROR(IF('PRODUCTOS'!$G355&lt;&gt;"",'PRODUCTOS'!$AG355,""),"")</f>
        <v/>
      </c>
    </row>
    <row r="356">
      <c r="A356" s="39">
        <f>IFERROR(IF('PRODUCTOS'!$G356&lt;&gt;"",'PRODUCTOS'!$A356,""),"")</f>
        <v/>
      </c>
      <c r="B356" s="39">
        <f>IFERROR(IF('PRODUCTOS'!$G356&lt;&gt;"",'PRODUCTOS'!$G356,""),"")</f>
        <v/>
      </c>
      <c r="C356" s="39">
        <f>IFERROR(IF('PRODUCTOS'!$G356&lt;&gt;"",'PRODUCTOS'!$I356,""),"")</f>
        <v/>
      </c>
      <c r="D356" s="39">
        <f>IFERROR(IF('PRODUCTOS'!$G356&lt;&gt;"",'PRODUCTOS'!$J356,""),"")</f>
        <v/>
      </c>
      <c r="E356" s="39">
        <f>IFERROR(IF('PRODUCTOS'!$G356&lt;&gt;"",'PRODUCTOS'!$X356,""),"")</f>
        <v/>
      </c>
      <c r="F356" s="40">
        <f>IFERROR(IF('PRODUCTOS'!$G356&lt;&gt;"",'PRODUCTOS'!$AF356,""),"")</f>
        <v/>
      </c>
      <c r="G356" s="40">
        <f>IFERROR(IF('PRODUCTOS'!$G356&lt;&gt;"",'PRODUCTOS'!$AG356,""),"")</f>
        <v/>
      </c>
    </row>
    <row r="357">
      <c r="A357" s="39">
        <f>IFERROR(IF('PRODUCTOS'!$G357&lt;&gt;"",'PRODUCTOS'!$A357,""),"")</f>
        <v/>
      </c>
      <c r="B357" s="39">
        <f>IFERROR(IF('PRODUCTOS'!$G357&lt;&gt;"",'PRODUCTOS'!$G357,""),"")</f>
        <v/>
      </c>
      <c r="C357" s="39">
        <f>IFERROR(IF('PRODUCTOS'!$G357&lt;&gt;"",'PRODUCTOS'!$I357,""),"")</f>
        <v/>
      </c>
      <c r="D357" s="39">
        <f>IFERROR(IF('PRODUCTOS'!$G357&lt;&gt;"",'PRODUCTOS'!$J357,""),"")</f>
        <v/>
      </c>
      <c r="E357" s="39">
        <f>IFERROR(IF('PRODUCTOS'!$G357&lt;&gt;"",'PRODUCTOS'!$X357,""),"")</f>
        <v/>
      </c>
      <c r="F357" s="40">
        <f>IFERROR(IF('PRODUCTOS'!$G357&lt;&gt;"",'PRODUCTOS'!$AF357,""),"")</f>
        <v/>
      </c>
      <c r="G357" s="40">
        <f>IFERROR(IF('PRODUCTOS'!$G357&lt;&gt;"",'PRODUCTOS'!$AG357,""),"")</f>
        <v/>
      </c>
    </row>
    <row r="358">
      <c r="A358" s="39">
        <f>IFERROR(IF('PRODUCTOS'!$G358&lt;&gt;"",'PRODUCTOS'!$A358,""),"")</f>
        <v/>
      </c>
      <c r="B358" s="39">
        <f>IFERROR(IF('PRODUCTOS'!$G358&lt;&gt;"",'PRODUCTOS'!$G358,""),"")</f>
        <v/>
      </c>
      <c r="C358" s="39">
        <f>IFERROR(IF('PRODUCTOS'!$G358&lt;&gt;"",'PRODUCTOS'!$I358,""),"")</f>
        <v/>
      </c>
      <c r="D358" s="39">
        <f>IFERROR(IF('PRODUCTOS'!$G358&lt;&gt;"",'PRODUCTOS'!$J358,""),"")</f>
        <v/>
      </c>
      <c r="E358" s="39">
        <f>IFERROR(IF('PRODUCTOS'!$G358&lt;&gt;"",'PRODUCTOS'!$X358,""),"")</f>
        <v/>
      </c>
      <c r="F358" s="40">
        <f>IFERROR(IF('PRODUCTOS'!$G358&lt;&gt;"",'PRODUCTOS'!$AF358,""),"")</f>
        <v/>
      </c>
      <c r="G358" s="40">
        <f>IFERROR(IF('PRODUCTOS'!$G358&lt;&gt;"",'PRODUCTOS'!$AG358,""),"")</f>
        <v/>
      </c>
    </row>
    <row r="359">
      <c r="A359" s="39">
        <f>IFERROR(IF('PRODUCTOS'!$G359&lt;&gt;"",'PRODUCTOS'!$A359,""),"")</f>
        <v/>
      </c>
      <c r="B359" s="39">
        <f>IFERROR(IF('PRODUCTOS'!$G359&lt;&gt;"",'PRODUCTOS'!$G359,""),"")</f>
        <v/>
      </c>
      <c r="C359" s="39">
        <f>IFERROR(IF('PRODUCTOS'!$G359&lt;&gt;"",'PRODUCTOS'!$I359,""),"")</f>
        <v/>
      </c>
      <c r="D359" s="39">
        <f>IFERROR(IF('PRODUCTOS'!$G359&lt;&gt;"",'PRODUCTOS'!$J359,""),"")</f>
        <v/>
      </c>
      <c r="E359" s="39">
        <f>IFERROR(IF('PRODUCTOS'!$G359&lt;&gt;"",'PRODUCTOS'!$X359,""),"")</f>
        <v/>
      </c>
      <c r="F359" s="40">
        <f>IFERROR(IF('PRODUCTOS'!$G359&lt;&gt;"",'PRODUCTOS'!$AF359,""),"")</f>
        <v/>
      </c>
      <c r="G359" s="40">
        <f>IFERROR(IF('PRODUCTOS'!$G359&lt;&gt;"",'PRODUCTOS'!$AG359,""),"")</f>
        <v/>
      </c>
    </row>
    <row r="360">
      <c r="A360" s="39">
        <f>IFERROR(IF('PRODUCTOS'!$G360&lt;&gt;"",'PRODUCTOS'!$A360,""),"")</f>
        <v/>
      </c>
      <c r="B360" s="39">
        <f>IFERROR(IF('PRODUCTOS'!$G360&lt;&gt;"",'PRODUCTOS'!$G360,""),"")</f>
        <v/>
      </c>
      <c r="C360" s="39">
        <f>IFERROR(IF('PRODUCTOS'!$G360&lt;&gt;"",'PRODUCTOS'!$I360,""),"")</f>
        <v/>
      </c>
      <c r="D360" s="39">
        <f>IFERROR(IF('PRODUCTOS'!$G360&lt;&gt;"",'PRODUCTOS'!$J360,""),"")</f>
        <v/>
      </c>
      <c r="E360" s="39">
        <f>IFERROR(IF('PRODUCTOS'!$G360&lt;&gt;"",'PRODUCTOS'!$X360,""),"")</f>
        <v/>
      </c>
      <c r="F360" s="40">
        <f>IFERROR(IF('PRODUCTOS'!$G360&lt;&gt;"",'PRODUCTOS'!$AF360,""),"")</f>
        <v/>
      </c>
      <c r="G360" s="40">
        <f>IFERROR(IF('PRODUCTOS'!$G360&lt;&gt;"",'PRODUCTOS'!$AG360,""),"")</f>
        <v/>
      </c>
    </row>
    <row r="361">
      <c r="A361" s="39">
        <f>IFERROR(IF('PRODUCTOS'!$G361&lt;&gt;"",'PRODUCTOS'!$A361,""),"")</f>
        <v/>
      </c>
      <c r="B361" s="39">
        <f>IFERROR(IF('PRODUCTOS'!$G361&lt;&gt;"",'PRODUCTOS'!$G361,""),"")</f>
        <v/>
      </c>
      <c r="C361" s="39">
        <f>IFERROR(IF('PRODUCTOS'!$G361&lt;&gt;"",'PRODUCTOS'!$I361,""),"")</f>
        <v/>
      </c>
      <c r="D361" s="39">
        <f>IFERROR(IF('PRODUCTOS'!$G361&lt;&gt;"",'PRODUCTOS'!$J361,""),"")</f>
        <v/>
      </c>
      <c r="E361" s="39">
        <f>IFERROR(IF('PRODUCTOS'!$G361&lt;&gt;"",'PRODUCTOS'!$X361,""),"")</f>
        <v/>
      </c>
      <c r="F361" s="40">
        <f>IFERROR(IF('PRODUCTOS'!$G361&lt;&gt;"",'PRODUCTOS'!$AF361,""),"")</f>
        <v/>
      </c>
      <c r="G361" s="40">
        <f>IFERROR(IF('PRODUCTOS'!$G361&lt;&gt;"",'PRODUCTOS'!$AG361,""),"")</f>
        <v/>
      </c>
    </row>
    <row r="362">
      <c r="A362" s="39">
        <f>IFERROR(IF('PRODUCTOS'!$G362&lt;&gt;"",'PRODUCTOS'!$A362,""),"")</f>
        <v/>
      </c>
      <c r="B362" s="39">
        <f>IFERROR(IF('PRODUCTOS'!$G362&lt;&gt;"",'PRODUCTOS'!$G362,""),"")</f>
        <v/>
      </c>
      <c r="C362" s="39">
        <f>IFERROR(IF('PRODUCTOS'!$G362&lt;&gt;"",'PRODUCTOS'!$I362,""),"")</f>
        <v/>
      </c>
      <c r="D362" s="39">
        <f>IFERROR(IF('PRODUCTOS'!$G362&lt;&gt;"",'PRODUCTOS'!$J362,""),"")</f>
        <v/>
      </c>
      <c r="E362" s="39">
        <f>IFERROR(IF('PRODUCTOS'!$G362&lt;&gt;"",'PRODUCTOS'!$X362,""),"")</f>
        <v/>
      </c>
      <c r="F362" s="40">
        <f>IFERROR(IF('PRODUCTOS'!$G362&lt;&gt;"",'PRODUCTOS'!$AF362,""),"")</f>
        <v/>
      </c>
      <c r="G362" s="40">
        <f>IFERROR(IF('PRODUCTOS'!$G362&lt;&gt;"",'PRODUCTOS'!$AG362,""),"")</f>
        <v/>
      </c>
    </row>
    <row r="363">
      <c r="A363" s="39">
        <f>IFERROR(IF('PRODUCTOS'!$G363&lt;&gt;"",'PRODUCTOS'!$A363,""),"")</f>
        <v/>
      </c>
      <c r="B363" s="39">
        <f>IFERROR(IF('PRODUCTOS'!$G363&lt;&gt;"",'PRODUCTOS'!$G363,""),"")</f>
        <v/>
      </c>
      <c r="C363" s="39">
        <f>IFERROR(IF('PRODUCTOS'!$G363&lt;&gt;"",'PRODUCTOS'!$I363,""),"")</f>
        <v/>
      </c>
      <c r="D363" s="39">
        <f>IFERROR(IF('PRODUCTOS'!$G363&lt;&gt;"",'PRODUCTOS'!$J363,""),"")</f>
        <v/>
      </c>
      <c r="E363" s="39">
        <f>IFERROR(IF('PRODUCTOS'!$G363&lt;&gt;"",'PRODUCTOS'!$X363,""),"")</f>
        <v/>
      </c>
      <c r="F363" s="40">
        <f>IFERROR(IF('PRODUCTOS'!$G363&lt;&gt;"",'PRODUCTOS'!$AF363,""),"")</f>
        <v/>
      </c>
      <c r="G363" s="40">
        <f>IFERROR(IF('PRODUCTOS'!$G363&lt;&gt;"",'PRODUCTOS'!$AG363,""),"")</f>
        <v/>
      </c>
    </row>
    <row r="364">
      <c r="A364" s="39">
        <f>IFERROR(IF('PRODUCTOS'!$G364&lt;&gt;"",'PRODUCTOS'!$A364,""),"")</f>
        <v/>
      </c>
      <c r="B364" s="39">
        <f>IFERROR(IF('PRODUCTOS'!$G364&lt;&gt;"",'PRODUCTOS'!$G364,""),"")</f>
        <v/>
      </c>
      <c r="C364" s="39">
        <f>IFERROR(IF('PRODUCTOS'!$G364&lt;&gt;"",'PRODUCTOS'!$I364,""),"")</f>
        <v/>
      </c>
      <c r="D364" s="39">
        <f>IFERROR(IF('PRODUCTOS'!$G364&lt;&gt;"",'PRODUCTOS'!$J364,""),"")</f>
        <v/>
      </c>
      <c r="E364" s="39">
        <f>IFERROR(IF('PRODUCTOS'!$G364&lt;&gt;"",'PRODUCTOS'!$X364,""),"")</f>
        <v/>
      </c>
      <c r="F364" s="40">
        <f>IFERROR(IF('PRODUCTOS'!$G364&lt;&gt;"",'PRODUCTOS'!$AF364,""),"")</f>
        <v/>
      </c>
      <c r="G364" s="40">
        <f>IFERROR(IF('PRODUCTOS'!$G364&lt;&gt;"",'PRODUCTOS'!$AG364,""),"")</f>
        <v/>
      </c>
    </row>
    <row r="365">
      <c r="A365" s="39">
        <f>IFERROR(IF('PRODUCTOS'!$G365&lt;&gt;"",'PRODUCTOS'!$A365,""),"")</f>
        <v/>
      </c>
      <c r="B365" s="39">
        <f>IFERROR(IF('PRODUCTOS'!$G365&lt;&gt;"",'PRODUCTOS'!$G365,""),"")</f>
        <v/>
      </c>
      <c r="C365" s="39">
        <f>IFERROR(IF('PRODUCTOS'!$G365&lt;&gt;"",'PRODUCTOS'!$I365,""),"")</f>
        <v/>
      </c>
      <c r="D365" s="39">
        <f>IFERROR(IF('PRODUCTOS'!$G365&lt;&gt;"",'PRODUCTOS'!$J365,""),"")</f>
        <v/>
      </c>
      <c r="E365" s="39">
        <f>IFERROR(IF('PRODUCTOS'!$G365&lt;&gt;"",'PRODUCTOS'!$X365,""),"")</f>
        <v/>
      </c>
      <c r="F365" s="40">
        <f>IFERROR(IF('PRODUCTOS'!$G365&lt;&gt;"",'PRODUCTOS'!$AF365,""),"")</f>
        <v/>
      </c>
      <c r="G365" s="40">
        <f>IFERROR(IF('PRODUCTOS'!$G365&lt;&gt;"",'PRODUCTOS'!$AG365,""),"")</f>
        <v/>
      </c>
    </row>
    <row r="366">
      <c r="A366" s="39">
        <f>IFERROR(IF('PRODUCTOS'!$G366&lt;&gt;"",'PRODUCTOS'!$A366,""),"")</f>
        <v/>
      </c>
      <c r="B366" s="39">
        <f>IFERROR(IF('PRODUCTOS'!$G366&lt;&gt;"",'PRODUCTOS'!$G366,""),"")</f>
        <v/>
      </c>
      <c r="C366" s="39">
        <f>IFERROR(IF('PRODUCTOS'!$G366&lt;&gt;"",'PRODUCTOS'!$I366,""),"")</f>
        <v/>
      </c>
      <c r="D366" s="39">
        <f>IFERROR(IF('PRODUCTOS'!$G366&lt;&gt;"",'PRODUCTOS'!$J366,""),"")</f>
        <v/>
      </c>
      <c r="E366" s="39">
        <f>IFERROR(IF('PRODUCTOS'!$G366&lt;&gt;"",'PRODUCTOS'!$X366,""),"")</f>
        <v/>
      </c>
      <c r="F366" s="40">
        <f>IFERROR(IF('PRODUCTOS'!$G366&lt;&gt;"",'PRODUCTOS'!$AF366,""),"")</f>
        <v/>
      </c>
      <c r="G366" s="40">
        <f>IFERROR(IF('PRODUCTOS'!$G366&lt;&gt;"",'PRODUCTOS'!$AG366,""),"")</f>
        <v/>
      </c>
    </row>
    <row r="367">
      <c r="A367" s="39">
        <f>IFERROR(IF('PRODUCTOS'!$G367&lt;&gt;"",'PRODUCTOS'!$A367,""),"")</f>
        <v/>
      </c>
      <c r="B367" s="39">
        <f>IFERROR(IF('PRODUCTOS'!$G367&lt;&gt;"",'PRODUCTOS'!$G367,""),"")</f>
        <v/>
      </c>
      <c r="C367" s="39">
        <f>IFERROR(IF('PRODUCTOS'!$G367&lt;&gt;"",'PRODUCTOS'!$I367,""),"")</f>
        <v/>
      </c>
      <c r="D367" s="39">
        <f>IFERROR(IF('PRODUCTOS'!$G367&lt;&gt;"",'PRODUCTOS'!$J367,""),"")</f>
        <v/>
      </c>
      <c r="E367" s="39">
        <f>IFERROR(IF('PRODUCTOS'!$G367&lt;&gt;"",'PRODUCTOS'!$X367,""),"")</f>
        <v/>
      </c>
      <c r="F367" s="40">
        <f>IFERROR(IF('PRODUCTOS'!$G367&lt;&gt;"",'PRODUCTOS'!$AF367,""),"")</f>
        <v/>
      </c>
      <c r="G367" s="40">
        <f>IFERROR(IF('PRODUCTOS'!$G367&lt;&gt;"",'PRODUCTOS'!$AG367,""),"")</f>
        <v/>
      </c>
    </row>
    <row r="368">
      <c r="A368" s="39">
        <f>IFERROR(IF('PRODUCTOS'!$G368&lt;&gt;"",'PRODUCTOS'!$A368,""),"")</f>
        <v/>
      </c>
      <c r="B368" s="39">
        <f>IFERROR(IF('PRODUCTOS'!$G368&lt;&gt;"",'PRODUCTOS'!$G368,""),"")</f>
        <v/>
      </c>
      <c r="C368" s="39">
        <f>IFERROR(IF('PRODUCTOS'!$G368&lt;&gt;"",'PRODUCTOS'!$I368,""),"")</f>
        <v/>
      </c>
      <c r="D368" s="39">
        <f>IFERROR(IF('PRODUCTOS'!$G368&lt;&gt;"",'PRODUCTOS'!$J368,""),"")</f>
        <v/>
      </c>
      <c r="E368" s="39">
        <f>IFERROR(IF('PRODUCTOS'!$G368&lt;&gt;"",'PRODUCTOS'!$X368,""),"")</f>
        <v/>
      </c>
      <c r="F368" s="40">
        <f>IFERROR(IF('PRODUCTOS'!$G368&lt;&gt;"",'PRODUCTOS'!$AF368,""),"")</f>
        <v/>
      </c>
      <c r="G368" s="40">
        <f>IFERROR(IF('PRODUCTOS'!$G368&lt;&gt;"",'PRODUCTOS'!$AG368,""),"")</f>
        <v/>
      </c>
    </row>
    <row r="369">
      <c r="A369" s="39">
        <f>IFERROR(IF('PRODUCTOS'!$G369&lt;&gt;"",'PRODUCTOS'!$A369,""),"")</f>
        <v/>
      </c>
      <c r="B369" s="39">
        <f>IFERROR(IF('PRODUCTOS'!$G369&lt;&gt;"",'PRODUCTOS'!$G369,""),"")</f>
        <v/>
      </c>
      <c r="C369" s="39">
        <f>IFERROR(IF('PRODUCTOS'!$G369&lt;&gt;"",'PRODUCTOS'!$I369,""),"")</f>
        <v/>
      </c>
      <c r="D369" s="39">
        <f>IFERROR(IF('PRODUCTOS'!$G369&lt;&gt;"",'PRODUCTOS'!$J369,""),"")</f>
        <v/>
      </c>
      <c r="E369" s="39">
        <f>IFERROR(IF('PRODUCTOS'!$G369&lt;&gt;"",'PRODUCTOS'!$X369,""),"")</f>
        <v/>
      </c>
      <c r="F369" s="40">
        <f>IFERROR(IF('PRODUCTOS'!$G369&lt;&gt;"",'PRODUCTOS'!$AF369,""),"")</f>
        <v/>
      </c>
      <c r="G369" s="40">
        <f>IFERROR(IF('PRODUCTOS'!$G369&lt;&gt;"",'PRODUCTOS'!$AG369,""),"")</f>
        <v/>
      </c>
    </row>
    <row r="370">
      <c r="A370" s="39">
        <f>IFERROR(IF('PRODUCTOS'!$G370&lt;&gt;"",'PRODUCTOS'!$A370,""),"")</f>
        <v/>
      </c>
      <c r="B370" s="39">
        <f>IFERROR(IF('PRODUCTOS'!$G370&lt;&gt;"",'PRODUCTOS'!$G370,""),"")</f>
        <v/>
      </c>
      <c r="C370" s="39">
        <f>IFERROR(IF('PRODUCTOS'!$G370&lt;&gt;"",'PRODUCTOS'!$I370,""),"")</f>
        <v/>
      </c>
      <c r="D370" s="39">
        <f>IFERROR(IF('PRODUCTOS'!$G370&lt;&gt;"",'PRODUCTOS'!$J370,""),"")</f>
        <v/>
      </c>
      <c r="E370" s="39">
        <f>IFERROR(IF('PRODUCTOS'!$G370&lt;&gt;"",'PRODUCTOS'!$X370,""),"")</f>
        <v/>
      </c>
      <c r="F370" s="40">
        <f>IFERROR(IF('PRODUCTOS'!$G370&lt;&gt;"",'PRODUCTOS'!$AF370,""),"")</f>
        <v/>
      </c>
      <c r="G370" s="40">
        <f>IFERROR(IF('PRODUCTOS'!$G370&lt;&gt;"",'PRODUCTOS'!$AG370,""),"")</f>
        <v/>
      </c>
    </row>
    <row r="371">
      <c r="A371" s="39">
        <f>IFERROR(IF('PRODUCTOS'!$G371&lt;&gt;"",'PRODUCTOS'!$A371,""),"")</f>
        <v/>
      </c>
      <c r="B371" s="39">
        <f>IFERROR(IF('PRODUCTOS'!$G371&lt;&gt;"",'PRODUCTOS'!$G371,""),"")</f>
        <v/>
      </c>
      <c r="C371" s="39">
        <f>IFERROR(IF('PRODUCTOS'!$G371&lt;&gt;"",'PRODUCTOS'!$I371,""),"")</f>
        <v/>
      </c>
      <c r="D371" s="39">
        <f>IFERROR(IF('PRODUCTOS'!$G371&lt;&gt;"",'PRODUCTOS'!$J371,""),"")</f>
        <v/>
      </c>
      <c r="E371" s="39">
        <f>IFERROR(IF('PRODUCTOS'!$G371&lt;&gt;"",'PRODUCTOS'!$X371,""),"")</f>
        <v/>
      </c>
      <c r="F371" s="40">
        <f>IFERROR(IF('PRODUCTOS'!$G371&lt;&gt;"",'PRODUCTOS'!$AF371,""),"")</f>
        <v/>
      </c>
      <c r="G371" s="40">
        <f>IFERROR(IF('PRODUCTOS'!$G371&lt;&gt;"",'PRODUCTOS'!$AG371,""),"")</f>
        <v/>
      </c>
    </row>
    <row r="372">
      <c r="A372" s="39">
        <f>IFERROR(IF('PRODUCTOS'!$G372&lt;&gt;"",'PRODUCTOS'!$A372,""),"")</f>
        <v/>
      </c>
      <c r="B372" s="39">
        <f>IFERROR(IF('PRODUCTOS'!$G372&lt;&gt;"",'PRODUCTOS'!$G372,""),"")</f>
        <v/>
      </c>
      <c r="C372" s="39">
        <f>IFERROR(IF('PRODUCTOS'!$G372&lt;&gt;"",'PRODUCTOS'!$I372,""),"")</f>
        <v/>
      </c>
      <c r="D372" s="39">
        <f>IFERROR(IF('PRODUCTOS'!$G372&lt;&gt;"",'PRODUCTOS'!$J372,""),"")</f>
        <v/>
      </c>
      <c r="E372" s="39">
        <f>IFERROR(IF('PRODUCTOS'!$G372&lt;&gt;"",'PRODUCTOS'!$X372,""),"")</f>
        <v/>
      </c>
      <c r="F372" s="40">
        <f>IFERROR(IF('PRODUCTOS'!$G372&lt;&gt;"",'PRODUCTOS'!$AF372,""),"")</f>
        <v/>
      </c>
      <c r="G372" s="40">
        <f>IFERROR(IF('PRODUCTOS'!$G372&lt;&gt;"",'PRODUCTOS'!$AG372,""),"")</f>
        <v/>
      </c>
    </row>
    <row r="373">
      <c r="A373" s="39">
        <f>IFERROR(IF('PRODUCTOS'!$G373&lt;&gt;"",'PRODUCTOS'!$A373,""),"")</f>
        <v/>
      </c>
      <c r="B373" s="39">
        <f>IFERROR(IF('PRODUCTOS'!$G373&lt;&gt;"",'PRODUCTOS'!$G373,""),"")</f>
        <v/>
      </c>
      <c r="C373" s="39">
        <f>IFERROR(IF('PRODUCTOS'!$G373&lt;&gt;"",'PRODUCTOS'!$I373,""),"")</f>
        <v/>
      </c>
      <c r="D373" s="39">
        <f>IFERROR(IF('PRODUCTOS'!$G373&lt;&gt;"",'PRODUCTOS'!$J373,""),"")</f>
        <v/>
      </c>
      <c r="E373" s="39">
        <f>IFERROR(IF('PRODUCTOS'!$G373&lt;&gt;"",'PRODUCTOS'!$X373,""),"")</f>
        <v/>
      </c>
      <c r="F373" s="40">
        <f>IFERROR(IF('PRODUCTOS'!$G373&lt;&gt;"",'PRODUCTOS'!$AF373,""),"")</f>
        <v/>
      </c>
      <c r="G373" s="40">
        <f>IFERROR(IF('PRODUCTOS'!$G373&lt;&gt;"",'PRODUCTOS'!$AG373,""),"")</f>
        <v/>
      </c>
    </row>
    <row r="374">
      <c r="A374" s="39">
        <f>IFERROR(IF('PRODUCTOS'!$G374&lt;&gt;"",'PRODUCTOS'!$A374,""),"")</f>
        <v/>
      </c>
      <c r="B374" s="39">
        <f>IFERROR(IF('PRODUCTOS'!$G374&lt;&gt;"",'PRODUCTOS'!$G374,""),"")</f>
        <v/>
      </c>
      <c r="C374" s="39">
        <f>IFERROR(IF('PRODUCTOS'!$G374&lt;&gt;"",'PRODUCTOS'!$I374,""),"")</f>
        <v/>
      </c>
      <c r="D374" s="39">
        <f>IFERROR(IF('PRODUCTOS'!$G374&lt;&gt;"",'PRODUCTOS'!$J374,""),"")</f>
        <v/>
      </c>
      <c r="E374" s="39">
        <f>IFERROR(IF('PRODUCTOS'!$G374&lt;&gt;"",'PRODUCTOS'!$X374,""),"")</f>
        <v/>
      </c>
      <c r="F374" s="40">
        <f>IFERROR(IF('PRODUCTOS'!$G374&lt;&gt;"",'PRODUCTOS'!$AF374,""),"")</f>
        <v/>
      </c>
      <c r="G374" s="40">
        <f>IFERROR(IF('PRODUCTOS'!$G374&lt;&gt;"",'PRODUCTOS'!$AG374,""),"")</f>
        <v/>
      </c>
    </row>
    <row r="375">
      <c r="A375" s="39">
        <f>IFERROR(IF('PRODUCTOS'!$G375&lt;&gt;"",'PRODUCTOS'!$A375,""),"")</f>
        <v/>
      </c>
      <c r="B375" s="39">
        <f>IFERROR(IF('PRODUCTOS'!$G375&lt;&gt;"",'PRODUCTOS'!$G375,""),"")</f>
        <v/>
      </c>
      <c r="C375" s="39">
        <f>IFERROR(IF('PRODUCTOS'!$G375&lt;&gt;"",'PRODUCTOS'!$I375,""),"")</f>
        <v/>
      </c>
      <c r="D375" s="39">
        <f>IFERROR(IF('PRODUCTOS'!$G375&lt;&gt;"",'PRODUCTOS'!$J375,""),"")</f>
        <v/>
      </c>
      <c r="E375" s="39">
        <f>IFERROR(IF('PRODUCTOS'!$G375&lt;&gt;"",'PRODUCTOS'!$X375,""),"")</f>
        <v/>
      </c>
      <c r="F375" s="40">
        <f>IFERROR(IF('PRODUCTOS'!$G375&lt;&gt;"",'PRODUCTOS'!$AF375,""),"")</f>
        <v/>
      </c>
      <c r="G375" s="40">
        <f>IFERROR(IF('PRODUCTOS'!$G375&lt;&gt;"",'PRODUCTOS'!$AG375,""),"")</f>
        <v/>
      </c>
    </row>
    <row r="376">
      <c r="A376" s="39">
        <f>IFERROR(IF('PRODUCTOS'!$G376&lt;&gt;"",'PRODUCTOS'!$A376,""),"")</f>
        <v/>
      </c>
      <c r="B376" s="39">
        <f>IFERROR(IF('PRODUCTOS'!$G376&lt;&gt;"",'PRODUCTOS'!$G376,""),"")</f>
        <v/>
      </c>
      <c r="C376" s="39">
        <f>IFERROR(IF('PRODUCTOS'!$G376&lt;&gt;"",'PRODUCTOS'!$I376,""),"")</f>
        <v/>
      </c>
      <c r="D376" s="39">
        <f>IFERROR(IF('PRODUCTOS'!$G376&lt;&gt;"",'PRODUCTOS'!$J376,""),"")</f>
        <v/>
      </c>
      <c r="E376" s="39">
        <f>IFERROR(IF('PRODUCTOS'!$G376&lt;&gt;"",'PRODUCTOS'!$X376,""),"")</f>
        <v/>
      </c>
      <c r="F376" s="40">
        <f>IFERROR(IF('PRODUCTOS'!$G376&lt;&gt;"",'PRODUCTOS'!$AF376,""),"")</f>
        <v/>
      </c>
      <c r="G376" s="40">
        <f>IFERROR(IF('PRODUCTOS'!$G376&lt;&gt;"",'PRODUCTOS'!$AG376,""),"")</f>
        <v/>
      </c>
    </row>
    <row r="377">
      <c r="A377" s="39">
        <f>IFERROR(IF('PRODUCTOS'!$G377&lt;&gt;"",'PRODUCTOS'!$A377,""),"")</f>
        <v/>
      </c>
      <c r="B377" s="39">
        <f>IFERROR(IF('PRODUCTOS'!$G377&lt;&gt;"",'PRODUCTOS'!$G377,""),"")</f>
        <v/>
      </c>
      <c r="C377" s="39">
        <f>IFERROR(IF('PRODUCTOS'!$G377&lt;&gt;"",'PRODUCTOS'!$I377,""),"")</f>
        <v/>
      </c>
      <c r="D377" s="39">
        <f>IFERROR(IF('PRODUCTOS'!$G377&lt;&gt;"",'PRODUCTOS'!$J377,""),"")</f>
        <v/>
      </c>
      <c r="E377" s="39">
        <f>IFERROR(IF('PRODUCTOS'!$G377&lt;&gt;"",'PRODUCTOS'!$X377,""),"")</f>
        <v/>
      </c>
      <c r="F377" s="40">
        <f>IFERROR(IF('PRODUCTOS'!$G377&lt;&gt;"",'PRODUCTOS'!$AF377,""),"")</f>
        <v/>
      </c>
      <c r="G377" s="40">
        <f>IFERROR(IF('PRODUCTOS'!$G377&lt;&gt;"",'PRODUCTOS'!$AG377,""),"")</f>
        <v/>
      </c>
    </row>
    <row r="378">
      <c r="A378" s="39">
        <f>IFERROR(IF('PRODUCTOS'!$G378&lt;&gt;"",'PRODUCTOS'!$A378,""),"")</f>
        <v/>
      </c>
      <c r="B378" s="39">
        <f>IFERROR(IF('PRODUCTOS'!$G378&lt;&gt;"",'PRODUCTOS'!$G378,""),"")</f>
        <v/>
      </c>
      <c r="C378" s="39">
        <f>IFERROR(IF('PRODUCTOS'!$G378&lt;&gt;"",'PRODUCTOS'!$I378,""),"")</f>
        <v/>
      </c>
      <c r="D378" s="39">
        <f>IFERROR(IF('PRODUCTOS'!$G378&lt;&gt;"",'PRODUCTOS'!$J378,""),"")</f>
        <v/>
      </c>
      <c r="E378" s="39">
        <f>IFERROR(IF('PRODUCTOS'!$G378&lt;&gt;"",'PRODUCTOS'!$X378,""),"")</f>
        <v/>
      </c>
      <c r="F378" s="40">
        <f>IFERROR(IF('PRODUCTOS'!$G378&lt;&gt;"",'PRODUCTOS'!$AF378,""),"")</f>
        <v/>
      </c>
      <c r="G378" s="40">
        <f>IFERROR(IF('PRODUCTOS'!$G378&lt;&gt;"",'PRODUCTOS'!$AG378,""),"")</f>
        <v/>
      </c>
    </row>
    <row r="379">
      <c r="A379" s="39">
        <f>IFERROR(IF('PRODUCTOS'!$G379&lt;&gt;"",'PRODUCTOS'!$A379,""),"")</f>
        <v/>
      </c>
      <c r="B379" s="39">
        <f>IFERROR(IF('PRODUCTOS'!$G379&lt;&gt;"",'PRODUCTOS'!$G379,""),"")</f>
        <v/>
      </c>
      <c r="C379" s="39">
        <f>IFERROR(IF('PRODUCTOS'!$G379&lt;&gt;"",'PRODUCTOS'!$I379,""),"")</f>
        <v/>
      </c>
      <c r="D379" s="39">
        <f>IFERROR(IF('PRODUCTOS'!$G379&lt;&gt;"",'PRODUCTOS'!$J379,""),"")</f>
        <v/>
      </c>
      <c r="E379" s="39">
        <f>IFERROR(IF('PRODUCTOS'!$G379&lt;&gt;"",'PRODUCTOS'!$X379,""),"")</f>
        <v/>
      </c>
      <c r="F379" s="40">
        <f>IFERROR(IF('PRODUCTOS'!$G379&lt;&gt;"",'PRODUCTOS'!$AF379,""),"")</f>
        <v/>
      </c>
      <c r="G379" s="40">
        <f>IFERROR(IF('PRODUCTOS'!$G379&lt;&gt;"",'PRODUCTOS'!$AG379,""),"")</f>
        <v/>
      </c>
    </row>
    <row r="380">
      <c r="A380" s="39">
        <f>IFERROR(IF('PRODUCTOS'!$G380&lt;&gt;"",'PRODUCTOS'!$A380,""),"")</f>
        <v/>
      </c>
      <c r="B380" s="39">
        <f>IFERROR(IF('PRODUCTOS'!$G380&lt;&gt;"",'PRODUCTOS'!$G380,""),"")</f>
        <v/>
      </c>
      <c r="C380" s="39">
        <f>IFERROR(IF('PRODUCTOS'!$G380&lt;&gt;"",'PRODUCTOS'!$I380,""),"")</f>
        <v/>
      </c>
      <c r="D380" s="39">
        <f>IFERROR(IF('PRODUCTOS'!$G380&lt;&gt;"",'PRODUCTOS'!$J380,""),"")</f>
        <v/>
      </c>
      <c r="E380" s="39">
        <f>IFERROR(IF('PRODUCTOS'!$G380&lt;&gt;"",'PRODUCTOS'!$X380,""),"")</f>
        <v/>
      </c>
      <c r="F380" s="40">
        <f>IFERROR(IF('PRODUCTOS'!$G380&lt;&gt;"",'PRODUCTOS'!$AF380,""),"")</f>
        <v/>
      </c>
      <c r="G380" s="40">
        <f>IFERROR(IF('PRODUCTOS'!$G380&lt;&gt;"",'PRODUCTOS'!$AG380,""),"")</f>
        <v/>
      </c>
    </row>
    <row r="381">
      <c r="A381" s="39">
        <f>IFERROR(IF('PRODUCTOS'!$G381&lt;&gt;"",'PRODUCTOS'!$A381,""),"")</f>
        <v/>
      </c>
      <c r="B381" s="39">
        <f>IFERROR(IF('PRODUCTOS'!$G381&lt;&gt;"",'PRODUCTOS'!$G381,""),"")</f>
        <v/>
      </c>
      <c r="C381" s="39">
        <f>IFERROR(IF('PRODUCTOS'!$G381&lt;&gt;"",'PRODUCTOS'!$I381,""),"")</f>
        <v/>
      </c>
      <c r="D381" s="39">
        <f>IFERROR(IF('PRODUCTOS'!$G381&lt;&gt;"",'PRODUCTOS'!$J381,""),"")</f>
        <v/>
      </c>
      <c r="E381" s="39">
        <f>IFERROR(IF('PRODUCTOS'!$G381&lt;&gt;"",'PRODUCTOS'!$X381,""),"")</f>
        <v/>
      </c>
      <c r="F381" s="40">
        <f>IFERROR(IF('PRODUCTOS'!$G381&lt;&gt;"",'PRODUCTOS'!$AF381,""),"")</f>
        <v/>
      </c>
      <c r="G381" s="40">
        <f>IFERROR(IF('PRODUCTOS'!$G381&lt;&gt;"",'PRODUCTOS'!$AG381,""),"")</f>
        <v/>
      </c>
    </row>
    <row r="382">
      <c r="A382" s="39">
        <f>IFERROR(IF('PRODUCTOS'!$G382&lt;&gt;"",'PRODUCTOS'!$A382,""),"")</f>
        <v/>
      </c>
      <c r="B382" s="39">
        <f>IFERROR(IF('PRODUCTOS'!$G382&lt;&gt;"",'PRODUCTOS'!$G382,""),"")</f>
        <v/>
      </c>
      <c r="C382" s="39">
        <f>IFERROR(IF('PRODUCTOS'!$G382&lt;&gt;"",'PRODUCTOS'!$I382,""),"")</f>
        <v/>
      </c>
      <c r="D382" s="39">
        <f>IFERROR(IF('PRODUCTOS'!$G382&lt;&gt;"",'PRODUCTOS'!$J382,""),"")</f>
        <v/>
      </c>
      <c r="E382" s="39">
        <f>IFERROR(IF('PRODUCTOS'!$G382&lt;&gt;"",'PRODUCTOS'!$X382,""),"")</f>
        <v/>
      </c>
      <c r="F382" s="40">
        <f>IFERROR(IF('PRODUCTOS'!$G382&lt;&gt;"",'PRODUCTOS'!$AF382,""),"")</f>
        <v/>
      </c>
      <c r="G382" s="40">
        <f>IFERROR(IF('PRODUCTOS'!$G382&lt;&gt;"",'PRODUCTOS'!$AG382,""),"")</f>
        <v/>
      </c>
    </row>
    <row r="383">
      <c r="A383" s="39">
        <f>IFERROR(IF('PRODUCTOS'!$G383&lt;&gt;"",'PRODUCTOS'!$A383,""),"")</f>
        <v/>
      </c>
      <c r="B383" s="39">
        <f>IFERROR(IF('PRODUCTOS'!$G383&lt;&gt;"",'PRODUCTOS'!$G383,""),"")</f>
        <v/>
      </c>
      <c r="C383" s="39">
        <f>IFERROR(IF('PRODUCTOS'!$G383&lt;&gt;"",'PRODUCTOS'!$I383,""),"")</f>
        <v/>
      </c>
      <c r="D383" s="39">
        <f>IFERROR(IF('PRODUCTOS'!$G383&lt;&gt;"",'PRODUCTOS'!$J383,""),"")</f>
        <v/>
      </c>
      <c r="E383" s="39">
        <f>IFERROR(IF('PRODUCTOS'!$G383&lt;&gt;"",'PRODUCTOS'!$X383,""),"")</f>
        <v/>
      </c>
      <c r="F383" s="40">
        <f>IFERROR(IF('PRODUCTOS'!$G383&lt;&gt;"",'PRODUCTOS'!$AF383,""),"")</f>
        <v/>
      </c>
      <c r="G383" s="40">
        <f>IFERROR(IF('PRODUCTOS'!$G383&lt;&gt;"",'PRODUCTOS'!$AG383,""),"")</f>
        <v/>
      </c>
    </row>
    <row r="384">
      <c r="A384" s="39">
        <f>IFERROR(IF('PRODUCTOS'!$G384&lt;&gt;"",'PRODUCTOS'!$A384,""),"")</f>
        <v/>
      </c>
      <c r="B384" s="39">
        <f>IFERROR(IF('PRODUCTOS'!$G384&lt;&gt;"",'PRODUCTOS'!$G384,""),"")</f>
        <v/>
      </c>
      <c r="C384" s="39">
        <f>IFERROR(IF('PRODUCTOS'!$G384&lt;&gt;"",'PRODUCTOS'!$I384,""),"")</f>
        <v/>
      </c>
      <c r="D384" s="39">
        <f>IFERROR(IF('PRODUCTOS'!$G384&lt;&gt;"",'PRODUCTOS'!$J384,""),"")</f>
        <v/>
      </c>
      <c r="E384" s="39">
        <f>IFERROR(IF('PRODUCTOS'!$G384&lt;&gt;"",'PRODUCTOS'!$X384,""),"")</f>
        <v/>
      </c>
      <c r="F384" s="40">
        <f>IFERROR(IF('PRODUCTOS'!$G384&lt;&gt;"",'PRODUCTOS'!$AF384,""),"")</f>
        <v/>
      </c>
      <c r="G384" s="40">
        <f>IFERROR(IF('PRODUCTOS'!$G384&lt;&gt;"",'PRODUCTOS'!$AG384,""),"")</f>
        <v/>
      </c>
    </row>
    <row r="385">
      <c r="A385" s="39">
        <f>IFERROR(IF('PRODUCTOS'!$G385&lt;&gt;"",'PRODUCTOS'!$A385,""),"")</f>
        <v/>
      </c>
      <c r="B385" s="39">
        <f>IFERROR(IF('PRODUCTOS'!$G385&lt;&gt;"",'PRODUCTOS'!$G385,""),"")</f>
        <v/>
      </c>
      <c r="C385" s="39">
        <f>IFERROR(IF('PRODUCTOS'!$G385&lt;&gt;"",'PRODUCTOS'!$I385,""),"")</f>
        <v/>
      </c>
      <c r="D385" s="39">
        <f>IFERROR(IF('PRODUCTOS'!$G385&lt;&gt;"",'PRODUCTOS'!$J385,""),"")</f>
        <v/>
      </c>
      <c r="E385" s="39">
        <f>IFERROR(IF('PRODUCTOS'!$G385&lt;&gt;"",'PRODUCTOS'!$X385,""),"")</f>
        <v/>
      </c>
      <c r="F385" s="40">
        <f>IFERROR(IF('PRODUCTOS'!$G385&lt;&gt;"",'PRODUCTOS'!$AF385,""),"")</f>
        <v/>
      </c>
      <c r="G385" s="40">
        <f>IFERROR(IF('PRODUCTOS'!$G385&lt;&gt;"",'PRODUCTOS'!$AG385,""),"")</f>
        <v/>
      </c>
    </row>
    <row r="386">
      <c r="A386" s="39">
        <f>IFERROR(IF('PRODUCTOS'!$G386&lt;&gt;"",'PRODUCTOS'!$A386,""),"")</f>
        <v/>
      </c>
      <c r="B386" s="39">
        <f>IFERROR(IF('PRODUCTOS'!$G386&lt;&gt;"",'PRODUCTOS'!$G386,""),"")</f>
        <v/>
      </c>
      <c r="C386" s="39">
        <f>IFERROR(IF('PRODUCTOS'!$G386&lt;&gt;"",'PRODUCTOS'!$I386,""),"")</f>
        <v/>
      </c>
      <c r="D386" s="39">
        <f>IFERROR(IF('PRODUCTOS'!$G386&lt;&gt;"",'PRODUCTOS'!$J386,""),"")</f>
        <v/>
      </c>
      <c r="E386" s="39">
        <f>IFERROR(IF('PRODUCTOS'!$G386&lt;&gt;"",'PRODUCTOS'!$X386,""),"")</f>
        <v/>
      </c>
      <c r="F386" s="40">
        <f>IFERROR(IF('PRODUCTOS'!$G386&lt;&gt;"",'PRODUCTOS'!$AF386,""),"")</f>
        <v/>
      </c>
      <c r="G386" s="40">
        <f>IFERROR(IF('PRODUCTOS'!$G386&lt;&gt;"",'PRODUCTOS'!$AG386,""),"")</f>
        <v/>
      </c>
    </row>
    <row r="387">
      <c r="A387" s="39">
        <f>IFERROR(IF('PRODUCTOS'!$G387&lt;&gt;"",'PRODUCTOS'!$A387,""),"")</f>
        <v/>
      </c>
      <c r="B387" s="39">
        <f>IFERROR(IF('PRODUCTOS'!$G387&lt;&gt;"",'PRODUCTOS'!$G387,""),"")</f>
        <v/>
      </c>
      <c r="C387" s="39">
        <f>IFERROR(IF('PRODUCTOS'!$G387&lt;&gt;"",'PRODUCTOS'!$I387,""),"")</f>
        <v/>
      </c>
      <c r="D387" s="39">
        <f>IFERROR(IF('PRODUCTOS'!$G387&lt;&gt;"",'PRODUCTOS'!$J387,""),"")</f>
        <v/>
      </c>
      <c r="E387" s="39">
        <f>IFERROR(IF('PRODUCTOS'!$G387&lt;&gt;"",'PRODUCTOS'!$X387,""),"")</f>
        <v/>
      </c>
      <c r="F387" s="40">
        <f>IFERROR(IF('PRODUCTOS'!$G387&lt;&gt;"",'PRODUCTOS'!$AF387,""),"")</f>
        <v/>
      </c>
      <c r="G387" s="40">
        <f>IFERROR(IF('PRODUCTOS'!$G387&lt;&gt;"",'PRODUCTOS'!$AG387,""),"")</f>
        <v/>
      </c>
    </row>
    <row r="388">
      <c r="A388" s="39">
        <f>IFERROR(IF('PRODUCTOS'!$G388&lt;&gt;"",'PRODUCTOS'!$A388,""),"")</f>
        <v/>
      </c>
      <c r="B388" s="39">
        <f>IFERROR(IF('PRODUCTOS'!$G388&lt;&gt;"",'PRODUCTOS'!$G388,""),"")</f>
        <v/>
      </c>
      <c r="C388" s="39">
        <f>IFERROR(IF('PRODUCTOS'!$G388&lt;&gt;"",'PRODUCTOS'!$I388,""),"")</f>
        <v/>
      </c>
      <c r="D388" s="39">
        <f>IFERROR(IF('PRODUCTOS'!$G388&lt;&gt;"",'PRODUCTOS'!$J388,""),"")</f>
        <v/>
      </c>
      <c r="E388" s="39">
        <f>IFERROR(IF('PRODUCTOS'!$G388&lt;&gt;"",'PRODUCTOS'!$X388,""),"")</f>
        <v/>
      </c>
      <c r="F388" s="40">
        <f>IFERROR(IF('PRODUCTOS'!$G388&lt;&gt;"",'PRODUCTOS'!$AF388,""),"")</f>
        <v/>
      </c>
      <c r="G388" s="40">
        <f>IFERROR(IF('PRODUCTOS'!$G388&lt;&gt;"",'PRODUCTOS'!$AG388,""),"")</f>
        <v/>
      </c>
    </row>
    <row r="389">
      <c r="A389" s="39">
        <f>IFERROR(IF('PRODUCTOS'!$G389&lt;&gt;"",'PRODUCTOS'!$A389,""),"")</f>
        <v/>
      </c>
      <c r="B389" s="39">
        <f>IFERROR(IF('PRODUCTOS'!$G389&lt;&gt;"",'PRODUCTOS'!$G389,""),"")</f>
        <v/>
      </c>
      <c r="C389" s="39">
        <f>IFERROR(IF('PRODUCTOS'!$G389&lt;&gt;"",'PRODUCTOS'!$I389,""),"")</f>
        <v/>
      </c>
      <c r="D389" s="39">
        <f>IFERROR(IF('PRODUCTOS'!$G389&lt;&gt;"",'PRODUCTOS'!$J389,""),"")</f>
        <v/>
      </c>
      <c r="E389" s="39">
        <f>IFERROR(IF('PRODUCTOS'!$G389&lt;&gt;"",'PRODUCTOS'!$X389,""),"")</f>
        <v/>
      </c>
      <c r="F389" s="40">
        <f>IFERROR(IF('PRODUCTOS'!$G389&lt;&gt;"",'PRODUCTOS'!$AF389,""),"")</f>
        <v/>
      </c>
      <c r="G389" s="40">
        <f>IFERROR(IF('PRODUCTOS'!$G389&lt;&gt;"",'PRODUCTOS'!$AG389,""),"")</f>
        <v/>
      </c>
    </row>
    <row r="390">
      <c r="A390" s="39">
        <f>IFERROR(IF('PRODUCTOS'!$G390&lt;&gt;"",'PRODUCTOS'!$A390,""),"")</f>
        <v/>
      </c>
      <c r="B390" s="39">
        <f>IFERROR(IF('PRODUCTOS'!$G390&lt;&gt;"",'PRODUCTOS'!$G390,""),"")</f>
        <v/>
      </c>
      <c r="C390" s="39">
        <f>IFERROR(IF('PRODUCTOS'!$G390&lt;&gt;"",'PRODUCTOS'!$I390,""),"")</f>
        <v/>
      </c>
      <c r="D390" s="39">
        <f>IFERROR(IF('PRODUCTOS'!$G390&lt;&gt;"",'PRODUCTOS'!$J390,""),"")</f>
        <v/>
      </c>
      <c r="E390" s="39">
        <f>IFERROR(IF('PRODUCTOS'!$G390&lt;&gt;"",'PRODUCTOS'!$X390,""),"")</f>
        <v/>
      </c>
      <c r="F390" s="40">
        <f>IFERROR(IF('PRODUCTOS'!$G390&lt;&gt;"",'PRODUCTOS'!$AF390,""),"")</f>
        <v/>
      </c>
      <c r="G390" s="40">
        <f>IFERROR(IF('PRODUCTOS'!$G390&lt;&gt;"",'PRODUCTOS'!$AG390,""),"")</f>
        <v/>
      </c>
    </row>
    <row r="391">
      <c r="A391" s="39">
        <f>IFERROR(IF('PRODUCTOS'!$G391&lt;&gt;"",'PRODUCTOS'!$A391,""),"")</f>
        <v/>
      </c>
      <c r="B391" s="39">
        <f>IFERROR(IF('PRODUCTOS'!$G391&lt;&gt;"",'PRODUCTOS'!$G391,""),"")</f>
        <v/>
      </c>
      <c r="C391" s="39">
        <f>IFERROR(IF('PRODUCTOS'!$G391&lt;&gt;"",'PRODUCTOS'!$I391,""),"")</f>
        <v/>
      </c>
      <c r="D391" s="39">
        <f>IFERROR(IF('PRODUCTOS'!$G391&lt;&gt;"",'PRODUCTOS'!$J391,""),"")</f>
        <v/>
      </c>
      <c r="E391" s="39">
        <f>IFERROR(IF('PRODUCTOS'!$G391&lt;&gt;"",'PRODUCTOS'!$X391,""),"")</f>
        <v/>
      </c>
      <c r="F391" s="40">
        <f>IFERROR(IF('PRODUCTOS'!$G391&lt;&gt;"",'PRODUCTOS'!$AF391,""),"")</f>
        <v/>
      </c>
      <c r="G391" s="40">
        <f>IFERROR(IF('PRODUCTOS'!$G391&lt;&gt;"",'PRODUCTOS'!$AG391,""),"")</f>
        <v/>
      </c>
    </row>
    <row r="392">
      <c r="A392" s="39">
        <f>IFERROR(IF('PRODUCTOS'!$G392&lt;&gt;"",'PRODUCTOS'!$A392,""),"")</f>
        <v/>
      </c>
      <c r="B392" s="39">
        <f>IFERROR(IF('PRODUCTOS'!$G392&lt;&gt;"",'PRODUCTOS'!$G392,""),"")</f>
        <v/>
      </c>
      <c r="C392" s="39">
        <f>IFERROR(IF('PRODUCTOS'!$G392&lt;&gt;"",'PRODUCTOS'!$I392,""),"")</f>
        <v/>
      </c>
      <c r="D392" s="39">
        <f>IFERROR(IF('PRODUCTOS'!$G392&lt;&gt;"",'PRODUCTOS'!$J392,""),"")</f>
        <v/>
      </c>
      <c r="E392" s="39">
        <f>IFERROR(IF('PRODUCTOS'!$G392&lt;&gt;"",'PRODUCTOS'!$X392,""),"")</f>
        <v/>
      </c>
      <c r="F392" s="40">
        <f>IFERROR(IF('PRODUCTOS'!$G392&lt;&gt;"",'PRODUCTOS'!$AF392,""),"")</f>
        <v/>
      </c>
      <c r="G392" s="40">
        <f>IFERROR(IF('PRODUCTOS'!$G392&lt;&gt;"",'PRODUCTOS'!$AG392,""),"")</f>
        <v/>
      </c>
    </row>
    <row r="393">
      <c r="A393" s="39">
        <f>IFERROR(IF('PRODUCTOS'!$G393&lt;&gt;"",'PRODUCTOS'!$A393,""),"")</f>
        <v/>
      </c>
      <c r="B393" s="39">
        <f>IFERROR(IF('PRODUCTOS'!$G393&lt;&gt;"",'PRODUCTOS'!$G393,""),"")</f>
        <v/>
      </c>
      <c r="C393" s="39">
        <f>IFERROR(IF('PRODUCTOS'!$G393&lt;&gt;"",'PRODUCTOS'!$I393,""),"")</f>
        <v/>
      </c>
      <c r="D393" s="39">
        <f>IFERROR(IF('PRODUCTOS'!$G393&lt;&gt;"",'PRODUCTOS'!$J393,""),"")</f>
        <v/>
      </c>
      <c r="E393" s="39">
        <f>IFERROR(IF('PRODUCTOS'!$G393&lt;&gt;"",'PRODUCTOS'!$X393,""),"")</f>
        <v/>
      </c>
      <c r="F393" s="40">
        <f>IFERROR(IF('PRODUCTOS'!$G393&lt;&gt;"",'PRODUCTOS'!$AF393,""),"")</f>
        <v/>
      </c>
      <c r="G393" s="40">
        <f>IFERROR(IF('PRODUCTOS'!$G393&lt;&gt;"",'PRODUCTOS'!$AG393,""),"")</f>
        <v/>
      </c>
    </row>
    <row r="394">
      <c r="A394" s="39">
        <f>IFERROR(IF('PRODUCTOS'!$G394&lt;&gt;"",'PRODUCTOS'!$A394,""),"")</f>
        <v/>
      </c>
      <c r="B394" s="39">
        <f>IFERROR(IF('PRODUCTOS'!$G394&lt;&gt;"",'PRODUCTOS'!$G394,""),"")</f>
        <v/>
      </c>
      <c r="C394" s="39">
        <f>IFERROR(IF('PRODUCTOS'!$G394&lt;&gt;"",'PRODUCTOS'!$I394,""),"")</f>
        <v/>
      </c>
      <c r="D394" s="39">
        <f>IFERROR(IF('PRODUCTOS'!$G394&lt;&gt;"",'PRODUCTOS'!$J394,""),"")</f>
        <v/>
      </c>
      <c r="E394" s="39">
        <f>IFERROR(IF('PRODUCTOS'!$G394&lt;&gt;"",'PRODUCTOS'!$X394,""),"")</f>
        <v/>
      </c>
      <c r="F394" s="40">
        <f>IFERROR(IF('PRODUCTOS'!$G394&lt;&gt;"",'PRODUCTOS'!$AF394,""),"")</f>
        <v/>
      </c>
      <c r="G394" s="40">
        <f>IFERROR(IF('PRODUCTOS'!$G394&lt;&gt;"",'PRODUCTOS'!$AG394,""),"")</f>
        <v/>
      </c>
    </row>
    <row r="395">
      <c r="A395" s="39">
        <f>IFERROR(IF('PRODUCTOS'!$G395&lt;&gt;"",'PRODUCTOS'!$A395,""),"")</f>
        <v/>
      </c>
      <c r="B395" s="39">
        <f>IFERROR(IF('PRODUCTOS'!$G395&lt;&gt;"",'PRODUCTOS'!$G395,""),"")</f>
        <v/>
      </c>
      <c r="C395" s="39">
        <f>IFERROR(IF('PRODUCTOS'!$G395&lt;&gt;"",'PRODUCTOS'!$I395,""),"")</f>
        <v/>
      </c>
      <c r="D395" s="39">
        <f>IFERROR(IF('PRODUCTOS'!$G395&lt;&gt;"",'PRODUCTOS'!$J395,""),"")</f>
        <v/>
      </c>
      <c r="E395" s="39">
        <f>IFERROR(IF('PRODUCTOS'!$G395&lt;&gt;"",'PRODUCTOS'!$X395,""),"")</f>
        <v/>
      </c>
      <c r="F395" s="40">
        <f>IFERROR(IF('PRODUCTOS'!$G395&lt;&gt;"",'PRODUCTOS'!$AF395,""),"")</f>
        <v/>
      </c>
      <c r="G395" s="40">
        <f>IFERROR(IF('PRODUCTOS'!$G395&lt;&gt;"",'PRODUCTOS'!$AG395,""),"")</f>
        <v/>
      </c>
    </row>
    <row r="396">
      <c r="A396" s="39">
        <f>IFERROR(IF('PRODUCTOS'!$G396&lt;&gt;"",'PRODUCTOS'!$A396,""),"")</f>
        <v/>
      </c>
      <c r="B396" s="39">
        <f>IFERROR(IF('PRODUCTOS'!$G396&lt;&gt;"",'PRODUCTOS'!$G396,""),"")</f>
        <v/>
      </c>
      <c r="C396" s="39">
        <f>IFERROR(IF('PRODUCTOS'!$G396&lt;&gt;"",'PRODUCTOS'!$I396,""),"")</f>
        <v/>
      </c>
      <c r="D396" s="39">
        <f>IFERROR(IF('PRODUCTOS'!$G396&lt;&gt;"",'PRODUCTOS'!$J396,""),"")</f>
        <v/>
      </c>
      <c r="E396" s="39">
        <f>IFERROR(IF('PRODUCTOS'!$G396&lt;&gt;"",'PRODUCTOS'!$X396,""),"")</f>
        <v/>
      </c>
      <c r="F396" s="40">
        <f>IFERROR(IF('PRODUCTOS'!$G396&lt;&gt;"",'PRODUCTOS'!$AF396,""),"")</f>
        <v/>
      </c>
      <c r="G396" s="40">
        <f>IFERROR(IF('PRODUCTOS'!$G396&lt;&gt;"",'PRODUCTOS'!$AG396,""),"")</f>
        <v/>
      </c>
    </row>
    <row r="397">
      <c r="A397" s="39">
        <f>IFERROR(IF('PRODUCTOS'!$G397&lt;&gt;"",'PRODUCTOS'!$A397,""),"")</f>
        <v/>
      </c>
      <c r="B397" s="39">
        <f>IFERROR(IF('PRODUCTOS'!$G397&lt;&gt;"",'PRODUCTOS'!$G397,""),"")</f>
        <v/>
      </c>
      <c r="C397" s="39">
        <f>IFERROR(IF('PRODUCTOS'!$G397&lt;&gt;"",'PRODUCTOS'!$I397,""),"")</f>
        <v/>
      </c>
      <c r="D397" s="39">
        <f>IFERROR(IF('PRODUCTOS'!$G397&lt;&gt;"",'PRODUCTOS'!$J397,""),"")</f>
        <v/>
      </c>
      <c r="E397" s="39">
        <f>IFERROR(IF('PRODUCTOS'!$G397&lt;&gt;"",'PRODUCTOS'!$X397,""),"")</f>
        <v/>
      </c>
      <c r="F397" s="40">
        <f>IFERROR(IF('PRODUCTOS'!$G397&lt;&gt;"",'PRODUCTOS'!$AF397,""),"")</f>
        <v/>
      </c>
      <c r="G397" s="40">
        <f>IFERROR(IF('PRODUCTOS'!$G397&lt;&gt;"",'PRODUCTOS'!$AG397,""),"")</f>
        <v/>
      </c>
    </row>
    <row r="398">
      <c r="A398" s="39">
        <f>IFERROR(IF('PRODUCTOS'!$G398&lt;&gt;"",'PRODUCTOS'!$A398,""),"")</f>
        <v/>
      </c>
      <c r="B398" s="39">
        <f>IFERROR(IF('PRODUCTOS'!$G398&lt;&gt;"",'PRODUCTOS'!$G398,""),"")</f>
        <v/>
      </c>
      <c r="C398" s="39">
        <f>IFERROR(IF('PRODUCTOS'!$G398&lt;&gt;"",'PRODUCTOS'!$I398,""),"")</f>
        <v/>
      </c>
      <c r="D398" s="39">
        <f>IFERROR(IF('PRODUCTOS'!$G398&lt;&gt;"",'PRODUCTOS'!$J398,""),"")</f>
        <v/>
      </c>
      <c r="E398" s="39">
        <f>IFERROR(IF('PRODUCTOS'!$G398&lt;&gt;"",'PRODUCTOS'!$X398,""),"")</f>
        <v/>
      </c>
      <c r="F398" s="40">
        <f>IFERROR(IF('PRODUCTOS'!$G398&lt;&gt;"",'PRODUCTOS'!$AF398,""),"")</f>
        <v/>
      </c>
      <c r="G398" s="40">
        <f>IFERROR(IF('PRODUCTOS'!$G398&lt;&gt;"",'PRODUCTOS'!$AG398,""),"")</f>
        <v/>
      </c>
    </row>
    <row r="399">
      <c r="A399" s="39">
        <f>IFERROR(IF('PRODUCTOS'!$G399&lt;&gt;"",'PRODUCTOS'!$A399,""),"")</f>
        <v/>
      </c>
      <c r="B399" s="39">
        <f>IFERROR(IF('PRODUCTOS'!$G399&lt;&gt;"",'PRODUCTOS'!$G399,""),"")</f>
        <v/>
      </c>
      <c r="C399" s="39">
        <f>IFERROR(IF('PRODUCTOS'!$G399&lt;&gt;"",'PRODUCTOS'!$I399,""),"")</f>
        <v/>
      </c>
      <c r="D399" s="39">
        <f>IFERROR(IF('PRODUCTOS'!$G399&lt;&gt;"",'PRODUCTOS'!$J399,""),"")</f>
        <v/>
      </c>
      <c r="E399" s="39">
        <f>IFERROR(IF('PRODUCTOS'!$G399&lt;&gt;"",'PRODUCTOS'!$X399,""),"")</f>
        <v/>
      </c>
      <c r="F399" s="40">
        <f>IFERROR(IF('PRODUCTOS'!$G399&lt;&gt;"",'PRODUCTOS'!$AF399,""),"")</f>
        <v/>
      </c>
      <c r="G399" s="40">
        <f>IFERROR(IF('PRODUCTOS'!$G399&lt;&gt;"",'PRODUCTOS'!$AG399,""),"")</f>
        <v/>
      </c>
    </row>
    <row r="400">
      <c r="A400" s="39">
        <f>IFERROR(IF('PRODUCTOS'!$G400&lt;&gt;"",'PRODUCTOS'!$A400,""),"")</f>
        <v/>
      </c>
      <c r="B400" s="39">
        <f>IFERROR(IF('PRODUCTOS'!$G400&lt;&gt;"",'PRODUCTOS'!$G400,""),"")</f>
        <v/>
      </c>
      <c r="C400" s="39">
        <f>IFERROR(IF('PRODUCTOS'!$G400&lt;&gt;"",'PRODUCTOS'!$I400,""),"")</f>
        <v/>
      </c>
      <c r="D400" s="39">
        <f>IFERROR(IF('PRODUCTOS'!$G400&lt;&gt;"",'PRODUCTOS'!$J400,""),"")</f>
        <v/>
      </c>
      <c r="E400" s="39">
        <f>IFERROR(IF('PRODUCTOS'!$G400&lt;&gt;"",'PRODUCTOS'!$X400,""),"")</f>
        <v/>
      </c>
      <c r="F400" s="40">
        <f>IFERROR(IF('PRODUCTOS'!$G400&lt;&gt;"",'PRODUCTOS'!$AF400,""),"")</f>
        <v/>
      </c>
      <c r="G400" s="40">
        <f>IFERROR(IF('PRODUCTOS'!$G400&lt;&gt;"",'PRODUCTOS'!$AG400,""),"")</f>
        <v/>
      </c>
    </row>
    <row r="401">
      <c r="A401" s="39">
        <f>IFERROR(IF('PRODUCTOS'!$G401&lt;&gt;"",'PRODUCTOS'!$A401,""),"")</f>
        <v/>
      </c>
      <c r="B401" s="39">
        <f>IFERROR(IF('PRODUCTOS'!$G401&lt;&gt;"",'PRODUCTOS'!$G401,""),"")</f>
        <v/>
      </c>
      <c r="C401" s="39">
        <f>IFERROR(IF('PRODUCTOS'!$G401&lt;&gt;"",'PRODUCTOS'!$I401,""),"")</f>
        <v/>
      </c>
      <c r="D401" s="39">
        <f>IFERROR(IF('PRODUCTOS'!$G401&lt;&gt;"",'PRODUCTOS'!$J401,""),"")</f>
        <v/>
      </c>
      <c r="E401" s="39">
        <f>IFERROR(IF('PRODUCTOS'!$G401&lt;&gt;"",'PRODUCTOS'!$X401,""),"")</f>
        <v/>
      </c>
      <c r="F401" s="40">
        <f>IFERROR(IF('PRODUCTOS'!$G401&lt;&gt;"",'PRODUCTOS'!$AF401,""),"")</f>
        <v/>
      </c>
      <c r="G401" s="40">
        <f>IFERROR(IF('PRODUCTOS'!$G401&lt;&gt;"",'PRODUCTOS'!$AG401,""),"")</f>
        <v/>
      </c>
    </row>
    <row r="402">
      <c r="A402" s="39">
        <f>IFERROR(IF('PRODUCTOS'!$G402&lt;&gt;"",'PRODUCTOS'!$A402,""),"")</f>
        <v/>
      </c>
      <c r="B402" s="39">
        <f>IFERROR(IF('PRODUCTOS'!$G402&lt;&gt;"",'PRODUCTOS'!$G402,""),"")</f>
        <v/>
      </c>
      <c r="C402" s="39">
        <f>IFERROR(IF('PRODUCTOS'!$G402&lt;&gt;"",'PRODUCTOS'!$I402,""),"")</f>
        <v/>
      </c>
      <c r="D402" s="39">
        <f>IFERROR(IF('PRODUCTOS'!$G402&lt;&gt;"",'PRODUCTOS'!$J402,""),"")</f>
        <v/>
      </c>
      <c r="E402" s="39">
        <f>IFERROR(IF('PRODUCTOS'!$G402&lt;&gt;"",'PRODUCTOS'!$X402,""),"")</f>
        <v/>
      </c>
      <c r="F402" s="40">
        <f>IFERROR(IF('PRODUCTOS'!$G402&lt;&gt;"",'PRODUCTOS'!$AF402,""),"")</f>
        <v/>
      </c>
      <c r="G402" s="40">
        <f>IFERROR(IF('PRODUCTOS'!$G402&lt;&gt;"",'PRODUCTOS'!$AG402,""),"")</f>
        <v/>
      </c>
    </row>
    <row r="403">
      <c r="A403" s="39">
        <f>IFERROR(IF('PRODUCTOS'!$G403&lt;&gt;"",'PRODUCTOS'!$A403,""),"")</f>
        <v/>
      </c>
      <c r="B403" s="39">
        <f>IFERROR(IF('PRODUCTOS'!$G403&lt;&gt;"",'PRODUCTOS'!$G403,""),"")</f>
        <v/>
      </c>
      <c r="C403" s="39">
        <f>IFERROR(IF('PRODUCTOS'!$G403&lt;&gt;"",'PRODUCTOS'!$I403,""),"")</f>
        <v/>
      </c>
      <c r="D403" s="39">
        <f>IFERROR(IF('PRODUCTOS'!$G403&lt;&gt;"",'PRODUCTOS'!$J403,""),"")</f>
        <v/>
      </c>
      <c r="E403" s="39">
        <f>IFERROR(IF('PRODUCTOS'!$G403&lt;&gt;"",'PRODUCTOS'!$X403,""),"")</f>
        <v/>
      </c>
      <c r="F403" s="40">
        <f>IFERROR(IF('PRODUCTOS'!$G403&lt;&gt;"",'PRODUCTOS'!$AF403,""),"")</f>
        <v/>
      </c>
      <c r="G403" s="40">
        <f>IFERROR(IF('PRODUCTOS'!$G403&lt;&gt;"",'PRODUCTOS'!$AG403,""),"")</f>
        <v/>
      </c>
    </row>
    <row r="404">
      <c r="A404" s="39">
        <f>IFERROR(IF('PRODUCTOS'!$G404&lt;&gt;"",'PRODUCTOS'!$A404,""),"")</f>
        <v/>
      </c>
      <c r="B404" s="39">
        <f>IFERROR(IF('PRODUCTOS'!$G404&lt;&gt;"",'PRODUCTOS'!$G404,""),"")</f>
        <v/>
      </c>
      <c r="C404" s="39">
        <f>IFERROR(IF('PRODUCTOS'!$G404&lt;&gt;"",'PRODUCTOS'!$I404,""),"")</f>
        <v/>
      </c>
      <c r="D404" s="39">
        <f>IFERROR(IF('PRODUCTOS'!$G404&lt;&gt;"",'PRODUCTOS'!$J404,""),"")</f>
        <v/>
      </c>
      <c r="E404" s="39">
        <f>IFERROR(IF('PRODUCTOS'!$G404&lt;&gt;"",'PRODUCTOS'!$X404,""),"")</f>
        <v/>
      </c>
      <c r="F404" s="40">
        <f>IFERROR(IF('PRODUCTOS'!$G404&lt;&gt;"",'PRODUCTOS'!$AF404,""),"")</f>
        <v/>
      </c>
      <c r="G404" s="40">
        <f>IFERROR(IF('PRODUCTOS'!$G404&lt;&gt;"",'PRODUCTOS'!$AG404,""),"")</f>
        <v/>
      </c>
    </row>
    <row r="405">
      <c r="A405" s="39">
        <f>IFERROR(IF('PRODUCTOS'!$G405&lt;&gt;"",'PRODUCTOS'!$A405,""),"")</f>
        <v/>
      </c>
      <c r="B405" s="39">
        <f>IFERROR(IF('PRODUCTOS'!$G405&lt;&gt;"",'PRODUCTOS'!$G405,""),"")</f>
        <v/>
      </c>
      <c r="C405" s="39">
        <f>IFERROR(IF('PRODUCTOS'!$G405&lt;&gt;"",'PRODUCTOS'!$I405,""),"")</f>
        <v/>
      </c>
      <c r="D405" s="39">
        <f>IFERROR(IF('PRODUCTOS'!$G405&lt;&gt;"",'PRODUCTOS'!$J405,""),"")</f>
        <v/>
      </c>
      <c r="E405" s="39">
        <f>IFERROR(IF('PRODUCTOS'!$G405&lt;&gt;"",'PRODUCTOS'!$X405,""),"")</f>
        <v/>
      </c>
      <c r="F405" s="40">
        <f>IFERROR(IF('PRODUCTOS'!$G405&lt;&gt;"",'PRODUCTOS'!$AF405,""),"")</f>
        <v/>
      </c>
      <c r="G405" s="40">
        <f>IFERROR(IF('PRODUCTOS'!$G405&lt;&gt;"",'PRODUCTOS'!$AG405,""),"")</f>
        <v/>
      </c>
    </row>
    <row r="406">
      <c r="A406" s="39">
        <f>IFERROR(IF('PRODUCTOS'!$G406&lt;&gt;"",'PRODUCTOS'!$A406,""),"")</f>
        <v/>
      </c>
      <c r="B406" s="39">
        <f>IFERROR(IF('PRODUCTOS'!$G406&lt;&gt;"",'PRODUCTOS'!$G406,""),"")</f>
        <v/>
      </c>
      <c r="C406" s="39">
        <f>IFERROR(IF('PRODUCTOS'!$G406&lt;&gt;"",'PRODUCTOS'!$I406,""),"")</f>
        <v/>
      </c>
      <c r="D406" s="39">
        <f>IFERROR(IF('PRODUCTOS'!$G406&lt;&gt;"",'PRODUCTOS'!$J406,""),"")</f>
        <v/>
      </c>
      <c r="E406" s="39">
        <f>IFERROR(IF('PRODUCTOS'!$G406&lt;&gt;"",'PRODUCTOS'!$X406,""),"")</f>
        <v/>
      </c>
      <c r="F406" s="40">
        <f>IFERROR(IF('PRODUCTOS'!$G406&lt;&gt;"",'PRODUCTOS'!$AF406,""),"")</f>
        <v/>
      </c>
      <c r="G406" s="40">
        <f>IFERROR(IF('PRODUCTOS'!$G406&lt;&gt;"",'PRODUCTOS'!$AG406,""),"")</f>
        <v/>
      </c>
    </row>
    <row r="407">
      <c r="A407" s="39">
        <f>IFERROR(IF('PRODUCTOS'!$G407&lt;&gt;"",'PRODUCTOS'!$A407,""),"")</f>
        <v/>
      </c>
      <c r="B407" s="39">
        <f>IFERROR(IF('PRODUCTOS'!$G407&lt;&gt;"",'PRODUCTOS'!$G407,""),"")</f>
        <v/>
      </c>
      <c r="C407" s="39">
        <f>IFERROR(IF('PRODUCTOS'!$G407&lt;&gt;"",'PRODUCTOS'!$I407,""),"")</f>
        <v/>
      </c>
      <c r="D407" s="39">
        <f>IFERROR(IF('PRODUCTOS'!$G407&lt;&gt;"",'PRODUCTOS'!$J407,""),"")</f>
        <v/>
      </c>
      <c r="E407" s="39">
        <f>IFERROR(IF('PRODUCTOS'!$G407&lt;&gt;"",'PRODUCTOS'!$X407,""),"")</f>
        <v/>
      </c>
      <c r="F407" s="40">
        <f>IFERROR(IF('PRODUCTOS'!$G407&lt;&gt;"",'PRODUCTOS'!$AF407,""),"")</f>
        <v/>
      </c>
      <c r="G407" s="40">
        <f>IFERROR(IF('PRODUCTOS'!$G407&lt;&gt;"",'PRODUCTOS'!$AG407,""),"")</f>
        <v/>
      </c>
    </row>
    <row r="408">
      <c r="A408" s="39">
        <f>IFERROR(IF('PRODUCTOS'!$G408&lt;&gt;"",'PRODUCTOS'!$A408,""),"")</f>
        <v/>
      </c>
      <c r="B408" s="39">
        <f>IFERROR(IF('PRODUCTOS'!$G408&lt;&gt;"",'PRODUCTOS'!$G408,""),"")</f>
        <v/>
      </c>
      <c r="C408" s="39">
        <f>IFERROR(IF('PRODUCTOS'!$G408&lt;&gt;"",'PRODUCTOS'!$I408,""),"")</f>
        <v/>
      </c>
      <c r="D408" s="39">
        <f>IFERROR(IF('PRODUCTOS'!$G408&lt;&gt;"",'PRODUCTOS'!$J408,""),"")</f>
        <v/>
      </c>
      <c r="E408" s="39">
        <f>IFERROR(IF('PRODUCTOS'!$G408&lt;&gt;"",'PRODUCTOS'!$X408,""),"")</f>
        <v/>
      </c>
      <c r="F408" s="40">
        <f>IFERROR(IF('PRODUCTOS'!$G408&lt;&gt;"",'PRODUCTOS'!$AF408,""),"")</f>
        <v/>
      </c>
      <c r="G408" s="40">
        <f>IFERROR(IF('PRODUCTOS'!$G408&lt;&gt;"",'PRODUCTOS'!$AG408,""),"")</f>
        <v/>
      </c>
    </row>
    <row r="409">
      <c r="A409" s="39">
        <f>IFERROR(IF('PRODUCTOS'!$G409&lt;&gt;"",'PRODUCTOS'!$A409,""),"")</f>
        <v/>
      </c>
      <c r="B409" s="39">
        <f>IFERROR(IF('PRODUCTOS'!$G409&lt;&gt;"",'PRODUCTOS'!$G409,""),"")</f>
        <v/>
      </c>
      <c r="C409" s="39">
        <f>IFERROR(IF('PRODUCTOS'!$G409&lt;&gt;"",'PRODUCTOS'!$I409,""),"")</f>
        <v/>
      </c>
      <c r="D409" s="39">
        <f>IFERROR(IF('PRODUCTOS'!$G409&lt;&gt;"",'PRODUCTOS'!$J409,""),"")</f>
        <v/>
      </c>
      <c r="E409" s="39">
        <f>IFERROR(IF('PRODUCTOS'!$G409&lt;&gt;"",'PRODUCTOS'!$X409,""),"")</f>
        <v/>
      </c>
      <c r="F409" s="40">
        <f>IFERROR(IF('PRODUCTOS'!$G409&lt;&gt;"",'PRODUCTOS'!$AF409,""),"")</f>
        <v/>
      </c>
      <c r="G409" s="40">
        <f>IFERROR(IF('PRODUCTOS'!$G409&lt;&gt;"",'PRODUCTOS'!$AG409,""),"")</f>
        <v/>
      </c>
    </row>
    <row r="410">
      <c r="A410" s="39">
        <f>IFERROR(IF('PRODUCTOS'!$G410&lt;&gt;"",'PRODUCTOS'!$A410,""),"")</f>
        <v/>
      </c>
      <c r="B410" s="39">
        <f>IFERROR(IF('PRODUCTOS'!$G410&lt;&gt;"",'PRODUCTOS'!$G410,""),"")</f>
        <v/>
      </c>
      <c r="C410" s="39">
        <f>IFERROR(IF('PRODUCTOS'!$G410&lt;&gt;"",'PRODUCTOS'!$I410,""),"")</f>
        <v/>
      </c>
      <c r="D410" s="39">
        <f>IFERROR(IF('PRODUCTOS'!$G410&lt;&gt;"",'PRODUCTOS'!$J410,""),"")</f>
        <v/>
      </c>
      <c r="E410" s="39">
        <f>IFERROR(IF('PRODUCTOS'!$G410&lt;&gt;"",'PRODUCTOS'!$X410,""),"")</f>
        <v/>
      </c>
      <c r="F410" s="40">
        <f>IFERROR(IF('PRODUCTOS'!$G410&lt;&gt;"",'PRODUCTOS'!$AF410,""),"")</f>
        <v/>
      </c>
      <c r="G410" s="40">
        <f>IFERROR(IF('PRODUCTOS'!$G410&lt;&gt;"",'PRODUCTOS'!$AG410,""),"")</f>
        <v/>
      </c>
    </row>
    <row r="411">
      <c r="A411" s="39">
        <f>IFERROR(IF('PRODUCTOS'!$G411&lt;&gt;"",'PRODUCTOS'!$A411,""),"")</f>
        <v/>
      </c>
      <c r="B411" s="39">
        <f>IFERROR(IF('PRODUCTOS'!$G411&lt;&gt;"",'PRODUCTOS'!$G411,""),"")</f>
        <v/>
      </c>
      <c r="C411" s="39">
        <f>IFERROR(IF('PRODUCTOS'!$G411&lt;&gt;"",'PRODUCTOS'!$I411,""),"")</f>
        <v/>
      </c>
      <c r="D411" s="39">
        <f>IFERROR(IF('PRODUCTOS'!$G411&lt;&gt;"",'PRODUCTOS'!$J411,""),"")</f>
        <v/>
      </c>
      <c r="E411" s="39">
        <f>IFERROR(IF('PRODUCTOS'!$G411&lt;&gt;"",'PRODUCTOS'!$X411,""),"")</f>
        <v/>
      </c>
      <c r="F411" s="40">
        <f>IFERROR(IF('PRODUCTOS'!$G411&lt;&gt;"",'PRODUCTOS'!$AF411,""),"")</f>
        <v/>
      </c>
      <c r="G411" s="40">
        <f>IFERROR(IF('PRODUCTOS'!$G411&lt;&gt;"",'PRODUCTOS'!$AG411,""),"")</f>
        <v/>
      </c>
    </row>
    <row r="412">
      <c r="A412" s="39">
        <f>IFERROR(IF('PRODUCTOS'!$G412&lt;&gt;"",'PRODUCTOS'!$A412,""),"")</f>
        <v/>
      </c>
      <c r="B412" s="39">
        <f>IFERROR(IF('PRODUCTOS'!$G412&lt;&gt;"",'PRODUCTOS'!$G412,""),"")</f>
        <v/>
      </c>
      <c r="C412" s="39">
        <f>IFERROR(IF('PRODUCTOS'!$G412&lt;&gt;"",'PRODUCTOS'!$I412,""),"")</f>
        <v/>
      </c>
      <c r="D412" s="39">
        <f>IFERROR(IF('PRODUCTOS'!$G412&lt;&gt;"",'PRODUCTOS'!$J412,""),"")</f>
        <v/>
      </c>
      <c r="E412" s="39">
        <f>IFERROR(IF('PRODUCTOS'!$G412&lt;&gt;"",'PRODUCTOS'!$X412,""),"")</f>
        <v/>
      </c>
      <c r="F412" s="40">
        <f>IFERROR(IF('PRODUCTOS'!$G412&lt;&gt;"",'PRODUCTOS'!$AF412,""),"")</f>
        <v/>
      </c>
      <c r="G412" s="40">
        <f>IFERROR(IF('PRODUCTOS'!$G412&lt;&gt;"",'PRODUCTOS'!$AG412,""),"")</f>
        <v/>
      </c>
    </row>
    <row r="413">
      <c r="A413" s="39">
        <f>IFERROR(IF('PRODUCTOS'!$G413&lt;&gt;"",'PRODUCTOS'!$A413,""),"")</f>
        <v/>
      </c>
      <c r="B413" s="39">
        <f>IFERROR(IF('PRODUCTOS'!$G413&lt;&gt;"",'PRODUCTOS'!$G413,""),"")</f>
        <v/>
      </c>
      <c r="C413" s="39">
        <f>IFERROR(IF('PRODUCTOS'!$G413&lt;&gt;"",'PRODUCTOS'!$I413,""),"")</f>
        <v/>
      </c>
      <c r="D413" s="39">
        <f>IFERROR(IF('PRODUCTOS'!$G413&lt;&gt;"",'PRODUCTOS'!$J413,""),"")</f>
        <v/>
      </c>
      <c r="E413" s="39">
        <f>IFERROR(IF('PRODUCTOS'!$G413&lt;&gt;"",'PRODUCTOS'!$X413,""),"")</f>
        <v/>
      </c>
      <c r="F413" s="40">
        <f>IFERROR(IF('PRODUCTOS'!$G413&lt;&gt;"",'PRODUCTOS'!$AF413,""),"")</f>
        <v/>
      </c>
      <c r="G413" s="40">
        <f>IFERROR(IF('PRODUCTOS'!$G413&lt;&gt;"",'PRODUCTOS'!$AG413,""),"")</f>
        <v/>
      </c>
    </row>
    <row r="414">
      <c r="A414" s="39">
        <f>IFERROR(IF('PRODUCTOS'!$G414&lt;&gt;"",'PRODUCTOS'!$A414,""),"")</f>
        <v/>
      </c>
      <c r="B414" s="39">
        <f>IFERROR(IF('PRODUCTOS'!$G414&lt;&gt;"",'PRODUCTOS'!$G414,""),"")</f>
        <v/>
      </c>
      <c r="C414" s="39">
        <f>IFERROR(IF('PRODUCTOS'!$G414&lt;&gt;"",'PRODUCTOS'!$I414,""),"")</f>
        <v/>
      </c>
      <c r="D414" s="39">
        <f>IFERROR(IF('PRODUCTOS'!$G414&lt;&gt;"",'PRODUCTOS'!$J414,""),"")</f>
        <v/>
      </c>
      <c r="E414" s="39">
        <f>IFERROR(IF('PRODUCTOS'!$G414&lt;&gt;"",'PRODUCTOS'!$X414,""),"")</f>
        <v/>
      </c>
      <c r="F414" s="40">
        <f>IFERROR(IF('PRODUCTOS'!$G414&lt;&gt;"",'PRODUCTOS'!$AF414,""),"")</f>
        <v/>
      </c>
      <c r="G414" s="40">
        <f>IFERROR(IF('PRODUCTOS'!$G414&lt;&gt;"",'PRODUCTOS'!$AG414,""),"")</f>
        <v/>
      </c>
    </row>
    <row r="415">
      <c r="A415" s="39">
        <f>IFERROR(IF('PRODUCTOS'!$G415&lt;&gt;"",'PRODUCTOS'!$A415,""),"")</f>
        <v/>
      </c>
      <c r="B415" s="39">
        <f>IFERROR(IF('PRODUCTOS'!$G415&lt;&gt;"",'PRODUCTOS'!$G415,""),"")</f>
        <v/>
      </c>
      <c r="C415" s="39">
        <f>IFERROR(IF('PRODUCTOS'!$G415&lt;&gt;"",'PRODUCTOS'!$I415,""),"")</f>
        <v/>
      </c>
      <c r="D415" s="39">
        <f>IFERROR(IF('PRODUCTOS'!$G415&lt;&gt;"",'PRODUCTOS'!$J415,""),"")</f>
        <v/>
      </c>
      <c r="E415" s="39">
        <f>IFERROR(IF('PRODUCTOS'!$G415&lt;&gt;"",'PRODUCTOS'!$X415,""),"")</f>
        <v/>
      </c>
      <c r="F415" s="40">
        <f>IFERROR(IF('PRODUCTOS'!$G415&lt;&gt;"",'PRODUCTOS'!$AF415,""),"")</f>
        <v/>
      </c>
      <c r="G415" s="40">
        <f>IFERROR(IF('PRODUCTOS'!$G415&lt;&gt;"",'PRODUCTOS'!$AG415,""),"")</f>
        <v/>
      </c>
    </row>
    <row r="416">
      <c r="A416" s="39">
        <f>IFERROR(IF('PRODUCTOS'!$G416&lt;&gt;"",'PRODUCTOS'!$A416,""),"")</f>
        <v/>
      </c>
      <c r="B416" s="39">
        <f>IFERROR(IF('PRODUCTOS'!$G416&lt;&gt;"",'PRODUCTOS'!$G416,""),"")</f>
        <v/>
      </c>
      <c r="C416" s="39">
        <f>IFERROR(IF('PRODUCTOS'!$G416&lt;&gt;"",'PRODUCTOS'!$I416,""),"")</f>
        <v/>
      </c>
      <c r="D416" s="39">
        <f>IFERROR(IF('PRODUCTOS'!$G416&lt;&gt;"",'PRODUCTOS'!$J416,""),"")</f>
        <v/>
      </c>
      <c r="E416" s="39">
        <f>IFERROR(IF('PRODUCTOS'!$G416&lt;&gt;"",'PRODUCTOS'!$X416,""),"")</f>
        <v/>
      </c>
      <c r="F416" s="40">
        <f>IFERROR(IF('PRODUCTOS'!$G416&lt;&gt;"",'PRODUCTOS'!$AF416,""),"")</f>
        <v/>
      </c>
      <c r="G416" s="40">
        <f>IFERROR(IF('PRODUCTOS'!$G416&lt;&gt;"",'PRODUCTOS'!$AG416,""),"")</f>
        <v/>
      </c>
    </row>
    <row r="417">
      <c r="A417" s="39">
        <f>IFERROR(IF('PRODUCTOS'!$G417&lt;&gt;"",'PRODUCTOS'!$A417,""),"")</f>
        <v/>
      </c>
      <c r="B417" s="39">
        <f>IFERROR(IF('PRODUCTOS'!$G417&lt;&gt;"",'PRODUCTOS'!$G417,""),"")</f>
        <v/>
      </c>
      <c r="C417" s="39">
        <f>IFERROR(IF('PRODUCTOS'!$G417&lt;&gt;"",'PRODUCTOS'!$I417,""),"")</f>
        <v/>
      </c>
      <c r="D417" s="39">
        <f>IFERROR(IF('PRODUCTOS'!$G417&lt;&gt;"",'PRODUCTOS'!$J417,""),"")</f>
        <v/>
      </c>
      <c r="E417" s="39">
        <f>IFERROR(IF('PRODUCTOS'!$G417&lt;&gt;"",'PRODUCTOS'!$X417,""),"")</f>
        <v/>
      </c>
      <c r="F417" s="40">
        <f>IFERROR(IF('PRODUCTOS'!$G417&lt;&gt;"",'PRODUCTOS'!$AF417,""),"")</f>
        <v/>
      </c>
      <c r="G417" s="40">
        <f>IFERROR(IF('PRODUCTOS'!$G417&lt;&gt;"",'PRODUCTOS'!$AG417,""),"")</f>
        <v/>
      </c>
    </row>
    <row r="418">
      <c r="A418" s="39">
        <f>IFERROR(IF('PRODUCTOS'!$G418&lt;&gt;"",'PRODUCTOS'!$A418,""),"")</f>
        <v/>
      </c>
      <c r="B418" s="39">
        <f>IFERROR(IF('PRODUCTOS'!$G418&lt;&gt;"",'PRODUCTOS'!$G418,""),"")</f>
        <v/>
      </c>
      <c r="C418" s="39">
        <f>IFERROR(IF('PRODUCTOS'!$G418&lt;&gt;"",'PRODUCTOS'!$I418,""),"")</f>
        <v/>
      </c>
      <c r="D418" s="39">
        <f>IFERROR(IF('PRODUCTOS'!$G418&lt;&gt;"",'PRODUCTOS'!$J418,""),"")</f>
        <v/>
      </c>
      <c r="E418" s="39">
        <f>IFERROR(IF('PRODUCTOS'!$G418&lt;&gt;"",'PRODUCTOS'!$X418,""),"")</f>
        <v/>
      </c>
      <c r="F418" s="40">
        <f>IFERROR(IF('PRODUCTOS'!$G418&lt;&gt;"",'PRODUCTOS'!$AF418,""),"")</f>
        <v/>
      </c>
      <c r="G418" s="40">
        <f>IFERROR(IF('PRODUCTOS'!$G418&lt;&gt;"",'PRODUCTOS'!$AG418,""),"")</f>
        <v/>
      </c>
    </row>
    <row r="419">
      <c r="A419" s="39">
        <f>IFERROR(IF('PRODUCTOS'!$G419&lt;&gt;"",'PRODUCTOS'!$A419,""),"")</f>
        <v/>
      </c>
      <c r="B419" s="39">
        <f>IFERROR(IF('PRODUCTOS'!$G419&lt;&gt;"",'PRODUCTOS'!$G419,""),"")</f>
        <v/>
      </c>
      <c r="C419" s="39">
        <f>IFERROR(IF('PRODUCTOS'!$G419&lt;&gt;"",'PRODUCTOS'!$I419,""),"")</f>
        <v/>
      </c>
      <c r="D419" s="39">
        <f>IFERROR(IF('PRODUCTOS'!$G419&lt;&gt;"",'PRODUCTOS'!$J419,""),"")</f>
        <v/>
      </c>
      <c r="E419" s="39">
        <f>IFERROR(IF('PRODUCTOS'!$G419&lt;&gt;"",'PRODUCTOS'!$X419,""),"")</f>
        <v/>
      </c>
      <c r="F419" s="40">
        <f>IFERROR(IF('PRODUCTOS'!$G419&lt;&gt;"",'PRODUCTOS'!$AF419,""),"")</f>
        <v/>
      </c>
      <c r="G419" s="40">
        <f>IFERROR(IF('PRODUCTOS'!$G419&lt;&gt;"",'PRODUCTOS'!$AG419,""),"")</f>
        <v/>
      </c>
    </row>
    <row r="420">
      <c r="A420" s="39">
        <f>IFERROR(IF('PRODUCTOS'!$G420&lt;&gt;"",'PRODUCTOS'!$A420,""),"")</f>
        <v/>
      </c>
      <c r="B420" s="39">
        <f>IFERROR(IF('PRODUCTOS'!$G420&lt;&gt;"",'PRODUCTOS'!$G420,""),"")</f>
        <v/>
      </c>
      <c r="C420" s="39">
        <f>IFERROR(IF('PRODUCTOS'!$G420&lt;&gt;"",'PRODUCTOS'!$I420,""),"")</f>
        <v/>
      </c>
      <c r="D420" s="39">
        <f>IFERROR(IF('PRODUCTOS'!$G420&lt;&gt;"",'PRODUCTOS'!$J420,""),"")</f>
        <v/>
      </c>
      <c r="E420" s="39">
        <f>IFERROR(IF('PRODUCTOS'!$G420&lt;&gt;"",'PRODUCTOS'!$X420,""),"")</f>
        <v/>
      </c>
      <c r="F420" s="40">
        <f>IFERROR(IF('PRODUCTOS'!$G420&lt;&gt;"",'PRODUCTOS'!$AF420,""),"")</f>
        <v/>
      </c>
      <c r="G420" s="40">
        <f>IFERROR(IF('PRODUCTOS'!$G420&lt;&gt;"",'PRODUCTOS'!$AG420,""),"")</f>
        <v/>
      </c>
    </row>
    <row r="421">
      <c r="A421" s="39">
        <f>IFERROR(IF('PRODUCTOS'!$G421&lt;&gt;"",'PRODUCTOS'!$A421,""),"")</f>
        <v/>
      </c>
      <c r="B421" s="39">
        <f>IFERROR(IF('PRODUCTOS'!$G421&lt;&gt;"",'PRODUCTOS'!$G421,""),"")</f>
        <v/>
      </c>
      <c r="C421" s="39">
        <f>IFERROR(IF('PRODUCTOS'!$G421&lt;&gt;"",'PRODUCTOS'!$I421,""),"")</f>
        <v/>
      </c>
      <c r="D421" s="39">
        <f>IFERROR(IF('PRODUCTOS'!$G421&lt;&gt;"",'PRODUCTOS'!$J421,""),"")</f>
        <v/>
      </c>
      <c r="E421" s="39">
        <f>IFERROR(IF('PRODUCTOS'!$G421&lt;&gt;"",'PRODUCTOS'!$X421,""),"")</f>
        <v/>
      </c>
      <c r="F421" s="40">
        <f>IFERROR(IF('PRODUCTOS'!$G421&lt;&gt;"",'PRODUCTOS'!$AF421,""),"")</f>
        <v/>
      </c>
      <c r="G421" s="40">
        <f>IFERROR(IF('PRODUCTOS'!$G421&lt;&gt;"",'PRODUCTOS'!$AG421,""),"")</f>
        <v/>
      </c>
    </row>
    <row r="422">
      <c r="A422" s="39">
        <f>IFERROR(IF('PRODUCTOS'!$G422&lt;&gt;"",'PRODUCTOS'!$A422,""),"")</f>
        <v/>
      </c>
      <c r="B422" s="39">
        <f>IFERROR(IF('PRODUCTOS'!$G422&lt;&gt;"",'PRODUCTOS'!$G422,""),"")</f>
        <v/>
      </c>
      <c r="C422" s="39">
        <f>IFERROR(IF('PRODUCTOS'!$G422&lt;&gt;"",'PRODUCTOS'!$I422,""),"")</f>
        <v/>
      </c>
      <c r="D422" s="39">
        <f>IFERROR(IF('PRODUCTOS'!$G422&lt;&gt;"",'PRODUCTOS'!$J422,""),"")</f>
        <v/>
      </c>
      <c r="E422" s="39">
        <f>IFERROR(IF('PRODUCTOS'!$G422&lt;&gt;"",'PRODUCTOS'!$X422,""),"")</f>
        <v/>
      </c>
      <c r="F422" s="40">
        <f>IFERROR(IF('PRODUCTOS'!$G422&lt;&gt;"",'PRODUCTOS'!$AF422,""),"")</f>
        <v/>
      </c>
      <c r="G422" s="40">
        <f>IFERROR(IF('PRODUCTOS'!$G422&lt;&gt;"",'PRODUCTOS'!$AG422,""),"")</f>
        <v/>
      </c>
    </row>
    <row r="423">
      <c r="A423" s="39">
        <f>IFERROR(IF('PRODUCTOS'!$G423&lt;&gt;"",'PRODUCTOS'!$A423,""),"")</f>
        <v/>
      </c>
      <c r="B423" s="39">
        <f>IFERROR(IF('PRODUCTOS'!$G423&lt;&gt;"",'PRODUCTOS'!$G423,""),"")</f>
        <v/>
      </c>
      <c r="C423" s="39">
        <f>IFERROR(IF('PRODUCTOS'!$G423&lt;&gt;"",'PRODUCTOS'!$I423,""),"")</f>
        <v/>
      </c>
      <c r="D423" s="39">
        <f>IFERROR(IF('PRODUCTOS'!$G423&lt;&gt;"",'PRODUCTOS'!$J423,""),"")</f>
        <v/>
      </c>
      <c r="E423" s="39">
        <f>IFERROR(IF('PRODUCTOS'!$G423&lt;&gt;"",'PRODUCTOS'!$X423,""),"")</f>
        <v/>
      </c>
      <c r="F423" s="40">
        <f>IFERROR(IF('PRODUCTOS'!$G423&lt;&gt;"",'PRODUCTOS'!$AF423,""),"")</f>
        <v/>
      </c>
      <c r="G423" s="40">
        <f>IFERROR(IF('PRODUCTOS'!$G423&lt;&gt;"",'PRODUCTOS'!$AG423,""),"")</f>
        <v/>
      </c>
    </row>
    <row r="424">
      <c r="A424" s="39">
        <f>IFERROR(IF('PRODUCTOS'!$G424&lt;&gt;"",'PRODUCTOS'!$A424,""),"")</f>
        <v/>
      </c>
      <c r="B424" s="39">
        <f>IFERROR(IF('PRODUCTOS'!$G424&lt;&gt;"",'PRODUCTOS'!$G424,""),"")</f>
        <v/>
      </c>
      <c r="C424" s="39">
        <f>IFERROR(IF('PRODUCTOS'!$G424&lt;&gt;"",'PRODUCTOS'!$I424,""),"")</f>
        <v/>
      </c>
      <c r="D424" s="39">
        <f>IFERROR(IF('PRODUCTOS'!$G424&lt;&gt;"",'PRODUCTOS'!$J424,""),"")</f>
        <v/>
      </c>
      <c r="E424" s="39">
        <f>IFERROR(IF('PRODUCTOS'!$G424&lt;&gt;"",'PRODUCTOS'!$X424,""),"")</f>
        <v/>
      </c>
      <c r="F424" s="40">
        <f>IFERROR(IF('PRODUCTOS'!$G424&lt;&gt;"",'PRODUCTOS'!$AF424,""),"")</f>
        <v/>
      </c>
      <c r="G424" s="40">
        <f>IFERROR(IF('PRODUCTOS'!$G424&lt;&gt;"",'PRODUCTOS'!$AG424,""),"")</f>
        <v/>
      </c>
    </row>
    <row r="425">
      <c r="A425" s="39">
        <f>IFERROR(IF('PRODUCTOS'!$G425&lt;&gt;"",'PRODUCTOS'!$A425,""),"")</f>
        <v/>
      </c>
      <c r="B425" s="39">
        <f>IFERROR(IF('PRODUCTOS'!$G425&lt;&gt;"",'PRODUCTOS'!$G425,""),"")</f>
        <v/>
      </c>
      <c r="C425" s="39">
        <f>IFERROR(IF('PRODUCTOS'!$G425&lt;&gt;"",'PRODUCTOS'!$I425,""),"")</f>
        <v/>
      </c>
      <c r="D425" s="39">
        <f>IFERROR(IF('PRODUCTOS'!$G425&lt;&gt;"",'PRODUCTOS'!$J425,""),"")</f>
        <v/>
      </c>
      <c r="E425" s="39">
        <f>IFERROR(IF('PRODUCTOS'!$G425&lt;&gt;"",'PRODUCTOS'!$X425,""),"")</f>
        <v/>
      </c>
      <c r="F425" s="40">
        <f>IFERROR(IF('PRODUCTOS'!$G425&lt;&gt;"",'PRODUCTOS'!$AF425,""),"")</f>
        <v/>
      </c>
      <c r="G425" s="40">
        <f>IFERROR(IF('PRODUCTOS'!$G425&lt;&gt;"",'PRODUCTOS'!$AG425,""),"")</f>
        <v/>
      </c>
    </row>
    <row r="426">
      <c r="A426" s="39">
        <f>IFERROR(IF('PRODUCTOS'!$G426&lt;&gt;"",'PRODUCTOS'!$A426,""),"")</f>
        <v/>
      </c>
      <c r="B426" s="39">
        <f>IFERROR(IF('PRODUCTOS'!$G426&lt;&gt;"",'PRODUCTOS'!$G426,""),"")</f>
        <v/>
      </c>
      <c r="C426" s="39">
        <f>IFERROR(IF('PRODUCTOS'!$G426&lt;&gt;"",'PRODUCTOS'!$I426,""),"")</f>
        <v/>
      </c>
      <c r="D426" s="39">
        <f>IFERROR(IF('PRODUCTOS'!$G426&lt;&gt;"",'PRODUCTOS'!$J426,""),"")</f>
        <v/>
      </c>
      <c r="E426" s="39">
        <f>IFERROR(IF('PRODUCTOS'!$G426&lt;&gt;"",'PRODUCTOS'!$X426,""),"")</f>
        <v/>
      </c>
      <c r="F426" s="40">
        <f>IFERROR(IF('PRODUCTOS'!$G426&lt;&gt;"",'PRODUCTOS'!$AF426,""),"")</f>
        <v/>
      </c>
      <c r="G426" s="40">
        <f>IFERROR(IF('PRODUCTOS'!$G426&lt;&gt;"",'PRODUCTOS'!$AG426,""),"")</f>
        <v/>
      </c>
    </row>
    <row r="427">
      <c r="A427" s="39">
        <f>IFERROR(IF('PRODUCTOS'!$G427&lt;&gt;"",'PRODUCTOS'!$A427,""),"")</f>
        <v/>
      </c>
      <c r="B427" s="39">
        <f>IFERROR(IF('PRODUCTOS'!$G427&lt;&gt;"",'PRODUCTOS'!$G427,""),"")</f>
        <v/>
      </c>
      <c r="C427" s="39">
        <f>IFERROR(IF('PRODUCTOS'!$G427&lt;&gt;"",'PRODUCTOS'!$I427,""),"")</f>
        <v/>
      </c>
      <c r="D427" s="39">
        <f>IFERROR(IF('PRODUCTOS'!$G427&lt;&gt;"",'PRODUCTOS'!$J427,""),"")</f>
        <v/>
      </c>
      <c r="E427" s="39">
        <f>IFERROR(IF('PRODUCTOS'!$G427&lt;&gt;"",'PRODUCTOS'!$X427,""),"")</f>
        <v/>
      </c>
      <c r="F427" s="40">
        <f>IFERROR(IF('PRODUCTOS'!$G427&lt;&gt;"",'PRODUCTOS'!$AF427,""),"")</f>
        <v/>
      </c>
      <c r="G427" s="40">
        <f>IFERROR(IF('PRODUCTOS'!$G427&lt;&gt;"",'PRODUCTOS'!$AG427,""),"")</f>
        <v/>
      </c>
    </row>
    <row r="428">
      <c r="A428" s="39">
        <f>IFERROR(IF('PRODUCTOS'!$G428&lt;&gt;"",'PRODUCTOS'!$A428,""),"")</f>
        <v/>
      </c>
      <c r="B428" s="39">
        <f>IFERROR(IF('PRODUCTOS'!$G428&lt;&gt;"",'PRODUCTOS'!$G428,""),"")</f>
        <v/>
      </c>
      <c r="C428" s="39">
        <f>IFERROR(IF('PRODUCTOS'!$G428&lt;&gt;"",'PRODUCTOS'!$I428,""),"")</f>
        <v/>
      </c>
      <c r="D428" s="39">
        <f>IFERROR(IF('PRODUCTOS'!$G428&lt;&gt;"",'PRODUCTOS'!$J428,""),"")</f>
        <v/>
      </c>
      <c r="E428" s="39">
        <f>IFERROR(IF('PRODUCTOS'!$G428&lt;&gt;"",'PRODUCTOS'!$X428,""),"")</f>
        <v/>
      </c>
      <c r="F428" s="40">
        <f>IFERROR(IF('PRODUCTOS'!$G428&lt;&gt;"",'PRODUCTOS'!$AF428,""),"")</f>
        <v/>
      </c>
      <c r="G428" s="40">
        <f>IFERROR(IF('PRODUCTOS'!$G428&lt;&gt;"",'PRODUCTOS'!$AG428,""),"")</f>
        <v/>
      </c>
    </row>
    <row r="429">
      <c r="A429" s="39">
        <f>IFERROR(IF('PRODUCTOS'!$G429&lt;&gt;"",'PRODUCTOS'!$A429,""),"")</f>
        <v/>
      </c>
      <c r="B429" s="39">
        <f>IFERROR(IF('PRODUCTOS'!$G429&lt;&gt;"",'PRODUCTOS'!$G429,""),"")</f>
        <v/>
      </c>
      <c r="C429" s="39">
        <f>IFERROR(IF('PRODUCTOS'!$G429&lt;&gt;"",'PRODUCTOS'!$I429,""),"")</f>
        <v/>
      </c>
      <c r="D429" s="39">
        <f>IFERROR(IF('PRODUCTOS'!$G429&lt;&gt;"",'PRODUCTOS'!$J429,""),"")</f>
        <v/>
      </c>
      <c r="E429" s="39">
        <f>IFERROR(IF('PRODUCTOS'!$G429&lt;&gt;"",'PRODUCTOS'!$X429,""),"")</f>
        <v/>
      </c>
      <c r="F429" s="40">
        <f>IFERROR(IF('PRODUCTOS'!$G429&lt;&gt;"",'PRODUCTOS'!$AF429,""),"")</f>
        <v/>
      </c>
      <c r="G429" s="40">
        <f>IFERROR(IF('PRODUCTOS'!$G429&lt;&gt;"",'PRODUCTOS'!$AG429,""),"")</f>
        <v/>
      </c>
    </row>
    <row r="430">
      <c r="A430" s="39">
        <f>IFERROR(IF('PRODUCTOS'!$G430&lt;&gt;"",'PRODUCTOS'!$A430,""),"")</f>
        <v/>
      </c>
      <c r="B430" s="39">
        <f>IFERROR(IF('PRODUCTOS'!$G430&lt;&gt;"",'PRODUCTOS'!$G430,""),"")</f>
        <v/>
      </c>
      <c r="C430" s="39">
        <f>IFERROR(IF('PRODUCTOS'!$G430&lt;&gt;"",'PRODUCTOS'!$I430,""),"")</f>
        <v/>
      </c>
      <c r="D430" s="39">
        <f>IFERROR(IF('PRODUCTOS'!$G430&lt;&gt;"",'PRODUCTOS'!$J430,""),"")</f>
        <v/>
      </c>
      <c r="E430" s="39">
        <f>IFERROR(IF('PRODUCTOS'!$G430&lt;&gt;"",'PRODUCTOS'!$X430,""),"")</f>
        <v/>
      </c>
      <c r="F430" s="40">
        <f>IFERROR(IF('PRODUCTOS'!$G430&lt;&gt;"",'PRODUCTOS'!$AF430,""),"")</f>
        <v/>
      </c>
      <c r="G430" s="40">
        <f>IFERROR(IF('PRODUCTOS'!$G430&lt;&gt;"",'PRODUCTOS'!$AG430,""),"")</f>
        <v/>
      </c>
    </row>
    <row r="431">
      <c r="A431" s="39">
        <f>IFERROR(IF('PRODUCTOS'!$G431&lt;&gt;"",'PRODUCTOS'!$A431,""),"")</f>
        <v/>
      </c>
      <c r="B431" s="39">
        <f>IFERROR(IF('PRODUCTOS'!$G431&lt;&gt;"",'PRODUCTOS'!$G431,""),"")</f>
        <v/>
      </c>
      <c r="C431" s="39">
        <f>IFERROR(IF('PRODUCTOS'!$G431&lt;&gt;"",'PRODUCTOS'!$I431,""),"")</f>
        <v/>
      </c>
      <c r="D431" s="39">
        <f>IFERROR(IF('PRODUCTOS'!$G431&lt;&gt;"",'PRODUCTOS'!$J431,""),"")</f>
        <v/>
      </c>
      <c r="E431" s="39">
        <f>IFERROR(IF('PRODUCTOS'!$G431&lt;&gt;"",'PRODUCTOS'!$X431,""),"")</f>
        <v/>
      </c>
      <c r="F431" s="40">
        <f>IFERROR(IF('PRODUCTOS'!$G431&lt;&gt;"",'PRODUCTOS'!$AF431,""),"")</f>
        <v/>
      </c>
      <c r="G431" s="40">
        <f>IFERROR(IF('PRODUCTOS'!$G431&lt;&gt;"",'PRODUCTOS'!$AG431,""),"")</f>
        <v/>
      </c>
    </row>
    <row r="432">
      <c r="A432" s="39">
        <f>IFERROR(IF('PRODUCTOS'!$G432&lt;&gt;"",'PRODUCTOS'!$A432,""),"")</f>
        <v/>
      </c>
      <c r="B432" s="39">
        <f>IFERROR(IF('PRODUCTOS'!$G432&lt;&gt;"",'PRODUCTOS'!$G432,""),"")</f>
        <v/>
      </c>
      <c r="C432" s="39">
        <f>IFERROR(IF('PRODUCTOS'!$G432&lt;&gt;"",'PRODUCTOS'!$I432,""),"")</f>
        <v/>
      </c>
      <c r="D432" s="39">
        <f>IFERROR(IF('PRODUCTOS'!$G432&lt;&gt;"",'PRODUCTOS'!$J432,""),"")</f>
        <v/>
      </c>
      <c r="E432" s="39">
        <f>IFERROR(IF('PRODUCTOS'!$G432&lt;&gt;"",'PRODUCTOS'!$X432,""),"")</f>
        <v/>
      </c>
      <c r="F432" s="40">
        <f>IFERROR(IF('PRODUCTOS'!$G432&lt;&gt;"",'PRODUCTOS'!$AF432,""),"")</f>
        <v/>
      </c>
      <c r="G432" s="40">
        <f>IFERROR(IF('PRODUCTOS'!$G432&lt;&gt;"",'PRODUCTOS'!$AG432,""),"")</f>
        <v/>
      </c>
    </row>
    <row r="433">
      <c r="A433" s="39">
        <f>IFERROR(IF('PRODUCTOS'!$G433&lt;&gt;"",'PRODUCTOS'!$A433,""),"")</f>
        <v/>
      </c>
      <c r="B433" s="39">
        <f>IFERROR(IF('PRODUCTOS'!$G433&lt;&gt;"",'PRODUCTOS'!$G433,""),"")</f>
        <v/>
      </c>
      <c r="C433" s="39">
        <f>IFERROR(IF('PRODUCTOS'!$G433&lt;&gt;"",'PRODUCTOS'!$I433,""),"")</f>
        <v/>
      </c>
      <c r="D433" s="39">
        <f>IFERROR(IF('PRODUCTOS'!$G433&lt;&gt;"",'PRODUCTOS'!$J433,""),"")</f>
        <v/>
      </c>
      <c r="E433" s="39">
        <f>IFERROR(IF('PRODUCTOS'!$G433&lt;&gt;"",'PRODUCTOS'!$X433,""),"")</f>
        <v/>
      </c>
      <c r="F433" s="40">
        <f>IFERROR(IF('PRODUCTOS'!$G433&lt;&gt;"",'PRODUCTOS'!$AF433,""),"")</f>
        <v/>
      </c>
      <c r="G433" s="40">
        <f>IFERROR(IF('PRODUCTOS'!$G433&lt;&gt;"",'PRODUCTOS'!$AG433,""),"")</f>
        <v/>
      </c>
    </row>
    <row r="434">
      <c r="A434" s="39">
        <f>IFERROR(IF('PRODUCTOS'!$G434&lt;&gt;"",'PRODUCTOS'!$A434,""),"")</f>
        <v/>
      </c>
      <c r="B434" s="39">
        <f>IFERROR(IF('PRODUCTOS'!$G434&lt;&gt;"",'PRODUCTOS'!$G434,""),"")</f>
        <v/>
      </c>
      <c r="C434" s="39">
        <f>IFERROR(IF('PRODUCTOS'!$G434&lt;&gt;"",'PRODUCTOS'!$I434,""),"")</f>
        <v/>
      </c>
      <c r="D434" s="39">
        <f>IFERROR(IF('PRODUCTOS'!$G434&lt;&gt;"",'PRODUCTOS'!$J434,""),"")</f>
        <v/>
      </c>
      <c r="E434" s="39">
        <f>IFERROR(IF('PRODUCTOS'!$G434&lt;&gt;"",'PRODUCTOS'!$X434,""),"")</f>
        <v/>
      </c>
      <c r="F434" s="40">
        <f>IFERROR(IF('PRODUCTOS'!$G434&lt;&gt;"",'PRODUCTOS'!$AF434,""),"")</f>
        <v/>
      </c>
      <c r="G434" s="40">
        <f>IFERROR(IF('PRODUCTOS'!$G434&lt;&gt;"",'PRODUCTOS'!$AG434,""),"")</f>
        <v/>
      </c>
    </row>
    <row r="435">
      <c r="A435" s="39">
        <f>IFERROR(IF('PRODUCTOS'!$G435&lt;&gt;"",'PRODUCTOS'!$A435,""),"")</f>
        <v/>
      </c>
      <c r="B435" s="39">
        <f>IFERROR(IF('PRODUCTOS'!$G435&lt;&gt;"",'PRODUCTOS'!$G435,""),"")</f>
        <v/>
      </c>
      <c r="C435" s="39">
        <f>IFERROR(IF('PRODUCTOS'!$G435&lt;&gt;"",'PRODUCTOS'!$I435,""),"")</f>
        <v/>
      </c>
      <c r="D435" s="39">
        <f>IFERROR(IF('PRODUCTOS'!$G435&lt;&gt;"",'PRODUCTOS'!$J435,""),"")</f>
        <v/>
      </c>
      <c r="E435" s="39">
        <f>IFERROR(IF('PRODUCTOS'!$G435&lt;&gt;"",'PRODUCTOS'!$X435,""),"")</f>
        <v/>
      </c>
      <c r="F435" s="40">
        <f>IFERROR(IF('PRODUCTOS'!$G435&lt;&gt;"",'PRODUCTOS'!$AF435,""),"")</f>
        <v/>
      </c>
      <c r="G435" s="40">
        <f>IFERROR(IF('PRODUCTOS'!$G435&lt;&gt;"",'PRODUCTOS'!$AG435,""),"")</f>
        <v/>
      </c>
    </row>
    <row r="436">
      <c r="A436" s="39">
        <f>IFERROR(IF('PRODUCTOS'!$G436&lt;&gt;"",'PRODUCTOS'!$A436,""),"")</f>
        <v/>
      </c>
      <c r="B436" s="39">
        <f>IFERROR(IF('PRODUCTOS'!$G436&lt;&gt;"",'PRODUCTOS'!$G436,""),"")</f>
        <v/>
      </c>
      <c r="C436" s="39">
        <f>IFERROR(IF('PRODUCTOS'!$G436&lt;&gt;"",'PRODUCTOS'!$I436,""),"")</f>
        <v/>
      </c>
      <c r="D436" s="39">
        <f>IFERROR(IF('PRODUCTOS'!$G436&lt;&gt;"",'PRODUCTOS'!$J436,""),"")</f>
        <v/>
      </c>
      <c r="E436" s="39">
        <f>IFERROR(IF('PRODUCTOS'!$G436&lt;&gt;"",'PRODUCTOS'!$X436,""),"")</f>
        <v/>
      </c>
      <c r="F436" s="40">
        <f>IFERROR(IF('PRODUCTOS'!$G436&lt;&gt;"",'PRODUCTOS'!$AF436,""),"")</f>
        <v/>
      </c>
      <c r="G436" s="40">
        <f>IFERROR(IF('PRODUCTOS'!$G436&lt;&gt;"",'PRODUCTOS'!$AG436,""),"")</f>
        <v/>
      </c>
    </row>
    <row r="437">
      <c r="A437" s="39">
        <f>IFERROR(IF('PRODUCTOS'!$G437&lt;&gt;"",'PRODUCTOS'!$A437,""),"")</f>
        <v/>
      </c>
      <c r="B437" s="39">
        <f>IFERROR(IF('PRODUCTOS'!$G437&lt;&gt;"",'PRODUCTOS'!$G437,""),"")</f>
        <v/>
      </c>
      <c r="C437" s="39">
        <f>IFERROR(IF('PRODUCTOS'!$G437&lt;&gt;"",'PRODUCTOS'!$I437,""),"")</f>
        <v/>
      </c>
      <c r="D437" s="39">
        <f>IFERROR(IF('PRODUCTOS'!$G437&lt;&gt;"",'PRODUCTOS'!$J437,""),"")</f>
        <v/>
      </c>
      <c r="E437" s="39">
        <f>IFERROR(IF('PRODUCTOS'!$G437&lt;&gt;"",'PRODUCTOS'!$X437,""),"")</f>
        <v/>
      </c>
      <c r="F437" s="40">
        <f>IFERROR(IF('PRODUCTOS'!$G437&lt;&gt;"",'PRODUCTOS'!$AF437,""),"")</f>
        <v/>
      </c>
      <c r="G437" s="40">
        <f>IFERROR(IF('PRODUCTOS'!$G437&lt;&gt;"",'PRODUCTOS'!$AG437,""),"")</f>
        <v/>
      </c>
    </row>
    <row r="438">
      <c r="A438" s="39">
        <f>IFERROR(IF('PRODUCTOS'!$G438&lt;&gt;"",'PRODUCTOS'!$A438,""),"")</f>
        <v/>
      </c>
      <c r="B438" s="39">
        <f>IFERROR(IF('PRODUCTOS'!$G438&lt;&gt;"",'PRODUCTOS'!$G438,""),"")</f>
        <v/>
      </c>
      <c r="C438" s="39">
        <f>IFERROR(IF('PRODUCTOS'!$G438&lt;&gt;"",'PRODUCTOS'!$I438,""),"")</f>
        <v/>
      </c>
      <c r="D438" s="39">
        <f>IFERROR(IF('PRODUCTOS'!$G438&lt;&gt;"",'PRODUCTOS'!$J438,""),"")</f>
        <v/>
      </c>
      <c r="E438" s="39">
        <f>IFERROR(IF('PRODUCTOS'!$G438&lt;&gt;"",'PRODUCTOS'!$X438,""),"")</f>
        <v/>
      </c>
      <c r="F438" s="40">
        <f>IFERROR(IF('PRODUCTOS'!$G438&lt;&gt;"",'PRODUCTOS'!$AF438,""),"")</f>
        <v/>
      </c>
      <c r="G438" s="40">
        <f>IFERROR(IF('PRODUCTOS'!$G438&lt;&gt;"",'PRODUCTOS'!$AG438,""),"")</f>
        <v/>
      </c>
    </row>
    <row r="439">
      <c r="A439" s="39">
        <f>IFERROR(IF('PRODUCTOS'!$G439&lt;&gt;"",'PRODUCTOS'!$A439,""),"")</f>
        <v/>
      </c>
      <c r="B439" s="39">
        <f>IFERROR(IF('PRODUCTOS'!$G439&lt;&gt;"",'PRODUCTOS'!$G439,""),"")</f>
        <v/>
      </c>
      <c r="C439" s="39">
        <f>IFERROR(IF('PRODUCTOS'!$G439&lt;&gt;"",'PRODUCTOS'!$I439,""),"")</f>
        <v/>
      </c>
      <c r="D439" s="39">
        <f>IFERROR(IF('PRODUCTOS'!$G439&lt;&gt;"",'PRODUCTOS'!$J439,""),"")</f>
        <v/>
      </c>
      <c r="E439" s="39">
        <f>IFERROR(IF('PRODUCTOS'!$G439&lt;&gt;"",'PRODUCTOS'!$X439,""),"")</f>
        <v/>
      </c>
      <c r="F439" s="40">
        <f>IFERROR(IF('PRODUCTOS'!$G439&lt;&gt;"",'PRODUCTOS'!$AF439,""),"")</f>
        <v/>
      </c>
      <c r="G439" s="40">
        <f>IFERROR(IF('PRODUCTOS'!$G439&lt;&gt;"",'PRODUCTOS'!$AG439,""),"")</f>
        <v/>
      </c>
    </row>
    <row r="440">
      <c r="A440" s="39">
        <f>IFERROR(IF('PRODUCTOS'!$G440&lt;&gt;"",'PRODUCTOS'!$A440,""),"")</f>
        <v/>
      </c>
      <c r="B440" s="39">
        <f>IFERROR(IF('PRODUCTOS'!$G440&lt;&gt;"",'PRODUCTOS'!$G440,""),"")</f>
        <v/>
      </c>
      <c r="C440" s="39">
        <f>IFERROR(IF('PRODUCTOS'!$G440&lt;&gt;"",'PRODUCTOS'!$I440,""),"")</f>
        <v/>
      </c>
      <c r="D440" s="39">
        <f>IFERROR(IF('PRODUCTOS'!$G440&lt;&gt;"",'PRODUCTOS'!$J440,""),"")</f>
        <v/>
      </c>
      <c r="E440" s="39">
        <f>IFERROR(IF('PRODUCTOS'!$G440&lt;&gt;"",'PRODUCTOS'!$X440,""),"")</f>
        <v/>
      </c>
      <c r="F440" s="40">
        <f>IFERROR(IF('PRODUCTOS'!$G440&lt;&gt;"",'PRODUCTOS'!$AF440,""),"")</f>
        <v/>
      </c>
      <c r="G440" s="40">
        <f>IFERROR(IF('PRODUCTOS'!$G440&lt;&gt;"",'PRODUCTOS'!$AG440,""),"")</f>
        <v/>
      </c>
    </row>
    <row r="441">
      <c r="A441" s="39">
        <f>IFERROR(IF('PRODUCTOS'!$G441&lt;&gt;"",'PRODUCTOS'!$A441,""),"")</f>
        <v/>
      </c>
      <c r="B441" s="39">
        <f>IFERROR(IF('PRODUCTOS'!$G441&lt;&gt;"",'PRODUCTOS'!$G441,""),"")</f>
        <v/>
      </c>
      <c r="C441" s="39">
        <f>IFERROR(IF('PRODUCTOS'!$G441&lt;&gt;"",'PRODUCTOS'!$I441,""),"")</f>
        <v/>
      </c>
      <c r="D441" s="39">
        <f>IFERROR(IF('PRODUCTOS'!$G441&lt;&gt;"",'PRODUCTOS'!$J441,""),"")</f>
        <v/>
      </c>
      <c r="E441" s="39">
        <f>IFERROR(IF('PRODUCTOS'!$G441&lt;&gt;"",'PRODUCTOS'!$X441,""),"")</f>
        <v/>
      </c>
      <c r="F441" s="40">
        <f>IFERROR(IF('PRODUCTOS'!$G441&lt;&gt;"",'PRODUCTOS'!$AF441,""),"")</f>
        <v/>
      </c>
      <c r="G441" s="40">
        <f>IFERROR(IF('PRODUCTOS'!$G441&lt;&gt;"",'PRODUCTOS'!$AG441,""),"")</f>
        <v/>
      </c>
    </row>
    <row r="442">
      <c r="A442" s="39">
        <f>IFERROR(IF('PRODUCTOS'!$G442&lt;&gt;"",'PRODUCTOS'!$A442,""),"")</f>
        <v/>
      </c>
      <c r="B442" s="39">
        <f>IFERROR(IF('PRODUCTOS'!$G442&lt;&gt;"",'PRODUCTOS'!$G442,""),"")</f>
        <v/>
      </c>
      <c r="C442" s="39">
        <f>IFERROR(IF('PRODUCTOS'!$G442&lt;&gt;"",'PRODUCTOS'!$I442,""),"")</f>
        <v/>
      </c>
      <c r="D442" s="39">
        <f>IFERROR(IF('PRODUCTOS'!$G442&lt;&gt;"",'PRODUCTOS'!$J442,""),"")</f>
        <v/>
      </c>
      <c r="E442" s="39">
        <f>IFERROR(IF('PRODUCTOS'!$G442&lt;&gt;"",'PRODUCTOS'!$X442,""),"")</f>
        <v/>
      </c>
      <c r="F442" s="40">
        <f>IFERROR(IF('PRODUCTOS'!$G442&lt;&gt;"",'PRODUCTOS'!$AF442,""),"")</f>
        <v/>
      </c>
      <c r="G442" s="40">
        <f>IFERROR(IF('PRODUCTOS'!$G442&lt;&gt;"",'PRODUCTOS'!$AG442,""),"")</f>
        <v/>
      </c>
    </row>
    <row r="443">
      <c r="A443" s="39">
        <f>IFERROR(IF('PRODUCTOS'!$G443&lt;&gt;"",'PRODUCTOS'!$A443,""),"")</f>
        <v/>
      </c>
      <c r="B443" s="39">
        <f>IFERROR(IF('PRODUCTOS'!$G443&lt;&gt;"",'PRODUCTOS'!$G443,""),"")</f>
        <v/>
      </c>
      <c r="C443" s="39">
        <f>IFERROR(IF('PRODUCTOS'!$G443&lt;&gt;"",'PRODUCTOS'!$I443,""),"")</f>
        <v/>
      </c>
      <c r="D443" s="39">
        <f>IFERROR(IF('PRODUCTOS'!$G443&lt;&gt;"",'PRODUCTOS'!$J443,""),"")</f>
        <v/>
      </c>
      <c r="E443" s="39">
        <f>IFERROR(IF('PRODUCTOS'!$G443&lt;&gt;"",'PRODUCTOS'!$X443,""),"")</f>
        <v/>
      </c>
      <c r="F443" s="40">
        <f>IFERROR(IF('PRODUCTOS'!$G443&lt;&gt;"",'PRODUCTOS'!$AF443,""),"")</f>
        <v/>
      </c>
      <c r="G443" s="40">
        <f>IFERROR(IF('PRODUCTOS'!$G443&lt;&gt;"",'PRODUCTOS'!$AG443,""),"")</f>
        <v/>
      </c>
    </row>
    <row r="444">
      <c r="A444" s="39">
        <f>IFERROR(IF('PRODUCTOS'!$G444&lt;&gt;"",'PRODUCTOS'!$A444,""),"")</f>
        <v/>
      </c>
      <c r="B444" s="39">
        <f>IFERROR(IF('PRODUCTOS'!$G444&lt;&gt;"",'PRODUCTOS'!$G444,""),"")</f>
        <v/>
      </c>
      <c r="C444" s="39">
        <f>IFERROR(IF('PRODUCTOS'!$G444&lt;&gt;"",'PRODUCTOS'!$I444,""),"")</f>
        <v/>
      </c>
      <c r="D444" s="39">
        <f>IFERROR(IF('PRODUCTOS'!$G444&lt;&gt;"",'PRODUCTOS'!$J444,""),"")</f>
        <v/>
      </c>
      <c r="E444" s="39">
        <f>IFERROR(IF('PRODUCTOS'!$G444&lt;&gt;"",'PRODUCTOS'!$X444,""),"")</f>
        <v/>
      </c>
      <c r="F444" s="40">
        <f>IFERROR(IF('PRODUCTOS'!$G444&lt;&gt;"",'PRODUCTOS'!$AF444,""),"")</f>
        <v/>
      </c>
      <c r="G444" s="40">
        <f>IFERROR(IF('PRODUCTOS'!$G444&lt;&gt;"",'PRODUCTOS'!$AG444,""),"")</f>
        <v/>
      </c>
    </row>
    <row r="445">
      <c r="A445" s="39">
        <f>IFERROR(IF('PRODUCTOS'!$G445&lt;&gt;"",'PRODUCTOS'!$A445,""),"")</f>
        <v/>
      </c>
      <c r="B445" s="39">
        <f>IFERROR(IF('PRODUCTOS'!$G445&lt;&gt;"",'PRODUCTOS'!$G445,""),"")</f>
        <v/>
      </c>
      <c r="C445" s="39">
        <f>IFERROR(IF('PRODUCTOS'!$G445&lt;&gt;"",'PRODUCTOS'!$I445,""),"")</f>
        <v/>
      </c>
      <c r="D445" s="39">
        <f>IFERROR(IF('PRODUCTOS'!$G445&lt;&gt;"",'PRODUCTOS'!$J445,""),"")</f>
        <v/>
      </c>
      <c r="E445" s="39">
        <f>IFERROR(IF('PRODUCTOS'!$G445&lt;&gt;"",'PRODUCTOS'!$X445,""),"")</f>
        <v/>
      </c>
      <c r="F445" s="40">
        <f>IFERROR(IF('PRODUCTOS'!$G445&lt;&gt;"",'PRODUCTOS'!$AF445,""),"")</f>
        <v/>
      </c>
      <c r="G445" s="40">
        <f>IFERROR(IF('PRODUCTOS'!$G445&lt;&gt;"",'PRODUCTOS'!$AG445,""),"")</f>
        <v/>
      </c>
    </row>
  </sheetData>
  <autoFilter ref="A4:G445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FERREPRO</dc:creator>
  <dc:title>FERREPRO Inventario Maestro</dc:title>
  <dc:subject>Inventario físico y staging de barcodes</dc:subject>
  <dcterms:created xsi:type="dcterms:W3CDTF">2026-08-15T17:36:58Z</dcterms:created>
  <dcterms:modified xsi:type="dcterms:W3CDTF">2026-08-15T17:37:02Z</dcterms:modified>
</cp:coreProperties>
</file>